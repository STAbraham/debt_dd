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Interchange and the lender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source-reports/revolver_transactor_balances_2026-01_to_2026-09_10262026.csv,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source-reports/vintage_loss_by_origination_month_10262026.csv,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source-reports/vintage_loss_since_origination_month_10262026.csv,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Revenue that accrues on balances while they sit: billed on statements, paid into the collection account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Earned when the receivable is CREATED: Zed funds ₱98 to the merchant via Mastercard and books/bills ₱100. The cardholder's ₱100 lands in the collection account, so the margin is inside pledged collections — realized at origination, not accrued over the balance's life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  <c r="E9" t="inlineStr">
        <is>
          <t>The lender's coverage measure: everything collected on the pledged pool less what it cost to create</t>
        </is>
      </c>
    </row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Accrual-only view (billed interest &amp; fees)</t>
        </is>
      </c>
      <c r="C20" s="3" t="inlineStr">
        <is>
          <t>Full collections view (incl. interchange embedded in receivable face) — lender's coverage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accrual-only column only because that column ignores the origination margin; it is NOT a collateral shortfall — see the 'Interchange and the lender' tab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on each bucket's own balance — reconciles to Steve's BOE sheet)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Revenue on this bucket, PHP/mo</t>
        </is>
      </c>
      <c r="E28" s="3" t="inlineStr">
        <is>
          <t>Monthly yield on own balance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 (interchange only)</t>
        </is>
      </c>
      <c r="B31" s="7">
        <f>bal_tra</f>
        <v/>
      </c>
      <c r="C31" s="9">
        <f>B31/bal_tot</f>
        <v/>
      </c>
      <c r="D31" s="7">
        <f>interchange</f>
        <v/>
      </c>
      <c r="E31" s="8">
        <f>D31/B31</f>
        <v/>
      </c>
    </row>
    <row r="32">
      <c r="A32" s="2" t="inlineStr">
        <is>
          <t>Note: interchange is earned on spend, not balances; 3.15%/mo on the transacting bucket only because those balances turn ~2.3× a month. On the whole book it is 1.26%/mo.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How interchange reaches the lender — and why the full-collections column is the lender's coverage measure</t>
        </is>
      </c>
    </row>
    <row r="2"/>
    <row r="3" ht="16" customHeight="1">
      <c r="A3" s="19" t="inlineStr">
        <is>
          <t>Worked example: a ₱100 purchase at 2% interchange.</t>
        </is>
      </c>
    </row>
    <row r="4" ht="44" customHeight="1">
      <c r="A4" s="20" t="inlineStr">
        <is>
          <t>1. Mastercard instructs Zed to settle ₱98 to the merchant (face less interchange). Zed funds the ₱98 at T+1.</t>
        </is>
      </c>
    </row>
    <row r="5" ht="44" customHeight="1">
      <c r="A5" s="20" t="inlineStr">
        <is>
          <t>2. Zed books a ₱100 receivable and bills the cardholder ₱100 on the next statement.</t>
        </is>
      </c>
    </row>
    <row r="6" ht="44" customHeight="1">
      <c r="A6" s="20" t="inlineStr">
        <is>
          <t>3. The cardholder pays ₱100 into the collection account the lender controls.</t>
        </is>
      </c>
    </row>
    <row r="7" ht="60" customHeight="1">
      <c r="A7" s="20" t="inlineStr">
        <is>
          <t>The ₱2 is therefore inside pledged collections: it is the excess of what is collected on the receivable over what it cost to create. It is realized at origination, so on a yield-on-balances basis it scales with turnover (~11× a year today), not with how long balances sit.</t>
        </is>
      </c>
    </row>
    <row r="8" ht="16" customHeight="1">
      <c r="A8" s="20" t="inlineStr"/>
    </row>
    <row r="9" ht="16" customHeight="1">
      <c r="A9" s="19" t="inlineStr">
        <is>
          <t>Consequences for the facility:</t>
        </is>
      </c>
      <c r="B9" s="9" t="n"/>
    </row>
    <row r="10" ht="60" customHeight="1">
      <c r="A10" s="20" t="inlineStr">
        <is>
          <t>• A lender advancing 80% of face is funding ₱80 of a receivable that cost ₱98; Zed's equity funds ₱18, and the ₱2 margin arrives with the ₱100 of collections. The pool is over-collateralized by the interchange margin on every new receivable.</t>
        </is>
      </c>
      <c r="B10" s="9" t="n"/>
    </row>
    <row r="11" ht="60" customHeight="1">
      <c r="A11" s="20" t="inlineStr">
        <is>
          <t>• The lender's coverage test is the full-collections column on the Today sheet (gross 33.6%, net 24.0% at the V2 loss base, 8.8 points over a 19% coupon at 80% advance). The accrual-only column (interest and fees that accrue while a balance sits) is a decomposition, not a collateral boundary.</t>
        </is>
      </c>
      <c r="B11" s="9" t="n"/>
    </row>
    <row r="12" ht="60" customHeight="1">
      <c r="A12" s="19" t="inlineStr">
        <is>
          <t>• What is genuinely outside the receivables, and what a first-facility guarantee is compensating for: no borrower/servicer track record, Zed's operational control of settlement and collections, and model risk on young vintages — not interchange.</t>
        </is>
      </c>
      <c r="B12" s="12" t="n"/>
    </row>
    <row r="13" ht="44" customHeight="1">
      <c r="A13" s="20" t="inlineStr">
        <is>
          <t>• Interchange would leave the lender's reach only in a true sale priced at face, or if settlement funding ran through accounts outside the structure. In the secured-loan configurations under discussion it is in.</t>
        </is>
      </c>
      <c r="B13" s="9" t="n"/>
    </row>
    <row r="14" ht="16" customHeight="1">
      <c r="A14" s="19" t="inlineStr"/>
      <c r="B14" s="12" t="n"/>
    </row>
    <row r="15" ht="60" customHeight="1">
      <c r="A15" s="20" t="inlineStr">
        <is>
          <t>Earlier drafts of this workbook (and the 2026-10-26 yield note) treated interchange as a separate cash stream that bypassed the collection account and showed a negative 'collateral-only' excess spread. That was wrong; corrected 2026-10-26 per Steve.</t>
        </is>
      </c>
      <c r="B15" s="9" t="n"/>
    </row>
    <row r="16">
      <c r="A16" s="4" t="n"/>
      <c r="B16" s="12" t="n"/>
    </row>
    <row r="17">
      <c r="A17" s="4" t="inlineStr">
        <is>
          <t>Reconciliation of the two Today columns (annualized on avg receivables)</t>
        </is>
      </c>
    </row>
    <row r="18" ht="46" customHeight="1">
      <c r="A18" s="22" t="inlineStr">
        <is>
          <t>Reconciliation of the two Today columns (annualized on avg receivables)</t>
        </is>
      </c>
      <c r="B18" s="4" t="inlineStr">
        <is>
          <t>Accrual-only</t>
        </is>
      </c>
      <c r="C18" s="4" t="inlineStr">
        <is>
          <t>Full collections</t>
        </is>
      </c>
    </row>
    <row r="19" ht="46" customHeight="1">
      <c r="A19" s="14" t="inlineStr">
        <is>
          <t>Gross yield</t>
        </is>
      </c>
      <c r="B19" s="9">
        <f>'Today — Sep 2026'!D7</f>
        <v/>
      </c>
      <c r="C19" s="9">
        <f>'Today — Sep 2026'!D9</f>
        <v/>
      </c>
    </row>
    <row r="20">
      <c r="A20" t="inlineStr">
        <is>
          <t>of which interchange (origination margin)</t>
        </is>
      </c>
      <c r="B20" s="9" t="n">
        <v>0</v>
      </c>
      <c r="C20" s="9">
        <f>'Today — Sep 2026'!D8</f>
        <v/>
      </c>
    </row>
    <row r="21">
      <c r="A21" t="inlineStr">
        <is>
          <t>− Loss (base case C)</t>
        </is>
      </c>
      <c r="B21" s="9">
        <f>'Today — Sep 2026'!D16</f>
        <v/>
      </c>
      <c r="C21" s="9">
        <f>'Today — Sep 2026'!D16</f>
        <v/>
      </c>
    </row>
    <row r="22">
      <c r="A22" t="inlineStr">
        <is>
          <t>⇒ Net yield</t>
        </is>
      </c>
      <c r="B22" s="9">
        <f>B19-B21</f>
        <v/>
      </c>
      <c r="C22" s="9">
        <f>C19-C21</f>
        <v/>
      </c>
    </row>
    <row r="23">
      <c r="A23" t="inlineStr">
        <is>
          <t>− Cost of funds (coupon × advance)</t>
        </is>
      </c>
      <c r="B23" s="9">
        <f>coupon*advance</f>
        <v/>
      </c>
      <c r="C23" s="9">
        <f>coupon*advance</f>
        <v/>
      </c>
    </row>
    <row r="24">
      <c r="A24" t="inlineStr">
        <is>
          <t>⇒ Excess spread</t>
        </is>
      </c>
      <c r="B24" s="9">
        <f>B22-B23</f>
        <v/>
      </c>
      <c r="C24" s="9">
        <f>C22-C23</f>
        <v/>
      </c>
    </row>
    <row r="25"/>
    <row r="26" ht="40" customHeight="1">
      <c r="A26" s="21" t="inlineStr">
        <is>
          <t>The lender reads the Full collections column. The accrual-only column answers a different question — what the book earns per peso-month it is outstanding — and is the number that rises as revolving share rises.</t>
        </is>
      </c>
    </row>
    <row r="27"/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Copies in debt_dd/Analyses (internal)/source-reports/ (originals in ~/apps/zed/Analysis+Reports/).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Copies in debt_dd/Analyses (internal)/source-reports/ (originals in ~/apps/zed/Analysis+Reports/).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2026-10-27T06:43:05Z</dcterms:modified>
</cp:coreProperties>
</file>