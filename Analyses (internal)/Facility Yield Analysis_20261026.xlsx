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oday — Sep 2026" sheetId="2" state="visible" r:id="rId2"/>
    <sheet xmlns:r="http://schemas.openxmlformats.org/officeDocument/2006/relationships" name="Collateral-only view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ources" sheetId="5" state="visible" r:id="rId5"/>
  </sheets>
  <definedNames>
    <definedName name="rev_int">Inputs!$B$6</definedName>
    <definedName name="inst_int">Inputs!$B$7</definedName>
    <definedName name="upfront">Inputs!$B$8</definedName>
    <definedName name="late">Inputs!$B$9</definedName>
    <definedName name="interchange">Inputs!$B$10</definedName>
    <definedName name="avg_rec">Inputs!$B$13</definedName>
    <definedName name="bal_rev">Inputs!$B$15</definedName>
    <definedName name="bal_tra">Inputs!$B$16</definedName>
    <definedName name="bal_inst">Inputs!$B$17</definedName>
    <definedName name="bal_tot">Inputs!$B$18</definedName>
    <definedName name="orig">Inputs!$B$21</definedName>
    <definedName name="L_life16">Inputs!$B$24</definedName>
    <definedName name="L_life90">Inputs!$B$25</definedName>
    <definedName name="L_v2_16">Inputs!$B$26</definedName>
    <definedName name="L_v2_90">Inputs!$B$27</definedName>
    <definedName name="b181_jun">Inputs!$B$30</definedName>
    <definedName name="b181_sep">Inputs!$B$31</definedName>
    <definedName name="coupon">Inputs!$B$33</definedName>
    <definedName name="advance">Inputs!$B$34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%"/>
    <numFmt numFmtId="166" formatCode="0.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0B3D3A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8" customWidth="1" min="3" max="3"/>
    <col width="58" customWidth="1" min="4" max="4"/>
    <col width="60" customWidth="1" min="5" max="5"/>
  </cols>
  <sheetData>
    <row r="1">
      <c r="A1" s="1" t="inlineStr">
        <is>
          <t>Facility yield analysis — inputs (Today = September 2026)</t>
        </is>
      </c>
    </row>
    <row r="2">
      <c r="A2" s="2" t="inlineStr">
        <is>
          <t>Yellow cells are inputs; every one cites its source. PHP unless stated. Facility assumptions at the bottom are the only free assumptions.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Notes</t>
        </is>
      </c>
    </row>
    <row r="5">
      <c r="A5" s="4" t="inlineStr">
        <is>
          <t>REVENUE — September 2026</t>
        </is>
      </c>
    </row>
    <row r="6">
      <c r="A6" t="inlineStr">
        <is>
          <t>Revolving interest (finance charge)</t>
        </is>
      </c>
      <c r="B6" s="5" t="n">
        <v>2229680</v>
      </c>
      <c r="C6" t="inlineStr">
        <is>
          <t>PHP/mo</t>
        </is>
      </c>
      <c r="D6" t="inlineStr">
        <is>
          <t>KPI Dashboard_v2026 (12), Monthly r55, Sep 2026</t>
        </is>
      </c>
      <c r="E6" t="inlineStr">
        <is>
          <t>Statement-billed; warehouse balances report shows ₱2,235,956 for the same cycles (0.3% diff, cycle vs calendar)</t>
        </is>
      </c>
    </row>
    <row r="7">
      <c r="A7" t="inlineStr">
        <is>
          <t>Installment interest</t>
        </is>
      </c>
      <c r="B7" s="5" t="n">
        <v>486325</v>
      </c>
      <c r="C7" t="inlineStr">
        <is>
          <t>PHP/mo</t>
        </is>
      </c>
      <c r="D7" t="inlineStr">
        <is>
          <t>KPI Dashboard Monthly r52, Sep 2026</t>
        </is>
      </c>
    </row>
    <row r="8">
      <c r="A8" t="inlineStr">
        <is>
          <t>Installment upfront fees</t>
        </is>
      </c>
      <c r="B8" s="5" t="n">
        <v>439734</v>
      </c>
      <c r="C8" t="inlineStr">
        <is>
          <t>PHP/mo</t>
        </is>
      </c>
      <c r="D8" t="inlineStr">
        <is>
          <t>KPI Dashboard Monthly r53, Sep 2026</t>
        </is>
      </c>
    </row>
    <row r="9">
      <c r="A9" t="inlineStr">
        <is>
          <t>Late payment fees</t>
        </is>
      </c>
      <c r="B9" s="5" t="n">
        <v>126426</v>
      </c>
      <c r="C9" t="inlineStr">
        <is>
          <t>PHP/mo</t>
        </is>
      </c>
      <c r="D9" t="inlineStr">
        <is>
          <t>KPI Dashboard Monthly r49, Sep 2026</t>
        </is>
      </c>
    </row>
    <row r="10">
      <c r="A10" t="inlineStr">
        <is>
          <t>Interchange fee income</t>
        </is>
      </c>
      <c r="B10" s="5" t="n">
        <v>2630890</v>
      </c>
      <c r="C10" t="inlineStr">
        <is>
          <t>PHP/mo</t>
        </is>
      </c>
      <c r="D10" t="inlineStr">
        <is>
          <t>KPI Dashboard Monthly r42, Sep 2026</t>
        </is>
      </c>
      <c r="E10" t="inlineStr">
        <is>
          <t>Gross, merchant-side (i2c Network Settlement Summary); never posts to cardholder accounts</t>
        </is>
      </c>
    </row>
    <row r="11">
      <c r="A11" t="inlineStr">
        <is>
          <t>Total revenue (check)</t>
        </is>
      </c>
      <c r="B11" s="5" t="n">
        <v>5913055</v>
      </c>
      <c r="C11" t="inlineStr">
        <is>
          <t>PHP/mo</t>
        </is>
      </c>
      <c r="D11" t="inlineStr">
        <is>
          <t>KPI Dashboard Monthly r40, Sep 2026</t>
        </is>
      </c>
      <c r="E11">
        <f> sum of the five lines above</f>
        <v/>
      </c>
    </row>
    <row r="12">
      <c r="A12" s="4" t="inlineStr">
        <is>
          <t>BALANCES — September 2026</t>
        </is>
      </c>
    </row>
    <row r="13">
      <c r="A13" t="inlineStr">
        <is>
          <t>Average receivables (denominator)</t>
        </is>
      </c>
      <c r="B13" s="5" t="n">
        <v>211159157</v>
      </c>
      <c r="C13" t="inlineStr">
        <is>
          <t>PHP</t>
        </is>
      </c>
      <c r="D13" t="inlineStr">
        <is>
          <t>KPI Dashboard Monthly r67 'Total Loans Outstanding (average)', Sep 2026</t>
        </is>
      </c>
      <c r="E13" t="inlineStr">
        <is>
          <t>Used as the yield denominator throughout</t>
        </is>
      </c>
    </row>
    <row r="14">
      <c r="A14" t="inlineStr">
        <is>
          <t>End-of-month receivables</t>
        </is>
      </c>
      <c r="B14" s="5" t="n">
        <v>232895128</v>
      </c>
      <c r="C14" t="inlineStr">
        <is>
          <t>PHP</t>
        </is>
      </c>
      <c r="D14" t="inlineStr">
        <is>
          <t>KPI Dashboard Monthly r65, Sep 2026</t>
        </is>
      </c>
      <c r="E14" t="inlineStr">
        <is>
          <t>Reference only</t>
        </is>
      </c>
    </row>
    <row r="15">
      <c r="A15" t="inlineStr">
        <is>
          <t>Revolving balance (statements with interest)</t>
        </is>
      </c>
      <c r="B15" s="5" t="n">
        <v>91366063</v>
      </c>
      <c r="C15" t="inlineStr">
        <is>
          <t>PHP</t>
        </is>
      </c>
      <c r="D15" t="inlineStr">
        <is>
          <t>revolver_transactor_balances_2026-01_to_2026-09_10262026.csv, all_revolving, 2026-09</t>
        </is>
      </c>
      <c r="E15" t="inlineStr">
        <is>
          <t>Statement-based; ending balance less installment charge on statements with interest_charged &gt; 0</t>
        </is>
      </c>
    </row>
    <row r="16">
      <c r="A16" t="inlineStr">
        <is>
          <t>Transacting balance</t>
        </is>
      </c>
      <c r="B16" s="5" t="n">
        <v>83462733</v>
      </c>
      <c r="C16" t="inlineStr">
        <is>
          <t>PHP</t>
        </is>
      </c>
      <c r="D16" t="inlineStr">
        <is>
          <t>same file, all_transacting, 2026-09</t>
        </is>
      </c>
      <c r="E16" t="inlineStr">
        <is>
          <t>Ending balance less installment charge on statements with no interest</t>
        </is>
      </c>
    </row>
    <row r="17">
      <c r="A17" t="inlineStr">
        <is>
          <t>Installment balance</t>
        </is>
      </c>
      <c r="B17" s="5" t="n">
        <v>33428938</v>
      </c>
      <c r="C17" t="inlineStr">
        <is>
          <t>PHP</t>
        </is>
      </c>
      <c r="D17" t="inlineStr">
        <is>
          <t>same file, all_installment, 2026-09</t>
        </is>
      </c>
      <c r="E17" t="inlineStr">
        <is>
          <t>Future principal + this cycle's installment charge</t>
        </is>
      </c>
    </row>
    <row r="18">
      <c r="A18" t="inlineStr">
        <is>
          <t>Total (three buckets)</t>
        </is>
      </c>
      <c r="B18" s="5" t="n">
        <v>208257733</v>
      </c>
      <c r="C18" t="inlineStr">
        <is>
          <t>PHP</t>
        </is>
      </c>
      <c r="D18" t="inlineStr">
        <is>
          <t>same file, all_total, 2026-09</t>
        </is>
      </c>
      <c r="E18" t="inlineStr">
        <is>
          <t>Differs from r67 only by definition (statement cycle vs calendar average)</t>
        </is>
      </c>
    </row>
    <row r="19">
      <c r="A19" t="inlineStr">
        <is>
          <t>Of revolving balance, 180+ DPD</t>
        </is>
      </c>
      <c r="B19" s="5" t="n">
        <v>17653522</v>
      </c>
      <c r="C19" t="inlineStr">
        <is>
          <t>PHP</t>
        </is>
      </c>
      <c r="D19" t="inlineStr">
        <is>
          <t>same file, removed_180dpd_ending_balance, 2026-09</t>
        </is>
      </c>
      <c r="E19" t="inlineStr">
        <is>
          <t>all_revolving − x180_revolving; transacting x180 ≈ all → losses sit in the revolving bucket</t>
        </is>
      </c>
    </row>
    <row r="20">
      <c r="A20" s="4" t="inlineStr">
        <is>
          <t>ORIGINATIONS / TURNOVER</t>
        </is>
      </c>
    </row>
    <row r="21">
      <c r="A21" t="inlineStr">
        <is>
          <t>Principal originated, Sep 2026</t>
        </is>
      </c>
      <c r="B21" s="5" t="n">
        <v>160221212.53</v>
      </c>
      <c r="C21" t="inlineStr">
        <is>
          <t>PHP/mo</t>
        </is>
      </c>
      <c r="D21" t="inlineStr">
        <is>
          <t>vintage_loss_by_origination_month_10262026.csv, originated_principal_php, 2026-09</t>
        </is>
      </c>
      <c r="E21" t="inlineStr">
        <is>
          <t>Net of refunds/chargebacks and cancelled-plan re-adds (FIFO waterfall view)</t>
        </is>
      </c>
    </row>
    <row r="22">
      <c r="A22" t="inlineStr">
        <is>
          <t>Settlement volume, Sep 2026 (reference)</t>
        </is>
      </c>
      <c r="B22" s="5" t="n">
        <v>190860992</v>
      </c>
      <c r="C22" t="inlineStr">
        <is>
          <t>PHP/mo</t>
        </is>
      </c>
      <c r="D22" t="inlineStr">
        <is>
          <t>KPI Dashboard Monthly r127, Sep 2026</t>
        </is>
      </c>
      <c r="E22" t="inlineStr">
        <is>
          <t>Gross settlements less returns; higher than originated principal by definition</t>
        </is>
      </c>
    </row>
    <row r="23">
      <c r="A23" s="4" t="inlineStr">
        <is>
          <t>LOSS RATES — on originated principal (seasoned, cumulative since month shown)</t>
        </is>
      </c>
    </row>
    <row r="24">
      <c r="A24" t="inlineStr">
        <is>
          <t>Lifetime, &gt;15 DPD</t>
        </is>
      </c>
      <c r="B24" s="6" t="n">
        <v>0.01781</v>
      </c>
      <c r="C24" t="inlineStr">
        <is>
          <t>ratio</t>
        </is>
      </c>
      <c r="D24" t="inlineStr">
        <is>
          <t>vintage_loss_since_origination_month_10262026.csv, since 2024-01, loss_rate_16dpd_seasoned_pct = 1.781%</t>
        </is>
      </c>
      <c r="E24" t="inlineStr">
        <is>
          <t>Delinquent principal ÷ seasoned originated principal, all vintages Jan 2024–Sep 2026</t>
        </is>
      </c>
    </row>
    <row r="25">
      <c r="A25" t="inlineStr">
        <is>
          <t>Lifetime, ≥90 DPD</t>
        </is>
      </c>
      <c r="B25" s="6" t="n">
        <v>0.01459</v>
      </c>
      <c r="C25" t="inlineStr">
        <is>
          <t>ratio</t>
        </is>
      </c>
      <c r="D25" t="inlineStr">
        <is>
          <t>same file, since 2024-01, loss_rate_90dpd_seasoned_pct = 1.459%</t>
        </is>
      </c>
      <c r="E25" t="inlineStr">
        <is>
          <t>Conservative case: fully seasoned 'has gone bad' measure across all vintages incl. V1-model 2025</t>
        </is>
      </c>
    </row>
    <row r="26">
      <c r="A26" t="inlineStr">
        <is>
          <t>Since Jan 2026 (V2 model), &gt;15 DPD</t>
        </is>
      </c>
      <c r="B26" s="6" t="n">
        <v>0.01559</v>
      </c>
      <c r="C26" t="inlineStr">
        <is>
          <t>ratio</t>
        </is>
      </c>
      <c r="D26" t="inlineStr">
        <is>
          <t>same file, since 2026-01, loss_rate_16dpd_seasoned_pct = 1.559%</t>
        </is>
      </c>
      <c r="E26" t="inlineStr">
        <is>
          <t>Young vintages will rise with seasoning — read as a floor</t>
        </is>
      </c>
    </row>
    <row r="27">
      <c r="A27" t="inlineStr">
        <is>
          <t>Since Jan 2026 (V2 model), ≥90 DPD</t>
        </is>
      </c>
      <c r="B27" s="6" t="n">
        <v>0.01059</v>
      </c>
      <c r="C27" t="inlineStr">
        <is>
          <t>ratio</t>
        </is>
      </c>
      <c r="D27" t="inlineStr">
        <is>
          <t>same file, since 2026-01, loss_rate_90dpd_seasoned_pct = 1.059%</t>
        </is>
      </c>
      <c r="E27" t="inlineStr">
        <is>
          <t>BASE CASE (Steve, 2026-10-26): V2 model from Dec 2025; go-forward baseline. Young vintages — will rise with seasoning; &gt;15 DPD for the same window is 1.559%</t>
        </is>
      </c>
    </row>
    <row r="28">
      <c r="A28" t="inlineStr">
        <is>
          <t>Since Oct 2025 (worst vintages), ≥90 DPD</t>
        </is>
      </c>
      <c r="B28" s="6" t="n">
        <v>0.01497</v>
      </c>
      <c r="C28" t="inlineStr">
        <is>
          <t>ratio</t>
        </is>
      </c>
      <c r="D28" t="inlineStr">
        <is>
          <t>same file, since 2025-10, loss_rate_90dpd_seasoned_pct = 1.497%</t>
        </is>
      </c>
      <c r="E28" t="inlineStr">
        <is>
          <t>Oct 2025–Jan 2026 vintages are the historical worst (2.5–4.1% &gt;15 DPD)</t>
        </is>
      </c>
    </row>
    <row r="29">
      <c r="A29" s="4" t="inlineStr">
        <is>
          <t>CROSS-CHECK — dashboard 181+ bucket</t>
        </is>
      </c>
    </row>
    <row r="30">
      <c r="A30" t="inlineStr">
        <is>
          <t>181+ DPD balance, Jun 2026</t>
        </is>
      </c>
      <c r="B30" s="5" t="n">
        <v>10636807</v>
      </c>
      <c r="C30" t="inlineStr">
        <is>
          <t>PHP</t>
        </is>
      </c>
      <c r="D30" t="inlineStr">
        <is>
          <t>KPI Dashboard Monthly r84, Jun 2026</t>
        </is>
      </c>
      <c r="E30" t="inlineStr">
        <is>
          <t>Nothing written off; bucket growth = gross roll to terminal delinquency</t>
        </is>
      </c>
    </row>
    <row r="31">
      <c r="A31" t="inlineStr">
        <is>
          <t>181+ DPD balance, Sep 2026</t>
        </is>
      </c>
      <c r="B31" s="5" t="n">
        <v>16174268</v>
      </c>
      <c r="C31" t="inlineStr">
        <is>
          <t>PHP</t>
        </is>
      </c>
      <c r="D31" t="inlineStr">
        <is>
          <t>KPI Dashboard Monthly r84, Sep 2026</t>
        </is>
      </c>
    </row>
    <row r="32">
      <c r="A32" s="4" t="inlineStr">
        <is>
          <t>FACILITY ASSUMPTIONS</t>
        </is>
      </c>
    </row>
    <row r="33">
      <c r="A33" t="inlineStr">
        <is>
          <t>Coupon (all-in interest rate on drawn amount)</t>
        </is>
      </c>
      <c r="B33" s="6" t="n">
        <v>0.19</v>
      </c>
      <c r="C33" t="inlineStr">
        <is>
          <t>ratio</t>
        </is>
      </c>
      <c r="D33" t="inlineStr">
        <is>
          <t>Assumption — Steve, 2026-10-26 ('high teens')</t>
        </is>
      </c>
      <c r="E33" t="inlineStr">
        <is>
          <t>Frictions (PH withholding, FX hedge) deliberately excluded for now</t>
        </is>
      </c>
    </row>
    <row r="34">
      <c r="A34" t="inlineStr">
        <is>
          <t>Advance rate (drawn ÷ eligible receivables)</t>
        </is>
      </c>
      <c r="B34" s="6" t="n">
        <v>0.8</v>
      </c>
      <c r="C34" t="inlineStr">
        <is>
          <t>ratio</t>
        </is>
      </c>
      <c r="D34" t="inlineStr">
        <is>
          <t>Assumption — market range 75–85% (structure note §3.3)</t>
        </is>
      </c>
      <c r="E34" t="inlineStr">
        <is>
          <t>Cost of funds on receivables = coupon × advance rate</t>
        </is>
      </c>
    </row>
    <row r="35">
      <c r="A35" t="inlineStr">
        <is>
          <t>FX PHP per USD</t>
        </is>
      </c>
      <c r="B35" s="5" t="n">
        <v>55.8</v>
      </c>
      <c r="C35" t="inlineStr">
        <is>
          <t>ratio</t>
        </is>
      </c>
      <c r="D35" t="inlineStr">
        <is>
          <t>KPI Dashboard Monthly r2 'Forex'</t>
        </is>
      </c>
      <c r="E35" t="inlineStr">
        <is>
          <t>Display only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4" customWidth="1" min="3" max="3"/>
    <col width="18" customWidth="1" min="4" max="4"/>
    <col width="70" customWidth="1" min="5" max="5"/>
  </cols>
  <sheetData>
    <row r="1">
      <c r="A1" s="1" t="inlineStr">
        <is>
          <t>Yield on average receivables — September 2026, annualized (monthly × 12, simple)</t>
        </is>
      </c>
    </row>
    <row r="2"/>
    <row r="3">
      <c r="A3" s="3" t="inlineStr">
        <is>
          <t>Line</t>
        </is>
      </c>
      <c r="B3" s="3" t="inlineStr">
        <is>
          <t>PHP / month</t>
        </is>
      </c>
      <c r="C3" s="3" t="inlineStr">
        <is>
          <t>÷ avg receivables = monthly %</t>
        </is>
      </c>
      <c r="D3" s="3" t="inlineStr">
        <is>
          <t>× 12 = annualized</t>
        </is>
      </c>
      <c r="E3" s="3" t="inlineStr">
        <is>
          <t>Comment</t>
        </is>
      </c>
    </row>
    <row r="4">
      <c r="A4" t="inlineStr">
        <is>
          <t>Revolving interest</t>
        </is>
      </c>
      <c r="B4" s="7">
        <f>rev_int</f>
        <v/>
      </c>
      <c r="C4" s="8">
        <f>B4/avg_rec</f>
        <v/>
      </c>
      <c r="D4" s="9">
        <f>C4*12</f>
        <v/>
      </c>
      <c r="E4" t="inlineStr">
        <is>
          <t>Billed on statements → paid into the collection account</t>
        </is>
      </c>
    </row>
    <row r="5">
      <c r="A5" t="inlineStr">
        <is>
          <t>Installment interest + upfront fees</t>
        </is>
      </c>
      <c r="B5" s="7">
        <f>inst_int+upfront</f>
        <v/>
      </c>
      <c r="C5" s="8">
        <f>B5/avg_rec</f>
        <v/>
      </c>
      <c r="D5" s="9">
        <f>C5*12</f>
        <v/>
      </c>
      <c r="E5" t="inlineStr">
        <is>
          <t>Billed on statements → collection account</t>
        </is>
      </c>
    </row>
    <row r="6">
      <c r="A6" t="inlineStr">
        <is>
          <t>Late payment fees</t>
        </is>
      </c>
      <c r="B6" s="7">
        <f>late</f>
        <v/>
      </c>
      <c r="C6" s="8">
        <f>B6/avg_rec</f>
        <v/>
      </c>
      <c r="D6" s="9">
        <f>C6*12</f>
        <v/>
      </c>
      <c r="E6" t="inlineStr">
        <is>
          <t>Billed on statements → collection account</t>
        </is>
      </c>
    </row>
    <row r="7">
      <c r="A7" s="4" t="inlineStr">
        <is>
          <t>BALANCE-DRIVEN YIELD (collateral cash flows)</t>
        </is>
      </c>
      <c r="B7" s="10">
        <f>B4+B5+B6</f>
        <v/>
      </c>
      <c r="C7" s="11">
        <f>B7/avg_rec</f>
        <v/>
      </c>
      <c r="D7" s="12">
        <f>C7*12</f>
        <v/>
      </c>
      <c r="E7" t="inlineStr">
        <is>
          <t>Everything a lender sees in pledged collections</t>
        </is>
      </c>
    </row>
    <row r="8">
      <c r="A8" t="inlineStr">
        <is>
          <t>Interchange</t>
        </is>
      </c>
      <c r="B8" s="7">
        <f>interchange</f>
        <v/>
      </c>
      <c r="C8" s="8">
        <f>B8/avg_rec</f>
        <v/>
      </c>
      <c r="D8" s="9">
        <f>C8*12</f>
        <v/>
      </c>
      <c r="E8" t="inlineStr">
        <is>
          <t>Settled by Mastercard to Zed at T+1 on the merchant side; not a cardholder payment</t>
        </is>
      </c>
    </row>
    <row r="9">
      <c r="A9" s="4" t="inlineStr">
        <is>
          <t>ALL-REVENUE YIELD</t>
        </is>
      </c>
      <c r="B9" s="10">
        <f>B7+B8</f>
        <v/>
      </c>
      <c r="C9" s="11">
        <f>B9/avg_rec</f>
        <v/>
      </c>
      <c r="D9" s="12">
        <f>C9*12</f>
        <v/>
      </c>
    </row>
    <row r="10"/>
    <row r="11">
      <c r="A11" s="4" t="inlineStr">
        <is>
          <t>LOSS ON RECEIVABLES — three citable measures</t>
        </is>
      </c>
    </row>
    <row r="12">
      <c r="A12" s="3" t="inlineStr">
        <is>
          <t>Measure</t>
        </is>
      </c>
      <c r="B12" s="3" t="inlineStr">
        <is>
          <t>Loss ÷ originations</t>
        </is>
      </c>
      <c r="C12" s="3" t="inlineStr">
        <is>
          <t>× annual originations ÷ avg receivables (turnover)</t>
        </is>
      </c>
      <c r="D12" s="3">
        <f> annualized loss on receivables</f>
        <v/>
      </c>
      <c r="E12" s="3" t="inlineStr">
        <is>
          <t>How it is built</t>
        </is>
      </c>
    </row>
    <row r="13">
      <c r="A13" t="inlineStr">
        <is>
          <t>Principal turnover (Sep originations × 12 ÷ avg receivables)</t>
        </is>
      </c>
      <c r="C13" s="13">
        <f>orig*12/avg_rec</f>
        <v/>
      </c>
      <c r="E13" t="inlineStr">
        <is>
          <t>Pesos lent per year per peso outstanding; falls as revolvers hold balances</t>
        </is>
      </c>
    </row>
    <row r="14">
      <c r="A14" t="inlineStr">
        <is>
          <t>A. Lifetime vintage loss, ≥90 DPD (conservative)</t>
        </is>
      </c>
      <c r="B14" s="8">
        <f>L_life90</f>
        <v/>
      </c>
      <c r="C14" s="13">
        <f>C13</f>
        <v/>
      </c>
      <c r="D14" s="9">
        <f>B14*C14</f>
        <v/>
      </c>
      <c r="E14" t="inlineStr">
        <is>
          <t>Seasoned delinquent principal ≥90 DPD ÷ seasoned originated principal, all vintages; × turnover</t>
        </is>
      </c>
    </row>
    <row r="15">
      <c r="A15" t="inlineStr">
        <is>
          <t>B. Lifetime vintage loss, &gt;15 DPD (upper)</t>
        </is>
      </c>
      <c r="B15" s="8">
        <f>L_life16</f>
        <v/>
      </c>
      <c r="C15" s="13">
        <f>C13</f>
        <v/>
      </c>
      <c r="D15" s="9">
        <f>B15*C15</f>
        <v/>
      </c>
      <c r="E15" t="inlineStr">
        <is>
          <t>Same, &gt;15 DPD — includes early-stage delinquency that may still cure</t>
        </is>
      </c>
    </row>
    <row r="16">
      <c r="A16" t="inlineStr">
        <is>
          <t>C. V2-model vintages since Jan 2026, ≥90 DPD (BASE CASE)</t>
        </is>
      </c>
      <c r="B16" s="8">
        <f>L_v2_90</f>
        <v/>
      </c>
      <c r="C16" s="13">
        <f>C13</f>
        <v/>
      </c>
      <c r="D16" s="9">
        <f>B16*C16</f>
        <v/>
      </c>
      <c r="E16" t="inlineStr">
        <is>
          <t>Base case per Steve 2026-10-26: V2 model rolled out Dec 2025 with a visible break in delinquency; treated as the go-forward baseline. Caveat: vintages ≤9 months old — the ≥90 DPD rate will rise as they season (the &gt;15 DPD rate for the same window is 1.56%).</t>
        </is>
      </c>
    </row>
    <row r="17">
      <c r="A17" t="inlineStr">
        <is>
          <t>D. Cross-check: dashboard 181+ bucket growth Jun→Sep, annualized</t>
        </is>
      </c>
      <c r="B17" s="7">
        <f>(b181_sep-b181_jun)/3</f>
        <v/>
      </c>
      <c r="C17" t="inlineStr">
        <is>
          <t>PHP/month →</t>
        </is>
      </c>
      <c r="D17" s="9">
        <f>B17*12/avg_rec</f>
        <v/>
      </c>
      <c r="E17" t="inlineStr">
        <is>
          <t>Not a vintage measure; what actually rolled to 181+ in the last three months, on today's book</t>
        </is>
      </c>
    </row>
    <row r="18"/>
    <row r="19">
      <c r="A19" s="4" t="inlineStr">
        <is>
          <t>NET YIELD AND EXCESS SPREAD (base case = loss C, V2 vintages)</t>
        </is>
      </c>
    </row>
    <row r="20">
      <c r="A20" s="3" t="inlineStr"/>
      <c r="B20" s="3" t="inlineStr">
        <is>
          <t>Balance-driven view (collateral only)</t>
        </is>
      </c>
      <c r="C20" s="3" t="inlineStr">
        <is>
          <t>All-revenue view (incl. interchange)</t>
        </is>
      </c>
      <c r="D20" s="3" t="inlineStr"/>
      <c r="E20" s="3" t="inlineStr">
        <is>
          <t>Comment</t>
        </is>
      </c>
    </row>
    <row r="21">
      <c r="A21" t="inlineStr">
        <is>
          <t>Gross yield</t>
        </is>
      </c>
      <c r="B21" s="9">
        <f>D7</f>
        <v/>
      </c>
      <c r="C21" s="9">
        <f>D9</f>
        <v/>
      </c>
    </row>
    <row r="22">
      <c r="A22" t="inlineStr">
        <is>
          <t>− Loss on receivables (C, V2 vintages)</t>
        </is>
      </c>
      <c r="B22" s="9">
        <f>D16</f>
        <v/>
      </c>
      <c r="C22" s="9">
        <f>D16</f>
        <v/>
      </c>
      <c r="E22" t="inlineStr">
        <is>
          <t>Same loss either way — it is a loss of principal</t>
        </is>
      </c>
    </row>
    <row r="23">
      <c r="A23" s="4">
        <f> Net yield (before servicing/opex)</f>
        <v/>
      </c>
      <c r="B23" s="12">
        <f>B21-B22</f>
        <v/>
      </c>
      <c r="C23" s="12">
        <f>C21-C22</f>
        <v/>
      </c>
    </row>
    <row r="24">
      <c r="A24" t="inlineStr">
        <is>
          <t>− Cost of funds on receivables = coupon × advance rate</t>
        </is>
      </c>
      <c r="B24" s="9">
        <f>coupon*advance</f>
        <v/>
      </c>
      <c r="C24" s="9">
        <f>coupon*advance</f>
        <v/>
      </c>
      <c r="E24" t="inlineStr">
        <is>
          <t>19% × 80% = 15.2 points; no withholding or hedge included</t>
        </is>
      </c>
    </row>
    <row r="25">
      <c r="A25" s="4">
        <f> Excess spread</f>
        <v/>
      </c>
      <c r="B25" s="12">
        <f>B23-B24</f>
        <v/>
      </c>
      <c r="C25" s="12">
        <f>C23-C24</f>
        <v/>
      </c>
      <c r="E25" t="inlineStr">
        <is>
          <t>Negative in the collateral-only view: the facility is being underwritten on interchange + corporate recourse</t>
        </is>
      </c>
    </row>
    <row r="26">
      <c r="A26" s="17" t="inlineStr">
        <is>
          <t>Sensitivity: excess spread at the conservative lifetime ≥90 DPD loss (A)</t>
        </is>
      </c>
      <c r="B26" s="18">
        <f>B25-(D14-D16)</f>
        <v/>
      </c>
      <c r="C26" s="18">
        <f>C25-(D14-D16)</f>
        <v/>
      </c>
      <c r="E26" t="inlineStr">
        <is>
          <t>Difference between A and C is the entire V1→V2 narrative; a lender will ask for both</t>
        </is>
      </c>
    </row>
    <row r="27">
      <c r="A27" s="4" t="inlineStr">
        <is>
          <t>BUCKET VIEW (monthly yield on each bucket's own balance — reconciles to Steve's BOE sheet)</t>
        </is>
      </c>
    </row>
    <row r="28">
      <c r="A28" s="3" t="inlineStr">
        <is>
          <t>Bucket</t>
        </is>
      </c>
      <c r="B28" s="3" t="inlineStr">
        <is>
          <t>Balance (PHP)</t>
        </is>
      </c>
      <c r="C28" s="3" t="inlineStr">
        <is>
          <t>Share of total</t>
        </is>
      </c>
      <c r="D28" s="3" t="inlineStr">
        <is>
          <t>Revenue on this bucket, PHP/mo</t>
        </is>
      </c>
      <c r="E28" s="3" t="inlineStr">
        <is>
          <t>Monthly yield on own balance</t>
        </is>
      </c>
    </row>
    <row r="29">
      <c r="A29" t="inlineStr">
        <is>
          <t>Revolving</t>
        </is>
      </c>
      <c r="B29" s="7">
        <f>bal_rev</f>
        <v/>
      </c>
      <c r="C29" s="9">
        <f>B29/bal_tot</f>
        <v/>
      </c>
      <c r="D29" s="7">
        <f>rev_int</f>
        <v/>
      </c>
      <c r="E29" s="8">
        <f>D29/B29</f>
        <v/>
      </c>
    </row>
    <row r="30">
      <c r="A30" t="inlineStr">
        <is>
          <t>Installment</t>
        </is>
      </c>
      <c r="B30" s="7">
        <f>bal_inst</f>
        <v/>
      </c>
      <c r="C30" s="9">
        <f>B30/bal_tot</f>
        <v/>
      </c>
      <c r="D30" s="7">
        <f>inst_int+upfront</f>
        <v/>
      </c>
      <c r="E30" s="8">
        <f>D30/B30</f>
        <v/>
      </c>
    </row>
    <row r="31">
      <c r="A31" t="inlineStr">
        <is>
          <t>Transacting (interchange only)</t>
        </is>
      </c>
      <c r="B31" s="7">
        <f>bal_tra</f>
        <v/>
      </c>
      <c r="C31" s="9">
        <f>B31/bal_tot</f>
        <v/>
      </c>
      <c r="D31" s="7">
        <f>interchange</f>
        <v/>
      </c>
      <c r="E31" s="8">
        <f>D31/B31</f>
        <v/>
      </c>
    </row>
    <row r="32">
      <c r="A32" s="2" t="inlineStr">
        <is>
          <t>Note: interchange is earned on spend, not balances; 3.15%/mo on the transacting bucket only because those balances turn ~2.3× a month. On the whole book it is 1.26%/mo.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</cols>
  <sheetData>
    <row r="1">
      <c r="A1" s="1" t="inlineStr">
        <is>
          <t>Why the collateral-only view is 8.2% net — and why it matters for structure</t>
        </is>
      </c>
    </row>
    <row r="2"/>
    <row r="3" ht="30" customHeight="1">
      <c r="A3" s="14" t="inlineStr">
        <is>
          <t>In configuration A (parent borrows; ZFPI grants a lien over the receivables pool + control of the collection account), the lender's security is the cash cardholders pay against their statements.</t>
        </is>
      </c>
    </row>
    <row r="4" ht="30" customHeight="1">
      <c r="A4" s="14" t="inlineStr">
        <is>
          <t>Cardholder payments = statement balance = purchases + revolving interest + installment interest + upfront fees + late fees. The revenue inside those payments is the three interest/fee lines — 'balance-driven yield'.</t>
        </is>
      </c>
    </row>
    <row r="5" ht="30" customHeight="1">
      <c r="A5" s="14" t="inlineStr">
        <is>
          <t>Interchange is paid by Mastercard to Zed at settlement (T+1), netted against what Zed funds to the merchant. It is never billed to a cardholder and never enters the collection account. A lender can only count it through recourse to Zed (guarantee / corporate covenant), not through the pledged asset.</t>
        </is>
      </c>
    </row>
    <row r="6" ht="8" customHeight="1">
      <c r="A6" s="14" t="inlineStr"/>
    </row>
    <row r="7" ht="30" customHeight="1">
      <c r="A7" s="14" t="inlineStr">
        <is>
          <t>Collateral-only arithmetic (Sep 2026, annualized on avg receivables):</t>
        </is>
      </c>
    </row>
    <row r="8"/>
    <row r="9">
      <c r="A9" t="inlineStr">
        <is>
          <t>Revolving interest</t>
        </is>
      </c>
      <c r="B9" s="9">
        <f>'Today — Sep 2026'!D4</f>
        <v/>
      </c>
    </row>
    <row r="10">
      <c r="A10" t="inlineStr">
        <is>
          <t>Installment interest + upfront fees</t>
        </is>
      </c>
      <c r="B10" s="9">
        <f>'Today — Sep 2026'!D5</f>
        <v/>
      </c>
    </row>
    <row r="11">
      <c r="A11" t="inlineStr">
        <is>
          <t>Late fees</t>
        </is>
      </c>
      <c r="B11" s="9">
        <f>'Today — Sep 2026'!D6</f>
        <v/>
      </c>
    </row>
    <row r="12">
      <c r="A12" s="4">
        <f> Balance-driven gross yield</f>
        <v/>
      </c>
      <c r="B12" s="12">
        <f>'Today — Sep 2026'!D7</f>
        <v/>
      </c>
    </row>
    <row r="13">
      <c r="A13" t="inlineStr">
        <is>
          <t>− Loss on receivables (base case C, V2 vintages)</t>
        </is>
      </c>
      <c r="B13" s="9">
        <f>'Today — Sep 2026'!D16</f>
        <v/>
      </c>
    </row>
    <row r="14">
      <c r="A14" s="4">
        <f> Net collateral yield</f>
        <v/>
      </c>
      <c r="B14" s="12">
        <f>B12-B13</f>
        <v/>
      </c>
    </row>
    <row r="15">
      <c r="A15" t="inlineStr">
        <is>
          <t>− Cost of funds (coupon × advance)</t>
        </is>
      </c>
      <c r="B15" s="9">
        <f>coupon*advance</f>
        <v/>
      </c>
    </row>
    <row r="16">
      <c r="A16" s="4">
        <f> Excess spread, collateral only</f>
        <v/>
      </c>
      <c r="B16" s="12">
        <f>B14-B15</f>
        <v/>
      </c>
    </row>
    <row r="17"/>
    <row r="18" ht="46" customHeight="1">
      <c r="A18" s="14" t="inlineStr">
        <is>
          <t>Reading: on pledged cash flows alone, today's book does not carry a high-teens coupon. The facility is therefore underwritten on interchange plus corporate recourse — which is why the parent guarantee is not negotiable away on a first facility, and why negotiation capital is better spent on the coupon.</t>
        </is>
      </c>
    </row>
    <row r="19" ht="46" customHeight="1">
      <c r="A19" s="14" t="inlineStr">
        <is>
          <t>The All-revenue column on the Today sheet is the same arithmetic with interchange included.</t>
        </is>
      </c>
    </row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Scenario analysis — excess spread (all-revenue view) by coupon × loss rate × revolving share</t>
        </is>
      </c>
    </row>
    <row r="2" ht="62" customHeight="1">
      <c r="A2" s="14" t="inlineStr">
        <is>
          <t>Model: transacting and installment balances held at September levels; interchange, installment charges and late fees held in pesos (they are spend-driven); revolving balance scaled to hit the target share; revolving interest = Sep monthly rate on revolving balance; originations held → principal turnover falls as balances grow, so the same loss-on-originations becomes a smaller loss on balances. Cost of funds = coupon × advance rate; no frictions.</t>
        </is>
      </c>
    </row>
    <row r="3"/>
    <row r="4">
      <c r="A4" s="4" t="inlineStr">
        <is>
          <t>Calibration (from Inputs)</t>
        </is>
      </c>
    </row>
    <row r="5">
      <c r="A5" t="inlineStr">
        <is>
          <t>Revolving monthly rate on revolving balance</t>
        </is>
      </c>
      <c r="B5" s="15">
        <f>rev_int/bal_rev</f>
        <v/>
      </c>
    </row>
    <row r="6">
      <c r="A6" t="inlineStr">
        <is>
          <t>Revolving share of balances, today</t>
        </is>
      </c>
      <c r="B6" s="9">
        <f>bal_rev/bal_tot</f>
        <v/>
      </c>
    </row>
    <row r="7">
      <c r="A7" t="inlineStr">
        <is>
          <t>Non-revolving balance (transacting + installment), scaled to avg receivables</t>
        </is>
      </c>
      <c r="B7" s="7">
        <f>(bal_tra+bal_inst)/bal_tot*avg_rec</f>
        <v/>
      </c>
    </row>
    <row r="8">
      <c r="A8" t="inlineStr">
        <is>
          <t>Annual originations (Sep × 12)</t>
        </is>
      </c>
      <c r="B8" s="7">
        <f>orig*12</f>
        <v/>
      </c>
    </row>
    <row r="9">
      <c r="A9" t="inlineStr">
        <is>
          <t>Annual interchange + installment charges + late fees (Sep × 12)</t>
        </is>
      </c>
      <c r="B9" s="7">
        <f>(interchange+inst_int+upfront+late)*12</f>
        <v/>
      </c>
    </row>
    <row r="10">
      <c r="A10" t="inlineStr">
        <is>
          <t xml:space="preserve">  of which balance-driven (installment charges + late fees)</t>
        </is>
      </c>
      <c r="B10" s="7">
        <f>(inst_int+upfront+late)*12</f>
        <v/>
      </c>
    </row>
    <row r="11">
      <c r="A11" t="inlineStr">
        <is>
          <t>Advance rate</t>
        </is>
      </c>
      <c r="B11" s="16">
        <f>advance</f>
        <v/>
      </c>
    </row>
    <row r="12"/>
    <row r="13"/>
    <row r="14">
      <c r="A14" s="4" t="inlineStr">
        <is>
          <t>Revolving share of balances = Today (43.9%)</t>
        </is>
      </c>
      <c r="B14" s="9">
        <f>bal_rev/bal_tot</f>
        <v/>
      </c>
    </row>
    <row r="15">
      <c r="A15" t="inlineStr">
        <is>
          <t>Revolving balance (PHP)</t>
        </is>
      </c>
      <c r="B15" s="7">
        <f>$B$14/(1-$B$14)*$B$7</f>
        <v/>
      </c>
    </row>
    <row r="16">
      <c r="A16" t="inlineStr">
        <is>
          <t>Total receivables (PHP)</t>
        </is>
      </c>
      <c r="B16" s="7">
        <f>$B$7+$B$15</f>
        <v/>
      </c>
    </row>
    <row r="17">
      <c r="A17" t="inlineStr">
        <is>
          <t>Gross yield — all revenue</t>
        </is>
      </c>
      <c r="B17" s="9">
        <f>($B$5*12*$B$15+$B$9)/$B$16</f>
        <v/>
      </c>
    </row>
    <row r="18">
      <c r="A18" t="inlineStr">
        <is>
          <t>Gross yield — balance-driven only</t>
        </is>
      </c>
      <c r="B18" s="9">
        <f>($B$5*12*$B$15+$B$10)/$B$16</f>
        <v/>
      </c>
    </row>
    <row r="19">
      <c r="A19" t="inlineStr">
        <is>
          <t>Principal turnover (x per year)</t>
        </is>
      </c>
      <c r="B19" s="13">
        <f>$B$8/$B$16</f>
        <v/>
      </c>
    </row>
    <row r="20">
      <c r="A20" s="3" t="inlineStr">
        <is>
          <t>Excess spread (all-revenue) — coupon ↓ / loss rate →</t>
        </is>
      </c>
      <c r="B20" s="3" t="inlineStr">
        <is>
          <t>V2 ≥90 DPD 1.06%</t>
        </is>
      </c>
      <c r="C20" s="3" t="inlineStr">
        <is>
          <t>Lifetime ≥90 DPD 1.46%</t>
        </is>
      </c>
      <c r="D20" s="3" t="inlineStr">
        <is>
          <t>Lifetime &gt;15 DPD 1.78%</t>
        </is>
      </c>
      <c r="E20" s="3" t="inlineStr"/>
      <c r="F20" s="3" t="inlineStr">
        <is>
          <t>Net yield (before cost) →</t>
        </is>
      </c>
      <c r="G20" s="3" t="inlineStr">
        <is>
          <t>V2 ≥90 DPD 1.06%</t>
        </is>
      </c>
      <c r="H20" s="3" t="inlineStr">
        <is>
          <t>Lifetime ≥90 DPD 1.46%</t>
        </is>
      </c>
      <c r="I20" s="3" t="inlineStr">
        <is>
          <t>Lifetime &gt;15 DPD 1.78%</t>
        </is>
      </c>
    </row>
    <row r="21">
      <c r="A21" t="inlineStr">
        <is>
          <t>Coupon 15% (cost on receivables = 15% × advance)</t>
        </is>
      </c>
      <c r="B21" s="9">
        <f>$B$17-L_v2_90*$B$19-0.15*$B$11</f>
        <v/>
      </c>
      <c r="C21" s="9">
        <f>$B$17-L_life90*$B$19-0.15*$B$11</f>
        <v/>
      </c>
      <c r="D21" s="9">
        <f>$B$17-L_life16*$B$19-0.15*$B$11</f>
        <v/>
      </c>
      <c r="G21" s="9">
        <f>$B$17-L_v2_90*$B$19</f>
        <v/>
      </c>
      <c r="H21" s="9">
        <f>$B$17-L_life90*$B$19</f>
        <v/>
      </c>
      <c r="I21" s="9">
        <f>$B$17-L_life16*$B$19</f>
        <v/>
      </c>
    </row>
    <row r="22">
      <c r="A22" t="inlineStr">
        <is>
          <t>Coupon 17% (cost on receivables = 17% × advance)</t>
        </is>
      </c>
      <c r="B22" s="9">
        <f>$B$17-L_v2_90*$B$19-0.17*$B$11</f>
        <v/>
      </c>
      <c r="C22" s="9">
        <f>$B$17-L_life90*$B$19-0.17*$B$11</f>
        <v/>
      </c>
      <c r="D22" s="9">
        <f>$B$17-L_life16*$B$19-0.17*$B$11</f>
        <v/>
      </c>
      <c r="G22" s="9">
        <f>$B$17-L_v2_90*$B$19</f>
        <v/>
      </c>
      <c r="H22" s="9">
        <f>$B$17-L_life90*$B$19</f>
        <v/>
      </c>
      <c r="I22" s="9">
        <f>$B$17-L_life16*$B$19</f>
        <v/>
      </c>
    </row>
    <row r="23">
      <c r="A23" t="inlineStr">
        <is>
          <t>Coupon 19% (cost on receivables = 19% × advance)</t>
        </is>
      </c>
      <c r="B23" s="9">
        <f>$B$17-L_v2_90*$B$19-0.19*$B$11</f>
        <v/>
      </c>
      <c r="C23" s="9">
        <f>$B$17-L_life90*$B$19-0.19*$B$11</f>
        <v/>
      </c>
      <c r="D23" s="9">
        <f>$B$17-L_life16*$B$19-0.19*$B$11</f>
        <v/>
      </c>
      <c r="G23" s="9">
        <f>$B$17-L_v2_90*$B$19</f>
        <v/>
      </c>
      <c r="H23" s="9">
        <f>$B$17-L_life90*$B$19</f>
        <v/>
      </c>
      <c r="I23" s="9">
        <f>$B$17-L_life16*$B$19</f>
        <v/>
      </c>
    </row>
    <row r="24"/>
    <row r="25">
      <c r="A25" s="4" t="inlineStr">
        <is>
          <t>Revolving share of balances = 50%</t>
        </is>
      </c>
      <c r="B25" s="9" t="n">
        <v>0.5</v>
      </c>
    </row>
    <row r="26">
      <c r="A26" t="inlineStr">
        <is>
          <t>Revolving balance (PHP)</t>
        </is>
      </c>
      <c r="B26" s="7">
        <f>$B$25/(1-$B$25)*$B$7</f>
        <v/>
      </c>
    </row>
    <row r="27">
      <c r="A27" t="inlineStr">
        <is>
          <t>Total receivables (PHP)</t>
        </is>
      </c>
      <c r="B27" s="7">
        <f>$B$7+$B$26</f>
        <v/>
      </c>
    </row>
    <row r="28">
      <c r="A28" t="inlineStr">
        <is>
          <t>Gross yield — all revenue</t>
        </is>
      </c>
      <c r="B28" s="9">
        <f>($B$5*12*$B$26+$B$9)/$B$27</f>
        <v/>
      </c>
    </row>
    <row r="29">
      <c r="A29" t="inlineStr">
        <is>
          <t>Gross yield — balance-driven only</t>
        </is>
      </c>
      <c r="B29" s="9">
        <f>($B$5*12*$B$26+$B$10)/$B$27</f>
        <v/>
      </c>
    </row>
    <row r="30">
      <c r="A30" t="inlineStr">
        <is>
          <t>Principal turnover (x per year)</t>
        </is>
      </c>
      <c r="B30" s="13">
        <f>$B$8/$B$27</f>
        <v/>
      </c>
    </row>
    <row r="31">
      <c r="A31" s="3" t="inlineStr">
        <is>
          <t>Excess spread (all-revenue) — coupon ↓ / loss rate →</t>
        </is>
      </c>
      <c r="B31" s="3" t="inlineStr">
        <is>
          <t>V2 ≥90 DPD 1.06%</t>
        </is>
      </c>
      <c r="C31" s="3" t="inlineStr">
        <is>
          <t>Lifetime ≥90 DPD 1.46%</t>
        </is>
      </c>
      <c r="D31" s="3" t="inlineStr">
        <is>
          <t>Lifetime &gt;15 DPD 1.78%</t>
        </is>
      </c>
      <c r="E31" s="3" t="inlineStr"/>
      <c r="F31" s="3" t="inlineStr">
        <is>
          <t>Net yield (before cost) →</t>
        </is>
      </c>
      <c r="G31" s="3" t="inlineStr">
        <is>
          <t>V2 ≥90 DPD 1.06%</t>
        </is>
      </c>
      <c r="H31" s="3" t="inlineStr">
        <is>
          <t>Lifetime ≥90 DPD 1.46%</t>
        </is>
      </c>
      <c r="I31" s="3" t="inlineStr">
        <is>
          <t>Lifetime &gt;15 DPD 1.78%</t>
        </is>
      </c>
    </row>
    <row r="32">
      <c r="A32" t="inlineStr">
        <is>
          <t>Coupon 15% (cost on receivables = 15% × advance)</t>
        </is>
      </c>
      <c r="B32" s="9">
        <f>$B$28-L_v2_90*$B$30-0.15*$B$11</f>
        <v/>
      </c>
      <c r="C32" s="9">
        <f>$B$28-L_life90*$B$30-0.15*$B$11</f>
        <v/>
      </c>
      <c r="D32" s="9">
        <f>$B$28-L_life16*$B$30-0.15*$B$11</f>
        <v/>
      </c>
      <c r="G32" s="9">
        <f>$B$28-L_v2_90*$B$30</f>
        <v/>
      </c>
      <c r="H32" s="9">
        <f>$B$28-L_life90*$B$30</f>
        <v/>
      </c>
      <c r="I32" s="9">
        <f>$B$28-L_life16*$B$30</f>
        <v/>
      </c>
    </row>
    <row r="33">
      <c r="A33" t="inlineStr">
        <is>
          <t>Coupon 17% (cost on receivables = 17% × advance)</t>
        </is>
      </c>
      <c r="B33" s="9">
        <f>$B$28-L_v2_90*$B$30-0.17*$B$11</f>
        <v/>
      </c>
      <c r="C33" s="9">
        <f>$B$28-L_life90*$B$30-0.17*$B$11</f>
        <v/>
      </c>
      <c r="D33" s="9">
        <f>$B$28-L_life16*$B$30-0.17*$B$11</f>
        <v/>
      </c>
      <c r="G33" s="9">
        <f>$B$28-L_v2_90*$B$30</f>
        <v/>
      </c>
      <c r="H33" s="9">
        <f>$B$28-L_life90*$B$30</f>
        <v/>
      </c>
      <c r="I33" s="9">
        <f>$B$28-L_life16*$B$30</f>
        <v/>
      </c>
    </row>
    <row r="34">
      <c r="A34" t="inlineStr">
        <is>
          <t>Coupon 19% (cost on receivables = 19% × advance)</t>
        </is>
      </c>
      <c r="B34" s="9">
        <f>$B$28-L_v2_90*$B$30-0.19*$B$11</f>
        <v/>
      </c>
      <c r="C34" s="9">
        <f>$B$28-L_life90*$B$30-0.19*$B$11</f>
        <v/>
      </c>
      <c r="D34" s="9">
        <f>$B$28-L_life16*$B$30-0.19*$B$11</f>
        <v/>
      </c>
      <c r="G34" s="9">
        <f>$B$28-L_v2_90*$B$30</f>
        <v/>
      </c>
      <c r="H34" s="9">
        <f>$B$28-L_life90*$B$30</f>
        <v/>
      </c>
      <c r="I34" s="9">
        <f>$B$28-L_life16*$B$30</f>
        <v/>
      </c>
    </row>
    <row r="35"/>
    <row r="36">
      <c r="A36" s="4" t="inlineStr">
        <is>
          <t>Revolving share of balances = 55%</t>
        </is>
      </c>
      <c r="B36" s="9" t="n">
        <v>0.55</v>
      </c>
    </row>
    <row r="37">
      <c r="A37" t="inlineStr">
        <is>
          <t>Revolving balance (PHP)</t>
        </is>
      </c>
      <c r="B37" s="7">
        <f>$B$36/(1-$B$36)*$B$7</f>
        <v/>
      </c>
    </row>
    <row r="38">
      <c r="A38" t="inlineStr">
        <is>
          <t>Total receivables (PHP)</t>
        </is>
      </c>
      <c r="B38" s="7">
        <f>$B$7+$B$37</f>
        <v/>
      </c>
    </row>
    <row r="39">
      <c r="A39" t="inlineStr">
        <is>
          <t>Gross yield — all revenue</t>
        </is>
      </c>
      <c r="B39" s="9">
        <f>($B$5*12*$B$37+$B$9)/$B$38</f>
        <v/>
      </c>
    </row>
    <row r="40">
      <c r="A40" t="inlineStr">
        <is>
          <t>Gross yield — balance-driven only</t>
        </is>
      </c>
      <c r="B40" s="9">
        <f>($B$5*12*$B$37+$B$10)/$B$38</f>
        <v/>
      </c>
    </row>
    <row r="41">
      <c r="A41" t="inlineStr">
        <is>
          <t>Principal turnover (x per year)</t>
        </is>
      </c>
      <c r="B41" s="13">
        <f>$B$8/$B$38</f>
        <v/>
      </c>
    </row>
    <row r="42">
      <c r="A42" s="3" t="inlineStr">
        <is>
          <t>Excess spread (all-revenue) — coupon ↓ / loss rate →</t>
        </is>
      </c>
      <c r="B42" s="3" t="inlineStr">
        <is>
          <t>V2 ≥90 DPD 1.06%</t>
        </is>
      </c>
      <c r="C42" s="3" t="inlineStr">
        <is>
          <t>Lifetime ≥90 DPD 1.46%</t>
        </is>
      </c>
      <c r="D42" s="3" t="inlineStr">
        <is>
          <t>Lifetime &gt;15 DPD 1.78%</t>
        </is>
      </c>
      <c r="E42" s="3" t="inlineStr"/>
      <c r="F42" s="3" t="inlineStr">
        <is>
          <t>Net yield (before cost) →</t>
        </is>
      </c>
      <c r="G42" s="3" t="inlineStr">
        <is>
          <t>V2 ≥90 DPD 1.06%</t>
        </is>
      </c>
      <c r="H42" s="3" t="inlineStr">
        <is>
          <t>Lifetime ≥90 DPD 1.46%</t>
        </is>
      </c>
      <c r="I42" s="3" t="inlineStr">
        <is>
          <t>Lifetime &gt;15 DPD 1.78%</t>
        </is>
      </c>
    </row>
    <row r="43">
      <c r="A43" t="inlineStr">
        <is>
          <t>Coupon 15% (cost on receivables = 15% × advance)</t>
        </is>
      </c>
      <c r="B43" s="9">
        <f>$B$39-L_v2_90*$B$41-0.15*$B$11</f>
        <v/>
      </c>
      <c r="C43" s="9">
        <f>$B$39-L_life90*$B$41-0.15*$B$11</f>
        <v/>
      </c>
      <c r="D43" s="9">
        <f>$B$39-L_life16*$B$41-0.15*$B$11</f>
        <v/>
      </c>
      <c r="G43" s="9">
        <f>$B$39-L_v2_90*$B$41</f>
        <v/>
      </c>
      <c r="H43" s="9">
        <f>$B$39-L_life90*$B$41</f>
        <v/>
      </c>
      <c r="I43" s="9">
        <f>$B$39-L_life16*$B$41</f>
        <v/>
      </c>
    </row>
    <row r="44">
      <c r="A44" t="inlineStr">
        <is>
          <t>Coupon 17% (cost on receivables = 17% × advance)</t>
        </is>
      </c>
      <c r="B44" s="9">
        <f>$B$39-L_v2_90*$B$41-0.17*$B$11</f>
        <v/>
      </c>
      <c r="C44" s="9">
        <f>$B$39-L_life90*$B$41-0.17*$B$11</f>
        <v/>
      </c>
      <c r="D44" s="9">
        <f>$B$39-L_life16*$B$41-0.17*$B$11</f>
        <v/>
      </c>
      <c r="G44" s="9">
        <f>$B$39-L_v2_90*$B$41</f>
        <v/>
      </c>
      <c r="H44" s="9">
        <f>$B$39-L_life90*$B$41</f>
        <v/>
      </c>
      <c r="I44" s="9">
        <f>$B$39-L_life16*$B$41</f>
        <v/>
      </c>
    </row>
    <row r="45">
      <c r="A45" t="inlineStr">
        <is>
          <t>Coupon 19% (cost on receivables = 19% × advance)</t>
        </is>
      </c>
      <c r="B45" s="9">
        <f>$B$39-L_v2_90*$B$41-0.19*$B$11</f>
        <v/>
      </c>
      <c r="C45" s="9">
        <f>$B$39-L_life90*$B$41-0.19*$B$11</f>
        <v/>
      </c>
      <c r="D45" s="9">
        <f>$B$39-L_life16*$B$41-0.19*$B$11</f>
        <v/>
      </c>
      <c r="G45" s="9">
        <f>$B$39-L_v2_90*$B$41</f>
        <v/>
      </c>
      <c r="H45" s="9">
        <f>$B$39-L_life90*$B$41</f>
        <v/>
      </c>
      <c r="I45" s="9">
        <f>$B$39-L_life16*$B$41</f>
        <v/>
      </c>
    </row>
    <row r="46"/>
    <row r="47">
      <c r="A47" s="2" t="inlineStr">
        <is>
          <t>Read across: base case = today's share, V2 ≥90 DPD loss (first loss column), 19% coupon — 8.9 points of excess spread; the lifetime columns show the conservative case a lender will also run. Moving to 50–55% revolving adds ~1–1.5 points; each 2 points of coupon is worth 1.6 points at an 80% advance.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" t="inlineStr">
        <is>
          <t>Sources and how to regenerate</t>
        </is>
      </c>
    </row>
    <row r="3" ht="48" customHeight="1">
      <c r="A3" s="4" t="inlineStr">
        <is>
          <t>KPI Dashboard_v2026 (12).xlsx, Monthly tab</t>
        </is>
      </c>
      <c r="B3" s="14" t="inlineStr">
        <is>
          <t>Steve's periodically updated KPI workbook; snapshot of 2026-10-26 filed at debt_dd/inbox/processed/. Rows cited by number on the Inputs sheet. Revenue lines from the i2c Transaction History Settlement Extract and Network Settlement Summary (see its KPIs Definition tab).</t>
        </is>
      </c>
    </row>
    <row r="4" ht="48" customHeight="1">
      <c r="A4" s="4" t="inlineStr">
        <is>
          <t>revolver_transactor_balances_2026-01_to_2026-09_10262026.csv</t>
        </is>
      </c>
      <c r="B4" s="14" t="inlineStr">
        <is>
          <t>~/apps/zed/Analysis+Reports/. Regenerate: bash ~/.claude/skills/revolver-transactor-report/scripts/run_report.sh --from 2026-01 --to 2026-09 (BigQuery epicac-2.zed_reporting views; definitions in the skill). Statement-based: revolving = ending balance less installment charge on statements with interest_charged &gt; 0.</t>
        </is>
      </c>
    </row>
    <row r="5" ht="48" customHeight="1">
      <c r="A5" s="4" t="inlineStr">
        <is>
          <t>vintage_loss_by_origination_month_10262026.csv / vintage_loss_since_origination_month_10262026.csv</t>
        </is>
      </c>
      <c r="B5" s="14" t="inlineStr">
        <is>
          <t>~/apps/zed/Analysis+Reports/. Regenerate: bash ~/.claude/skills/vintage-loss-report/scripts/run_report.sh (FIFO waterfall views in epicac-2.zed_reporting). Run of 2026-10-26: waterfall vs actual 97.0% exact, 1.35% residual — PASS; delinquent-book tie 0.17% — PASS.</t>
        </is>
      </c>
    </row>
    <row r="6" ht="48" customHeight="1">
      <c r="A6" s="4" t="inlineStr">
        <is>
          <t>Annualization</t>
        </is>
      </c>
      <c r="B6" s="14" t="inlineStr">
        <is>
          <t>Monthly amount ÷ September average receivables (Dashboard r67) × 12. Simple, not compounded — the same convention as Steve's BOE Yield sheet.</t>
        </is>
      </c>
    </row>
    <row r="7" ht="48" customHeight="1">
      <c r="A7" s="4" t="inlineStr">
        <is>
          <t>Loss on receivables</t>
        </is>
      </c>
      <c r="B7" s="14" t="inlineStr">
        <is>
          <t>Loss-on-originations (vintage, seasoned, cumulative) × principal turnover (Sep originations × 12 ÷ avg receivables). Cross-checked against 181+ bucket growth on the dashboard, which is not a vintage measure.</t>
        </is>
      </c>
    </row>
    <row r="8" ht="48" customHeight="1">
      <c r="A8" s="4" t="inlineStr">
        <is>
          <t>Excluded on purpose</t>
        </is>
      </c>
      <c r="B8" s="14" t="inlineStr">
        <is>
          <t>PH withholding on the intercompany coupon, FX hedge cost, servicing/opex, i2c processing cost, Mastercard network assessments. Add back before quoting an all-in number to a lender.</t>
        </is>
      </c>
    </row>
    <row r="9" ht="48" customHeight="1">
      <c r="A9" s="4" t="inlineStr">
        <is>
          <t>Prepared</t>
        </is>
      </c>
      <c r="B9" s="14" t="inlineStr">
        <is>
          <t>2026-10-26, debt_dd workspace; internal — not fund-facing.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2026-10-27T06:14:50Z</dcterms:created>
  <dcterms:modified xmlns:dcterms="http://purl.org/dc/terms/" xmlns:xsi="http://www.w3.org/2001/XMLSchema-instance" xsi:type="dcterms:W3CDTF">2026-10-27T06:19:26Z</dcterms:modified>
</cp:coreProperties>
</file>