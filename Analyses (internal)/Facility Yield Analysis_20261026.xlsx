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Collateral-only view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source-reports/revolver_transactor_balances_2026-01_to_2026-09_10262026.csv,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source-reports/vintage_loss_by_origination_month_10262026.csv,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source-reports/vintage_loss_since_origination_month_10262026.csv,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Everything a lender sees in pledged collections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Settled by Mastercard to Zed at T+1 on the merchant side; not a cardholder payment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</row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Balance-driven view (collateral only)</t>
        </is>
      </c>
      <c r="C20" s="3" t="inlineStr">
        <is>
          <t>All-revenue view (incl. interchange)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collateral-only view: the facility is being underwritten on interchange + corporate recourse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on each bucket's own balance — reconciles to Steve's BOE sheet)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Revenue on this bucket, PHP/mo</t>
        </is>
      </c>
      <c r="E28" s="3" t="inlineStr">
        <is>
          <t>Monthly yield on own balance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 (interchange only)</t>
        </is>
      </c>
      <c r="B31" s="7">
        <f>bal_tra</f>
        <v/>
      </c>
      <c r="C31" s="9">
        <f>B31/bal_tot</f>
        <v/>
      </c>
      <c r="D31" s="7">
        <f>interchange</f>
        <v/>
      </c>
      <c r="E31" s="8">
        <f>D31/B31</f>
        <v/>
      </c>
    </row>
    <row r="32">
      <c r="A32" s="2" t="inlineStr">
        <is>
          <t>Note: interchange is earned on spend, not balances; 3.15%/mo on the transacting bucket only because those balances turn ~2.3× a month. On the whole book it is 1.26%/mo.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</cols>
  <sheetData>
    <row r="1">
      <c r="A1" s="1" t="inlineStr">
        <is>
          <t>Why the collateral-only view is 8.2% net — and why it matters for structure</t>
        </is>
      </c>
    </row>
    <row r="3" ht="30" customHeight="1">
      <c r="A3" s="14" t="inlineStr">
        <is>
          <t>In configuration A (parent borrows; ZFPI grants a lien over the receivables pool + control of the collection account), the lender's security is the cash cardholders pay against their statements.</t>
        </is>
      </c>
    </row>
    <row r="4" ht="30" customHeight="1">
      <c r="A4" s="14" t="inlineStr">
        <is>
          <t>Cardholder payments = statement balance = purchases + revolving interest + installment interest + upfront fees + late fees. The revenue inside those payments is the three interest/fee lines — 'balance-driven yield'.</t>
        </is>
      </c>
    </row>
    <row r="5" ht="30" customHeight="1">
      <c r="A5" s="14" t="inlineStr">
        <is>
          <t>Interchange is paid by Mastercard to Zed at settlement (T+1), netted against what Zed funds to the merchant. It is never billed to a cardholder and never enters the collection account. A lender can only count it through recourse to Zed (guarantee / corporate covenant), not through the pledged asset.</t>
        </is>
      </c>
    </row>
    <row r="6" ht="8" customHeight="1">
      <c r="A6" s="14" t="inlineStr"/>
    </row>
    <row r="7" ht="30" customHeight="1">
      <c r="A7" s="14" t="inlineStr">
        <is>
          <t>Collateral-only arithmetic (Sep 2026, annualized on avg receivables):</t>
        </is>
      </c>
    </row>
    <row r="9">
      <c r="A9" t="inlineStr">
        <is>
          <t>Revolving interest</t>
        </is>
      </c>
      <c r="B9" s="9">
        <f>'Today — Sep 2026'!D4</f>
        <v/>
      </c>
    </row>
    <row r="10">
      <c r="A10" t="inlineStr">
        <is>
          <t>Installment interest + upfront fees</t>
        </is>
      </c>
      <c r="B10" s="9">
        <f>'Today — Sep 2026'!D5</f>
        <v/>
      </c>
    </row>
    <row r="11">
      <c r="A11" t="inlineStr">
        <is>
          <t>Late fees</t>
        </is>
      </c>
      <c r="B11" s="9">
        <f>'Today — Sep 2026'!D6</f>
        <v/>
      </c>
    </row>
    <row r="12">
      <c r="A12" s="4" t="inlineStr">
        <is>
          <t>⇒ Balance-driven gross yield</t>
        </is>
      </c>
      <c r="B12" s="12">
        <f>'Today — Sep 2026'!D7</f>
        <v/>
      </c>
    </row>
    <row r="13">
      <c r="A13" t="inlineStr">
        <is>
          <t>− Loss on receivables (base case C, V2 vintages)</t>
        </is>
      </c>
      <c r="B13" s="9">
        <f>'Today — Sep 2026'!D16</f>
        <v/>
      </c>
    </row>
    <row r="14">
      <c r="A14" s="4" t="inlineStr">
        <is>
          <t>⇒ Net collateral yield</t>
        </is>
      </c>
      <c r="B14" s="12">
        <f>B12-B13</f>
        <v/>
      </c>
    </row>
    <row r="15">
      <c r="A15" t="inlineStr">
        <is>
          <t>− Cost of funds (coupon × advance)</t>
        </is>
      </c>
      <c r="B15" s="9">
        <f>coupon*advance</f>
        <v/>
      </c>
    </row>
    <row r="16">
      <c r="A16" s="4" t="inlineStr">
        <is>
          <t>⇒ Excess spread, collateral only</t>
        </is>
      </c>
      <c r="B16" s="12">
        <f>B14-B15</f>
        <v/>
      </c>
    </row>
    <row r="18" ht="46" customHeight="1">
      <c r="A18" s="14" t="inlineStr">
        <is>
          <t>Reading: on pledged cash flows alone, today's book does not carry a high-teens coupon. The facility is therefore underwritten on interchange plus corporate recourse — which is why the parent guarantee is not negotiable away on a first facility, and why negotiation capital is better spent on the coupon.</t>
        </is>
      </c>
    </row>
    <row r="19" ht="46" customHeight="1">
      <c r="A19" s="14" t="inlineStr">
        <is>
          <t>The All-revenue column on the Today sheet is the same arithmetic with interchange included.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2"/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Copies in debt_dd/Analyses (internal)/source-reports/ (originals in ~/apps/zed/Analysis+Reports/).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Copies in debt_dd/Analyses (internal)/source-reports/ (originals in ~/apps/zed/Analysis+Reports/).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  <row r="10"/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2026-10-27T06:29:20Z</dcterms:modified>
</cp:coreProperties>
</file>