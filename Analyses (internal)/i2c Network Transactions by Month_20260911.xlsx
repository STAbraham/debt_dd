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tevenabraham/apps/zed/debt_dd/Analyses (internal)/"/>
    </mc:Choice>
  </mc:AlternateContent>
  <xr:revisionPtr revIDLastSave="0" documentId="13_ncr:1_{6F40321F-4050-EA4A-B5CD-8B833E47FB1D}" xr6:coauthVersionLast="47" xr6:coauthVersionMax="47" xr10:uidLastSave="{00000000-0000-0000-0000-000000000000}"/>
  <bookViews>
    <workbookView xWindow="-36000" yWindow="-2100" windowWidth="36000" windowHeight="18880" xr2:uid="{00000000-000D-0000-FFFF-FFFF00000000}"/>
  </bookViews>
  <sheets>
    <sheet name="Network Trans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G14" i="1"/>
  <c r="G13" i="1"/>
  <c r="G12" i="1"/>
  <c r="G11" i="1"/>
  <c r="G10" i="1"/>
  <c r="G9" i="1"/>
  <c r="G8" i="1"/>
  <c r="G7" i="1"/>
  <c r="G6" i="1"/>
  <c r="G5" i="1"/>
  <c r="G4" i="1"/>
  <c r="F14" i="1"/>
  <c r="E14" i="1"/>
  <c r="C14" i="1"/>
  <c r="B14" i="1"/>
  <c r="D13" i="1"/>
  <c r="D12" i="1"/>
  <c r="D11" i="1"/>
  <c r="D10" i="1"/>
  <c r="D9" i="1"/>
  <c r="D8" i="1"/>
  <c r="D7" i="1"/>
  <c r="D6" i="1"/>
  <c r="D5" i="1"/>
  <c r="D4" i="1"/>
  <c r="D14" i="1" s="1"/>
</calcChain>
</file>

<file path=xl/sharedStrings.xml><?xml version="1.0" encoding="utf-8"?>
<sst xmlns="http://schemas.openxmlformats.org/spreadsheetml/2006/main" count="21" uniqueCount="21">
  <si>
    <t>i2c invoices — PIN POS &amp; ATM + Signature transactions per month</t>
  </si>
  <si>
    <t>Month</t>
  </si>
  <si>
    <t>PIN POS &amp; ATM (count)</t>
  </si>
  <si>
    <t>Signature (count)</t>
  </si>
  <si>
    <t>Total transactions (count)</t>
  </si>
  <si>
    <t>PIN POS &amp; ATM ($)</t>
  </si>
  <si>
    <t>Signature ($)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</si>
  <si>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</si>
  <si>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</si>
  <si>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</si>
  <si>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</si>
  <si>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</si>
  <si>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</si>
  <si>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</si>
  <si>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</si>
  <si>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</si>
  <si>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</si>
  <si>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Total</t>
  </si>
  <si>
    <t>Interchange</t>
  </si>
  <si>
    <t>GTV</t>
  </si>
  <si>
    <t>Total 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</si>
</sst>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&quot;$&quot;#,##0_);\(&quot;$&quot;#,##0\)"/>
    <numFmt numFmtId="164" formatCode="\$#,##0.00"/>
  </numFmts>
  <fonts count="5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2"/>
      <color theme="9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</fills>
  <borders count="2">
    <border>
      <left/>
      <right/>
      <top/>
      <bottom/>
      <diagonal/>
    </border>
    <border>
      <left/>
      <right style="hair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3" fillId="0" borderId="0" xfId="0" applyFont="1"/>
    <xf numFmtId="3" fontId="3" fillId="0" borderId="0" xfId="0" applyNumberFormat="1" applyFont="1"/>
    <xf numFmtId="164" fontId="3" fillId="0" borderId="0" xfId="0" applyNumberFormat="1" applyFont="1"/>
    <xf numFmtId="0" fontId="1" fillId="2" borderId="0" xfId="0" applyFont="1" applyFill="1" applyAlignment="1">
      <alignment vertical="center"/>
    </xf>
    <xf numFmtId="0" fontId="0" fillId="0" borderId="0" xfId="0"/>
    <xf numFmtId="5" fontId="4" fillId="0" borderId="0" xfId="0" applyNumberFormat="1" applyFont="1"/>
    <xf numFmtId="5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pane ySplit="3" topLeftCell="A4" activePane="bottomLeft" state="frozen"/>
      <selection pane="bottomLeft" activeCell="H12" sqref="H12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18" customWidth="1"/>
    <col min="4" max="4" width="22" customWidth="1"/>
    <col min="5" max="5" width="18" customWidth="1"/>
    <col min="6" max="7" width="14" customWidth="1"/>
    <col min="8" max="8" width="11.83203125" customWidth="1"/>
    <col min="9" max="9" width="17.1640625" customWidth="1"/>
  </cols>
  <sheetData>
    <row r="1" spans="1:9" ht="24" customHeight="1" x14ac:dyDescent="0.2">
      <c r="A1" s="7" t="s">
        <v>0</v>
      </c>
      <c r="B1" s="8"/>
      <c r="C1" s="8"/>
      <c r="D1" s="8"/>
      <c r="E1" s="8"/>
      <c r="F1" s="8"/>
    </row>
    <row r="3" spans="1:9" ht="16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20</v>
      </c>
      <c r="H3" s="1" t="s">
        <v>18</v>
      </c>
      <c r="I3" s="1" t="s">
        <v>19</v>
      </c>
    </row>
    <row r="4" spans="1:9" ht="16" x14ac:dyDescent="0.2">
      <c r="A4" t="s">
        <v>7</v>
      </c>
      <c r="B4" s="2">
        <v>11</v>
      </c>
      <c r="C4" s="2">
        <v>80249</v>
      </c>
      <c r="D4" s="2">
        <f t="shared" ref="D4:D13" si="0">B4+C4</f>
        <v>80260</v>
      </c>
      <c r="E4" s="3">
        <v>0.3</v>
      </c>
      <c r="F4" s="3">
        <v>2166.7199999999998</v>
      </c>
      <c r="G4" s="3">
        <f>SUM(E4:F4)</f>
        <v>2167.02</v>
      </c>
      <c r="H4" s="3">
        <v>15741.121863799284</v>
      </c>
      <c r="I4" s="9">
        <v>1035457.6372759859</v>
      </c>
    </row>
    <row r="5" spans="1:9" ht="16" x14ac:dyDescent="0.2">
      <c r="A5" t="s">
        <v>8</v>
      </c>
      <c r="B5" s="2">
        <v>3</v>
      </c>
      <c r="C5" s="2">
        <v>87917</v>
      </c>
      <c r="D5" s="2">
        <f t="shared" si="0"/>
        <v>87920</v>
      </c>
      <c r="E5" s="3">
        <v>0.08</v>
      </c>
      <c r="F5" s="3">
        <v>2373.7600000000002</v>
      </c>
      <c r="G5" s="3">
        <f t="shared" ref="G5:G13" si="1">SUM(E5:F5)</f>
        <v>2373.84</v>
      </c>
      <c r="H5" s="3">
        <v>16256.255197132617</v>
      </c>
      <c r="I5" s="9">
        <v>1165190.9078853049</v>
      </c>
    </row>
    <row r="6" spans="1:9" ht="16" x14ac:dyDescent="0.2">
      <c r="A6" t="s">
        <v>9</v>
      </c>
      <c r="B6" s="2">
        <v>15</v>
      </c>
      <c r="C6" s="2">
        <v>103397</v>
      </c>
      <c r="D6" s="2">
        <f t="shared" si="0"/>
        <v>103412</v>
      </c>
      <c r="E6" s="3">
        <v>0.4</v>
      </c>
      <c r="F6" s="3">
        <v>2791.72</v>
      </c>
      <c r="G6" s="3">
        <f t="shared" si="1"/>
        <v>2792.12</v>
      </c>
      <c r="H6" s="3">
        <v>15971.615949820791</v>
      </c>
      <c r="I6" s="9">
        <v>1232228.4835125445</v>
      </c>
    </row>
    <row r="7" spans="1:9" ht="16" x14ac:dyDescent="0.2">
      <c r="A7" t="s">
        <v>10</v>
      </c>
      <c r="B7" s="2">
        <v>9</v>
      </c>
      <c r="C7" s="2">
        <v>112466</v>
      </c>
      <c r="D7" s="2">
        <f t="shared" si="0"/>
        <v>112475</v>
      </c>
      <c r="E7" s="3">
        <v>0.24</v>
      </c>
      <c r="F7" s="3">
        <v>3036.58</v>
      </c>
      <c r="G7" s="3">
        <f t="shared" si="1"/>
        <v>3036.8199999999997</v>
      </c>
      <c r="H7" s="3">
        <v>18911.80358422939</v>
      </c>
      <c r="I7" s="10">
        <v>1298551.8765232973</v>
      </c>
    </row>
    <row r="8" spans="1:9" ht="16" x14ac:dyDescent="0.2">
      <c r="A8" t="s">
        <v>11</v>
      </c>
      <c r="B8" s="2">
        <v>11</v>
      </c>
      <c r="C8" s="2">
        <v>93863</v>
      </c>
      <c r="D8" s="2">
        <f t="shared" si="0"/>
        <v>93874</v>
      </c>
      <c r="E8" s="3">
        <v>0.31</v>
      </c>
      <c r="F8" s="3">
        <v>2628.16</v>
      </c>
      <c r="G8" s="3">
        <f t="shared" si="1"/>
        <v>2628.47</v>
      </c>
      <c r="H8" s="3">
        <v>14345.286738351255</v>
      </c>
      <c r="I8" s="9">
        <v>1116300.5179211472</v>
      </c>
    </row>
    <row r="9" spans="1:9" ht="16" x14ac:dyDescent="0.2">
      <c r="A9" t="s">
        <v>12</v>
      </c>
      <c r="B9" s="2">
        <v>5</v>
      </c>
      <c r="C9" s="2">
        <v>105529</v>
      </c>
      <c r="D9" s="2">
        <f t="shared" si="0"/>
        <v>105534</v>
      </c>
      <c r="E9" s="3">
        <v>0.14000000000000001</v>
      </c>
      <c r="F9" s="3">
        <v>2954.81</v>
      </c>
      <c r="G9" s="3">
        <f t="shared" si="1"/>
        <v>2954.95</v>
      </c>
      <c r="H9" s="3">
        <v>15495.215053763442</v>
      </c>
      <c r="I9" s="9">
        <v>1191698.214336918</v>
      </c>
    </row>
    <row r="10" spans="1:9" ht="16" x14ac:dyDescent="0.2">
      <c r="A10" t="s">
        <v>13</v>
      </c>
      <c r="B10" s="2">
        <v>10</v>
      </c>
      <c r="C10" s="2">
        <v>150811</v>
      </c>
      <c r="D10" s="2">
        <f t="shared" si="0"/>
        <v>150821</v>
      </c>
      <c r="E10" s="3">
        <v>0.28000000000000003</v>
      </c>
      <c r="F10" s="3">
        <v>4222.71</v>
      </c>
      <c r="G10" s="3">
        <f t="shared" si="1"/>
        <v>4222.99</v>
      </c>
      <c r="H10" s="3">
        <v>24455.57347670251</v>
      </c>
      <c r="I10" s="9">
        <v>1868752.4822580642</v>
      </c>
    </row>
    <row r="11" spans="1:9" ht="16" x14ac:dyDescent="0.2">
      <c r="A11" t="s">
        <v>14</v>
      </c>
      <c r="B11" s="2">
        <v>19</v>
      </c>
      <c r="C11" s="2">
        <v>179125</v>
      </c>
      <c r="D11" s="2">
        <f t="shared" si="0"/>
        <v>179144</v>
      </c>
      <c r="E11" s="3">
        <v>0.53</v>
      </c>
      <c r="F11" s="3">
        <v>5015.5</v>
      </c>
      <c r="G11" s="3">
        <f t="shared" si="1"/>
        <v>5016.03</v>
      </c>
      <c r="H11" s="3">
        <v>27267.616487455198</v>
      </c>
      <c r="I11" s="9">
        <v>2063789.8666666662</v>
      </c>
    </row>
    <row r="12" spans="1:9" ht="16" x14ac:dyDescent="0.2">
      <c r="A12" t="s">
        <v>15</v>
      </c>
      <c r="B12" s="2">
        <v>22</v>
      </c>
      <c r="C12" s="2">
        <v>201899</v>
      </c>
      <c r="D12" s="2">
        <f t="shared" si="0"/>
        <v>201921</v>
      </c>
      <c r="E12" s="3">
        <v>0.62</v>
      </c>
      <c r="F12" s="3">
        <v>5653.17</v>
      </c>
      <c r="G12" s="3">
        <f t="shared" si="1"/>
        <v>5653.79</v>
      </c>
      <c r="H12" s="3">
        <v>27699.086021505376</v>
      </c>
      <c r="I12" s="9">
        <v>2325289.8025089661</v>
      </c>
    </row>
    <row r="13" spans="1:9" ht="16" x14ac:dyDescent="0.2">
      <c r="A13" t="s">
        <v>16</v>
      </c>
      <c r="B13" s="2">
        <v>15</v>
      </c>
      <c r="C13" s="2">
        <v>221349</v>
      </c>
      <c r="D13" s="2">
        <f t="shared" si="0"/>
        <v>221364</v>
      </c>
      <c r="E13" s="3">
        <v>0.42</v>
      </c>
      <c r="F13" s="3">
        <v>6197.77</v>
      </c>
      <c r="G13" s="3">
        <f t="shared" si="1"/>
        <v>6198.1900000000005</v>
      </c>
      <c r="H13" s="3">
        <v>35182.68817204301</v>
      </c>
      <c r="I13" s="9">
        <v>2524444.7741935491</v>
      </c>
    </row>
    <row r="14" spans="1:9" x14ac:dyDescent="0.2">
      <c r="A14" s="4" t="s">
        <v>17</v>
      </c>
      <c r="B14" s="5">
        <f>SUM(B4:B13)</f>
        <v>120</v>
      </c>
      <c r="C14" s="5">
        <f>SUM(C4:C13)</f>
        <v>1336605</v>
      </c>
      <c r="D14" s="5">
        <f>SUM(D4:D13)</f>
        <v>1336725</v>
      </c>
      <c r="E14" s="6">
        <f>SUM(E4:E13)</f>
        <v>3.3200000000000003</v>
      </c>
      <c r="F14" s="6">
        <f>SUM(F4:F13)</f>
        <v>37040.899999999994</v>
      </c>
      <c r="G14" s="6">
        <f>SUM(G4:G13)</f>
        <v>37044.22</v>
      </c>
      <c r="H14" s="6">
        <f>SUM(H4:H13)</f>
        <v>211326.26254480288</v>
      </c>
      <c r="I14" s="6">
        <f>SUM(I4:I13)</f>
        <v>15821704.563082444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 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Abraham</cp:lastModifiedBy>
  <dcterms:created xsi:type="dcterms:W3CDTF">2026-09-11T21:41:56Z</dcterms:created>
  <dcterms:modified xsi:type="dcterms:W3CDTF">2026-09-11T21:48:49Z</dcterms:modified>
</cp:coreProperties>
</file>