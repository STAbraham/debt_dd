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tevenabraham/apps/zed/debt_dd/Analyses (internal)/"/>
    </mc:Choice>
  </mc:AlternateContent>
  <xr:revisionPtr revIDLastSave="0" documentId="8_{05AFD5E3-0A11-8841-AF92-460F4AB0D6B4}" xr6:coauthVersionLast="47" xr6:coauthVersionMax="47" xr10:uidLastSave="{00000000-0000-0000-0000-000000000000}"/>
  <bookViews>
    <workbookView xWindow="58100" yWindow="3700" windowWidth="36000" windowHeight="18880" xr2:uid="{00000000-000D-0000-FFFF-FFFF00000000}"/>
  </bookViews>
  <sheets>
    <sheet name="Network Transactions" sheetId="1" r:id="rId1"/>
  </sheets>
  <calcPr calcId="191029" calcMode="autoNoTable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4" i="1"/>
  <c r="I15" i="1"/>
  <c r="I5" i="1"/>
  <c r="I6" i="1"/>
  <c r="I7" i="1"/>
  <c r="I8" i="1"/>
  <c r="I9" i="1"/>
  <c r="I10" i="1"/>
  <c r="I11" i="1"/>
  <c r="I12" i="1"/>
  <c r="I13" i="1"/>
  <c r="I14" i="1"/>
  <c r="I4" i="1"/>
  <c r="J15" i="1" l="1"/>
  <c r="H15" i="1"/>
  <c r="K15" i="1" s="1"/>
  <c r="E15" i="1"/>
  <c r="F15" i="1"/>
  <c r="K5" i="1"/>
  <c r="K6" i="1"/>
  <c r="K7" i="1"/>
  <c r="K8" i="1"/>
  <c r="K9" i="1"/>
  <c r="K10" i="1"/>
  <c r="K11" i="1"/>
  <c r="K12" i="1"/>
  <c r="K13" i="1"/>
  <c r="K4" i="1"/>
  <c r="J14" i="1"/>
  <c r="K14" i="1" s="1"/>
  <c r="H14" i="1"/>
  <c r="G13" i="1"/>
  <c r="G12" i="1"/>
  <c r="G11" i="1"/>
  <c r="G10" i="1"/>
  <c r="G9" i="1"/>
  <c r="G8" i="1"/>
  <c r="G15" i="1" s="1"/>
  <c r="G7" i="1"/>
  <c r="G6" i="1"/>
  <c r="G5" i="1"/>
  <c r="G4" i="1"/>
  <c r="F14" i="1"/>
  <c r="E14" i="1"/>
  <c r="C14" i="1"/>
  <c r="B14" i="1"/>
  <c r="D13" i="1"/>
  <c r="D12" i="1"/>
  <c r="D11" i="1"/>
  <c r="D10" i="1"/>
  <c r="D9" i="1"/>
  <c r="D8" i="1"/>
  <c r="D7" i="1"/>
  <c r="D6" i="1"/>
  <c r="D5" i="1"/>
  <c r="D4" i="1"/>
  <c r="D14" i="1" l="1"/>
  <c r="G14" i="1"/>
</calcChain>
</file>

<file path=xl/sharedStrings.xml><?xml version="1.0" encoding="utf-8"?>
<sst xmlns="http://schemas.openxmlformats.org/spreadsheetml/2006/main" count="26" uniqueCount="26">
  <si>
    <t>i2c invoices — PIN POS &amp; ATM + Signature transactions per month</t>
  </si>
  <si>
    <t>Month</t>
  </si>
  <si>
    <t>PIN POS &amp; ATM (count)</t>
  </si>
  <si>
    <t>Signature (count)</t>
  </si>
  <si>
    <t>Total transactions (count)</t>
  </si>
  <si>
    <t>PIN POS &amp; ATM ($)</t>
  </si>
  <si>
    <t>Signature ($)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</si>
  <si>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</si>
  <si>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</si>
  <si>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</si>
  <si>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</si>
  <si>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</si>
  <si>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</si>
  <si>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</si>
  <si>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</si>
  <si>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</si>
  <si>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</si>
  <si>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Total</t>
  </si>
  <si>
    <t>Interchange</t>
  </si>
  <si>
    <t>GTV</t>
  </si>
  <si>
    <t>Total VC</t>
  </si>
  <si>
    <t>Gross interchange</t>
  </si>
  <si>
    <t>Net interchange</t>
  </si>
  <si>
    <t>Last 6 Months</t>
  </si>
  <si>
    <t>Net Interchange</t>
  </si>
  <si>
    <t xml:space="preserve">Can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</si>
</sst>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\$#,##0.0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5" fontId="5" fillId="0" borderId="0" xfId="0" applyNumberFormat="1" applyFont="1"/>
    <xf numFmtId="5" fontId="5" fillId="0" borderId="1" xfId="0" applyNumberFormat="1" applyFont="1" applyBorder="1"/>
    <xf numFmtId="10" fontId="0" fillId="0" borderId="0" xfId="1" applyNumberFormat="1" applyFont="1"/>
    <xf numFmtId="164" fontId="6" fillId="0" borderId="0" xfId="0" applyNumberFormat="1" applyFont="1"/>
    <xf numFmtId="0" fontId="1" fillId="2" borderId="0" xfId="0" applyFont="1" applyFill="1" applyAlignment="1">
      <alignment vertical="center"/>
    </xf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pane ySplit="3" topLeftCell="A4" activePane="bottomLeft" state="frozen"/>
      <selection pane="bottomLeft" activeCell="F17" sqref="F17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8" customWidth="1"/>
    <col min="4" max="4" width="22" customWidth="1"/>
    <col min="5" max="5" width="18" customWidth="1"/>
    <col min="6" max="7" width="14" customWidth="1"/>
    <col min="8" max="8" width="12.1640625" customWidth="1"/>
    <col min="9" max="9" width="17.5" customWidth="1"/>
    <col min="10" max="10" width="17.1640625" customWidth="1"/>
    <col min="11" max="11" width="21.83203125" customWidth="1"/>
    <col min="12" max="12" width="29.83203125" customWidth="1"/>
  </cols>
  <sheetData>
    <row r="1" spans="1:12" ht="24" customHeight="1" x14ac:dyDescent="0.2">
      <c r="A1" s="11" t="s">
        <v>0</v>
      </c>
      <c r="B1" s="12"/>
      <c r="C1" s="12"/>
      <c r="D1" s="12"/>
      <c r="E1" s="12"/>
      <c r="F1" s="12"/>
    </row>
    <row r="3" spans="1:12" ht="1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20</v>
      </c>
      <c r="H3" s="1" t="s">
        <v>18</v>
      </c>
      <c r="I3" s="1" t="s">
        <v>24</v>
      </c>
      <c r="J3" s="1" t="s">
        <v>19</v>
      </c>
      <c r="K3" s="1" t="s">
        <v>21</v>
      </c>
      <c r="L3" s="1" t="s">
        <v>22</v>
      </c>
    </row>
    <row r="4" spans="1:12" ht="16" x14ac:dyDescent="0.2">
      <c r="A4" t="s">
        <v>7</v>
      </c>
      <c r="B4" s="2">
        <v>11</v>
      </c>
      <c r="C4" s="2">
        <v>80249</v>
      </c>
      <c r="D4" s="2">
        <f t="shared" ref="D4:D13" si="0">B4+C4</f>
        <v>80260</v>
      </c>
      <c r="E4" s="3">
        <v>0.3</v>
      </c>
      <c r="F4" s="3">
        <v>2166.7199999999998</v>
      </c>
      <c r="G4" s="3">
        <f>SUM(E4:F4)</f>
        <v>2167.02</v>
      </c>
      <c r="H4" s="3">
        <v>15741.121863799284</v>
      </c>
      <c r="I4" s="3">
        <f>H4-G4</f>
        <v>13574.101863799284</v>
      </c>
      <c r="J4" s="7">
        <v>1035457.6372759859</v>
      </c>
      <c r="K4" s="9">
        <f>H4/J4</f>
        <v>1.5202091613530415E-2</v>
      </c>
      <c r="L4" s="9">
        <f>I4/J4</f>
        <v>1.3109277845020431E-2</v>
      </c>
    </row>
    <row r="5" spans="1:12" ht="16" x14ac:dyDescent="0.2">
      <c r="A5" t="s">
        <v>8</v>
      </c>
      <c r="B5" s="2">
        <v>3</v>
      </c>
      <c r="C5" s="2">
        <v>87917</v>
      </c>
      <c r="D5" s="2">
        <f t="shared" si="0"/>
        <v>87920</v>
      </c>
      <c r="E5" s="3">
        <v>0.08</v>
      </c>
      <c r="F5" s="3">
        <v>2373.7600000000002</v>
      </c>
      <c r="G5" s="3">
        <f t="shared" ref="G5:G13" si="1">SUM(E5:F5)</f>
        <v>2373.84</v>
      </c>
      <c r="H5" s="3">
        <v>16256.255197132617</v>
      </c>
      <c r="I5" s="3">
        <f t="shared" ref="I5:I14" si="2">H5-G5</f>
        <v>13882.415197132617</v>
      </c>
      <c r="J5" s="7">
        <v>1165190.9078853049</v>
      </c>
      <c r="K5" s="9">
        <f t="shared" ref="K5:K15" si="3">H5/J5</f>
        <v>1.3951580884402846E-2</v>
      </c>
      <c r="L5" s="9">
        <f t="shared" ref="L5:L15" si="4">I5/J5</f>
        <v>1.1914283833820583E-2</v>
      </c>
    </row>
    <row r="6" spans="1:12" ht="16" x14ac:dyDescent="0.2">
      <c r="A6" t="s">
        <v>9</v>
      </c>
      <c r="B6" s="2">
        <v>15</v>
      </c>
      <c r="C6" s="2">
        <v>103397</v>
      </c>
      <c r="D6" s="2">
        <f t="shared" si="0"/>
        <v>103412</v>
      </c>
      <c r="E6" s="3">
        <v>0.4</v>
      </c>
      <c r="F6" s="3">
        <v>2791.72</v>
      </c>
      <c r="G6" s="3">
        <f t="shared" si="1"/>
        <v>2792.12</v>
      </c>
      <c r="H6" s="3">
        <v>15971.615949820791</v>
      </c>
      <c r="I6" s="3">
        <f t="shared" si="2"/>
        <v>13179.49594982079</v>
      </c>
      <c r="J6" s="7">
        <v>1232228.4835125445</v>
      </c>
      <c r="K6" s="9">
        <f t="shared" si="3"/>
        <v>1.296157016618598E-2</v>
      </c>
      <c r="L6" s="9">
        <f t="shared" si="4"/>
        <v>1.0695659227298341E-2</v>
      </c>
    </row>
    <row r="7" spans="1:12" ht="16" x14ac:dyDescent="0.2">
      <c r="A7" t="s">
        <v>10</v>
      </c>
      <c r="B7" s="2">
        <v>9</v>
      </c>
      <c r="C7" s="2">
        <v>112466</v>
      </c>
      <c r="D7" s="2">
        <f t="shared" si="0"/>
        <v>112475</v>
      </c>
      <c r="E7" s="3">
        <v>0.24</v>
      </c>
      <c r="F7" s="3">
        <v>3036.58</v>
      </c>
      <c r="G7" s="3">
        <f t="shared" si="1"/>
        <v>3036.8199999999997</v>
      </c>
      <c r="H7" s="3">
        <v>18911.80358422939</v>
      </c>
      <c r="I7" s="3">
        <f t="shared" si="2"/>
        <v>15874.983584229391</v>
      </c>
      <c r="J7" s="8">
        <v>1298551.8765232973</v>
      </c>
      <c r="K7" s="9">
        <f t="shared" si="3"/>
        <v>1.4563764394891385E-2</v>
      </c>
      <c r="L7" s="9">
        <f t="shared" si="4"/>
        <v>1.2225143924732973E-2</v>
      </c>
    </row>
    <row r="8" spans="1:12" ht="16" x14ac:dyDescent="0.2">
      <c r="A8" t="s">
        <v>11</v>
      </c>
      <c r="B8" s="2">
        <v>11</v>
      </c>
      <c r="C8" s="2">
        <v>93863</v>
      </c>
      <c r="D8" s="2">
        <f t="shared" si="0"/>
        <v>93874</v>
      </c>
      <c r="E8" s="3">
        <v>0.31</v>
      </c>
      <c r="F8" s="3">
        <v>2628.16</v>
      </c>
      <c r="G8" s="3">
        <f t="shared" si="1"/>
        <v>2628.47</v>
      </c>
      <c r="H8" s="3">
        <v>14345.286738351255</v>
      </c>
      <c r="I8" s="3">
        <f t="shared" si="2"/>
        <v>11716.816738351255</v>
      </c>
      <c r="J8" s="7">
        <v>1116300.5179211472</v>
      </c>
      <c r="K8" s="9">
        <f t="shared" si="3"/>
        <v>1.2850739122710477E-2</v>
      </c>
      <c r="L8" s="9">
        <f t="shared" si="4"/>
        <v>1.0496113322755712E-2</v>
      </c>
    </row>
    <row r="9" spans="1:12" ht="16" x14ac:dyDescent="0.2">
      <c r="A9" t="s">
        <v>12</v>
      </c>
      <c r="B9" s="2">
        <v>5</v>
      </c>
      <c r="C9" s="2">
        <v>105529</v>
      </c>
      <c r="D9" s="2">
        <f t="shared" si="0"/>
        <v>105534</v>
      </c>
      <c r="E9" s="3">
        <v>0.14000000000000001</v>
      </c>
      <c r="F9" s="3">
        <v>2954.81</v>
      </c>
      <c r="G9" s="3">
        <f t="shared" si="1"/>
        <v>2954.95</v>
      </c>
      <c r="H9" s="3">
        <v>15495.215053763442</v>
      </c>
      <c r="I9" s="3">
        <f t="shared" si="2"/>
        <v>12540.265053763444</v>
      </c>
      <c r="J9" s="7">
        <v>1191698.214336918</v>
      </c>
      <c r="K9" s="9">
        <f t="shared" si="3"/>
        <v>1.3002633441374463E-2</v>
      </c>
      <c r="L9" s="9">
        <f t="shared" si="4"/>
        <v>1.0523020763894548E-2</v>
      </c>
    </row>
    <row r="10" spans="1:12" ht="16" x14ac:dyDescent="0.2">
      <c r="A10" t="s">
        <v>13</v>
      </c>
      <c r="B10" s="2">
        <v>10</v>
      </c>
      <c r="C10" s="2">
        <v>150811</v>
      </c>
      <c r="D10" s="2">
        <f t="shared" si="0"/>
        <v>150821</v>
      </c>
      <c r="E10" s="3">
        <v>0.28000000000000003</v>
      </c>
      <c r="F10" s="3">
        <v>4222.71</v>
      </c>
      <c r="G10" s="3">
        <f t="shared" si="1"/>
        <v>4222.99</v>
      </c>
      <c r="H10" s="3">
        <v>24455.57347670251</v>
      </c>
      <c r="I10" s="3">
        <f t="shared" si="2"/>
        <v>20232.583476702508</v>
      </c>
      <c r="J10" s="7">
        <v>1868752.4822580642</v>
      </c>
      <c r="K10" s="9">
        <f t="shared" si="3"/>
        <v>1.3086577119700828E-2</v>
      </c>
      <c r="L10" s="9">
        <f t="shared" si="4"/>
        <v>1.0826786141444975E-2</v>
      </c>
    </row>
    <row r="11" spans="1:12" ht="16" x14ac:dyDescent="0.2">
      <c r="A11" t="s">
        <v>14</v>
      </c>
      <c r="B11" s="2">
        <v>19</v>
      </c>
      <c r="C11" s="2">
        <v>179125</v>
      </c>
      <c r="D11" s="2">
        <f t="shared" si="0"/>
        <v>179144</v>
      </c>
      <c r="E11" s="3">
        <v>0.53</v>
      </c>
      <c r="F11" s="3">
        <v>5015.5</v>
      </c>
      <c r="G11" s="3">
        <f t="shared" si="1"/>
        <v>5016.03</v>
      </c>
      <c r="H11" s="3">
        <v>27267.616487455198</v>
      </c>
      <c r="I11" s="3">
        <f t="shared" si="2"/>
        <v>22251.586487455199</v>
      </c>
      <c r="J11" s="7">
        <v>2063789.8666666662</v>
      </c>
      <c r="K11" s="9">
        <f t="shared" si="3"/>
        <v>1.3212399638097136E-2</v>
      </c>
      <c r="L11" s="9">
        <f t="shared" si="4"/>
        <v>1.0781905099376656E-2</v>
      </c>
    </row>
    <row r="12" spans="1:12" ht="16" x14ac:dyDescent="0.2">
      <c r="A12" t="s">
        <v>15</v>
      </c>
      <c r="B12" s="2">
        <v>22</v>
      </c>
      <c r="C12" s="2">
        <v>201899</v>
      </c>
      <c r="D12" s="2">
        <f t="shared" si="0"/>
        <v>201921</v>
      </c>
      <c r="E12" s="3">
        <v>0.62</v>
      </c>
      <c r="F12" s="3">
        <v>5653.17</v>
      </c>
      <c r="G12" s="3">
        <f t="shared" si="1"/>
        <v>5653.79</v>
      </c>
      <c r="H12" s="3">
        <v>27699.086021505376</v>
      </c>
      <c r="I12" s="3">
        <f t="shared" si="2"/>
        <v>22045.296021505375</v>
      </c>
      <c r="J12" s="7">
        <v>2325289.8025089661</v>
      </c>
      <c r="K12" s="9">
        <f t="shared" si="3"/>
        <v>1.1912100587040085E-2</v>
      </c>
      <c r="L12" s="9">
        <f t="shared" si="4"/>
        <v>9.4806660218088538E-3</v>
      </c>
    </row>
    <row r="13" spans="1:12" ht="16" x14ac:dyDescent="0.2">
      <c r="A13" t="s">
        <v>16</v>
      </c>
      <c r="B13" s="2">
        <v>15</v>
      </c>
      <c r="C13" s="2">
        <v>221349</v>
      </c>
      <c r="D13" s="2">
        <f t="shared" si="0"/>
        <v>221364</v>
      </c>
      <c r="E13" s="3">
        <v>0.42</v>
      </c>
      <c r="F13" s="3">
        <v>6197.77</v>
      </c>
      <c r="G13" s="3">
        <f t="shared" si="1"/>
        <v>6198.1900000000005</v>
      </c>
      <c r="H13" s="3">
        <v>35182.68817204301</v>
      </c>
      <c r="I13" s="3">
        <f t="shared" si="2"/>
        <v>28984.498172043008</v>
      </c>
      <c r="J13" s="7">
        <v>2524444.7741935491</v>
      </c>
      <c r="K13" s="9">
        <f t="shared" si="3"/>
        <v>1.3936802473043745E-2</v>
      </c>
      <c r="L13" s="9">
        <f t="shared" si="4"/>
        <v>1.1481533867700592E-2</v>
      </c>
    </row>
    <row r="14" spans="1:12" x14ac:dyDescent="0.2">
      <c r="A14" s="4" t="s">
        <v>17</v>
      </c>
      <c r="B14" s="5">
        <f t="shared" ref="B14:H14" si="5">SUM(B4:B13)</f>
        <v>120</v>
      </c>
      <c r="C14" s="5">
        <f t="shared" si="5"/>
        <v>1336605</v>
      </c>
      <c r="D14" s="5">
        <f t="shared" si="5"/>
        <v>1336725</v>
      </c>
      <c r="E14" s="6">
        <f t="shared" si="5"/>
        <v>3.3200000000000003</v>
      </c>
      <c r="F14" s="6">
        <f t="shared" si="5"/>
        <v>37040.899999999994</v>
      </c>
      <c r="G14" s="6">
        <f t="shared" si="5"/>
        <v>37044.22</v>
      </c>
      <c r="H14" s="6">
        <f t="shared" si="5"/>
        <v>211326.26254480288</v>
      </c>
      <c r="I14" s="10">
        <f t="shared" si="2"/>
        <v>174282.04254480288</v>
      </c>
      <c r="J14" s="6">
        <f>SUM(J4:J13)</f>
        <v>15821704.563082444</v>
      </c>
      <c r="K14" s="9">
        <f t="shared" si="3"/>
        <v>1.3356731678450169E-2</v>
      </c>
      <c r="L14" s="9">
        <f t="shared" si="4"/>
        <v>1.1015377126397852E-2</v>
      </c>
    </row>
    <row r="15" spans="1:12" x14ac:dyDescent="0.2">
      <c r="A15" t="s">
        <v>23</v>
      </c>
      <c r="E15" s="3">
        <f t="shared" ref="E15:J15" si="6">SUM(E8:E13)</f>
        <v>2.2999999999999998</v>
      </c>
      <c r="F15" s="3">
        <f t="shared" si="6"/>
        <v>26672.12</v>
      </c>
      <c r="G15" s="3">
        <f t="shared" si="6"/>
        <v>26674.42</v>
      </c>
      <c r="H15" s="3">
        <f t="shared" si="6"/>
        <v>144445.46594982079</v>
      </c>
      <c r="I15" s="3">
        <f t="shared" si="6"/>
        <v>117771.04594982078</v>
      </c>
      <c r="J15" s="3">
        <f t="shared" si="6"/>
        <v>11090275.657885311</v>
      </c>
      <c r="K15" s="9">
        <f t="shared" si="3"/>
        <v>1.3024515386785578E-2</v>
      </c>
      <c r="L15" s="9">
        <f t="shared" si="4"/>
        <v>1.0619307362850286E-2</v>
      </c>
    </row>
    <row r="17" spans="6:6" x14ac:dyDescent="0.2">
      <c r="F17" t="s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Abraham</cp:lastModifiedBy>
  <dcterms:created xsi:type="dcterms:W3CDTF">2026-09-11T21:41:56Z</dcterms:created>
  <dcterms:modified xsi:type="dcterms:W3CDTF">2026-10-21T00:13:12Z</dcterms:modified>
</cp:coreProperties>
</file>