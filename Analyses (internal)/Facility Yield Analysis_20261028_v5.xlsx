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Q3 2026" sheetId="2" state="visible" r:id="rId2"/>
    <sheet xmlns:r="http://schemas.openxmlformats.org/officeDocument/2006/relationships" name="Scenarios" sheetId="3" state="visible" r:id="rId3"/>
    <sheet xmlns:r="http://schemas.openxmlformats.org/officeDocument/2006/relationships" name="Sources" sheetId="4" state="visible" r:id="rId4"/>
  </sheets>
  <definedNames>
    <definedName name="months">Inputs!$B$6</definedName>
    <definedName name="rev_int">Inputs!$B$7</definedName>
    <definedName name="rev_int_billed">Inputs!$B$8</definedName>
    <definedName name="inst_int">Inputs!$B$9</definedName>
    <definedName name="late">Inputs!$B$10</definedName>
    <definedName name="interchange">Inputs!$B$12</definedName>
    <definedName name="upfront">Inputs!$B$13</definedName>
    <definedName name="rev_total">Inputs!$B$14</definedName>
    <definedName name="interchange_ref">Inputs!$B$15</definedName>
    <definedName name="upfront_ref">Inputs!$B$16</definedName>
    <definedName name="avg_rec">Inputs!$B$18</definedName>
    <definedName name="eom_rec">Inputs!$B$19</definedName>
    <definedName name="den">Inputs!$B$20</definedName>
    <definedName name="bal_rev">Inputs!$B$21</definedName>
    <definedName name="bal_tra">Inputs!$B$22</definedName>
    <definedName name="bal_inst">Inputs!$B$23</definedName>
    <definedName name="bal_tot">Inputs!$B$24</definedName>
    <definedName name="pib">Inputs!$B$25</definedName>
    <definedName name="rate_ib">Inputs!$B$26</definedName>
    <definedName name="ib_share">Inputs!$B$27</definedName>
    <definedName name="ratio_obs">Inputs!$B$28</definedName>
    <definedName name="ratio_scn">Inputs!$B$29</definedName>
    <definedName name="purch">Inputs!$B$31</definedName>
    <definedName name="paf">Inputs!$B$32</definedName>
    <definedName name="flow_ref">Inputs!$B$33</definedName>
    <definedName name="flow">Inputs!$B$34</definedName>
    <definedName name="orig_stmt">Inputs!$B$35</definedName>
    <definedName name="L_x90">Inputs!$B$37</definedName>
    <definedName name="L_all90">Inputs!$B$38</definedName>
    <definedName name="L_fpd90">Inputs!$B$39</definedName>
    <definedName name="L_life90x">Inputs!$B$40</definedName>
    <definedName name="L_life90">Inputs!$B$41</definedName>
    <definedName name="L_x16">Inputs!$B$42</definedName>
    <definedName name="L_may26x">Inputs!$B$43</definedName>
    <definedName name="coupon">Inputs!$B$45</definedName>
    <definedName name="advance">Inputs!$B$46</definedName>
    <definedName name="wht">Inputs!$B$47</definedName>
    <definedName name="hedge">Inputs!$B$48</definedName>
    <definedName name="fx">Inputs!$B$49</definedName>
    <definedName name="s_rate">Scenarios!$B$5</definedName>
    <definedName name="s_ratio">Scenarios!$B$6</definedName>
    <definedName name="s_share">Scenarios!$B$7</definedName>
    <definedName name="s_nonrev">Scenarios!$B$8</definedName>
    <definedName name="s_flow">Scenarios!$B$9</definedName>
    <definedName name="s_other">Scenarios!$B$10</definedName>
    <definedName name="s_fric">Scenarios!$B$11</definedName>
  </definedNames>
  <calcPr calcId="124519" fullCalcOnLoad="1"/>
</workbook>
</file>

<file path=xl/styles.xml><?xml version="1.0" encoding="utf-8"?>
<styleSheet xmlns="http://schemas.openxmlformats.org/spreadsheetml/2006/main">
  <numFmts count="6">
    <numFmt numFmtId="164" formatCode="0.0%"/>
    <numFmt numFmtId="165" formatCode="0.000%"/>
    <numFmt numFmtId="166" formatCode="0.000"/>
    <numFmt numFmtId="167" formatCode="0.0"/>
    <numFmt numFmtId="168" formatCode="0.0&quot;x&quot;"/>
    <numFmt numFmtId="169" formatCode="0.00&quot;x&quot;"/>
  </numFmts>
  <fonts count="6">
    <font>
      <name val="Calibri"/>
      <family val="2"/>
      <color theme="1"/>
      <sz val="11"/>
      <scheme val="minor"/>
    </font>
    <font>
      <b val="1"/>
      <sz val="14"/>
    </font>
    <font>
      <i val="1"/>
      <color rgb="00555555"/>
    </font>
    <font>
      <b val="1"/>
      <color rgb="00FFFFFF"/>
    </font>
    <font>
      <b val="1"/>
    </font>
    <font>
      <i val="1"/>
      <color rgb="006B7280"/>
    </font>
  </fonts>
  <fills count="5">
    <fill>
      <patternFill/>
    </fill>
    <fill>
      <patternFill patternType="gray125"/>
    </fill>
    <fill>
      <patternFill patternType="solid">
        <fgColor rgb="001F3A5F"/>
      </patternFill>
    </fill>
    <fill>
      <patternFill patternType="solid">
        <fgColor rgb="00E8EEF5"/>
      </patternFill>
    </fill>
    <fill>
      <patternFill patternType="solid">
        <fgColor rgb="00FFF4CC"/>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3" borderId="0" pivotButton="0" quotePrefix="0" xfId="0"/>
    <xf numFmtId="0" fontId="0" fillId="3" borderId="0" pivotButton="0" quotePrefix="0" xfId="0"/>
    <xf numFmtId="1" fontId="0" fillId="4" borderId="0" pivotButton="0" quotePrefix="0" xfId="0"/>
    <xf numFmtId="0" fontId="0" fillId="0" borderId="0" applyAlignment="1" pivotButton="0" quotePrefix="0" xfId="0">
      <alignment vertical="top" wrapText="1"/>
    </xf>
    <xf numFmtId="3" fontId="0" fillId="4" borderId="0" pivotButton="0" quotePrefix="0" xfId="0"/>
    <xf numFmtId="165" fontId="0" fillId="4" borderId="0" pivotButton="0" quotePrefix="0" xfId="0"/>
    <xf numFmtId="164" fontId="0" fillId="4" borderId="0" pivotButton="0" quotePrefix="0" xfId="0"/>
    <xf numFmtId="166" fontId="0" fillId="4" borderId="0" pivotButton="0" quotePrefix="0" xfId="0"/>
    <xf numFmtId="167" fontId="0" fillId="4" borderId="0" pivotButton="0" quotePrefix="0" xfId="0"/>
    <xf numFmtId="3" fontId="0" fillId="0" borderId="0" pivotButton="0" quotePrefix="0" xfId="0"/>
    <xf numFmtId="164" fontId="0" fillId="0" borderId="0" pivotButton="0" quotePrefix="0" xfId="0"/>
    <xf numFmtId="0" fontId="4" fillId="0" borderId="0" pivotButton="0" quotePrefix="0" xfId="0"/>
    <xf numFmtId="3" fontId="4" fillId="0" borderId="0" pivotButton="0" quotePrefix="0" xfId="0"/>
    <xf numFmtId="164" fontId="4" fillId="0" borderId="0" pivotButton="0" quotePrefix="0" xfId="0"/>
    <xf numFmtId="168" fontId="0" fillId="0" borderId="0" pivotButton="0" quotePrefix="0" xfId="0"/>
    <xf numFmtId="10" fontId="0" fillId="0" borderId="0" pivotButton="0" quotePrefix="0" xfId="0"/>
    <xf numFmtId="165" fontId="0" fillId="0" borderId="0" pivotButton="0" quotePrefix="0" xfId="0"/>
    <xf numFmtId="169" fontId="0" fillId="0" borderId="0" pivotButton="0" quotePrefix="0" xfId="0"/>
    <xf numFmtId="0" fontId="5" fillId="0" borderId="0" applyAlignment="1" pivotButton="0" quotePrefix="0" xfId="0">
      <alignment wrapText="1"/>
    </xf>
    <xf numFmtId="0" fontId="2" fillId="0" borderId="0" applyAlignment="1" pivotButton="0" quotePrefix="0" xfId="0">
      <alignment wrapText="1"/>
    </xf>
    <xf numFmtId="0" fontId="5" fillId="0" borderId="0" pivotButton="0" quotePrefix="0" xfId="0"/>
    <xf numFmtId="166" fontId="0" fillId="0" borderId="0" pivotButton="0" quotePrefix="0" xfId="0"/>
    <xf numFmtId="164" fontId="4" fillId="3" borderId="0" pivotButton="0" quotePrefix="0" xfId="0"/>
    <xf numFmtId="0" fontId="4" fillId="0" borderId="0" applyAlignment="1" pivotButton="0" quotePrefix="0" xfId="0">
      <alignment wrapText="1"/>
    </xf>
    <xf numFmtId="2"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9"/>
  <sheetViews>
    <sheetView showGridLines="0" workbookViewId="0">
      <pane ySplit="4" topLeftCell="A5" activePane="bottomLeft" state="frozen"/>
      <selection pane="bottomLeft" activeCell="A1" sqref="A1"/>
    </sheetView>
  </sheetViews>
  <sheetFormatPr baseColWidth="8" defaultRowHeight="15"/>
  <cols>
    <col width="58" customWidth="1" min="1" max="1"/>
    <col width="16" customWidth="1" min="2" max="2"/>
    <col width="8" customWidth="1" min="3" max="3"/>
    <col width="60" customWidth="1" min="4" max="4"/>
    <col width="70" customWidth="1" min="5" max="5"/>
  </cols>
  <sheetData>
    <row r="1">
      <c r="A1" s="1" t="inlineStr">
        <is>
          <t>Facility yield analysis — inputs (single input column = the Jun–Aug 2026 BOOK: created Jun–Aug, interest earned Jul–Sep)</t>
        </is>
      </c>
    </row>
    <row r="2">
      <c r="A2" s="2" t="inlineStr">
        <is>
          <t>Yellow = input. Every value cites its source. PHP. v5 (2026-10-28): BOOK-MONTH basis — the capital employed in a month earns interchange and upfront fees when created (that month's purchases/conversions) and interest and late fees the following month; losses are on the principal it lent. Jun–Aug 2026 books (interest Jul–Sep). Conventional Jul–Sep basis kept as reference (cycle interest allocated across calendar days) so the numerator covers the same days as the calendar-average denominator; billed basis kept as memo. Supersedes _20261028_v4.xlsx.</t>
        </is>
      </c>
    </row>
    <row r="3"/>
    <row r="4">
      <c r="A4" s="3" t="inlineStr">
        <is>
          <t>Input</t>
        </is>
      </c>
      <c r="B4" s="3" t="inlineStr">
        <is>
          <t>Value</t>
        </is>
      </c>
      <c r="C4" s="3" t="inlineStr">
        <is>
          <t>Unit</t>
        </is>
      </c>
      <c r="D4" s="3" t="inlineStr">
        <is>
          <t>Source</t>
        </is>
      </c>
      <c r="E4" s="3" t="inlineStr">
        <is>
          <t>Notes</t>
        </is>
      </c>
    </row>
    <row r="5">
      <c r="A5" s="4" t="inlineStr">
        <is>
          <t>REVENUE EARNED THE FOLLOWING MONTH on the book's billed balances — Jul–Sep 2026 (three months)</t>
        </is>
      </c>
      <c r="B5" s="5" t="n"/>
      <c r="C5" s="5" t="n"/>
      <c r="D5" s="5" t="n"/>
      <c r="E5" s="5" t="n"/>
    </row>
    <row r="6">
      <c r="A6" t="inlineStr">
        <is>
          <t>Months in period</t>
        </is>
      </c>
      <c r="B6" s="6" t="n">
        <v>3</v>
      </c>
      <c r="C6" t="inlineStr">
        <is>
          <t>months</t>
        </is>
      </c>
      <c r="D6" s="7" t="inlineStr">
        <is>
          <t>—</t>
        </is>
      </c>
      <c r="E6" s="7" t="inlineStr">
        <is>
          <t>Annualization = amount × 12 ÷ months ÷ average receivables</t>
        </is>
      </c>
    </row>
    <row r="7">
      <c r="A7" t="inlineStr">
        <is>
          <t>Revolving interest — ACCRUED, calendar Jul–Sep (earned on the Jun–Aug books)</t>
        </is>
      </c>
      <c r="B7" s="8" t="n">
        <v>5964085.89</v>
      </c>
      <c r="C7" t="inlineStr">
        <is>
          <t>PHP</t>
        </is>
      </c>
      <c r="D7" s="7" t="inlineStr">
        <is>
          <t>BigQuery public_statements, on-cycle statements closing 2026-07-14 … 2026-10-14; each cycle's interest_charged allocated across the calendar days it covers (14th-close cycles straddle two months)</t>
        </is>
      </c>
      <c r="E7" s="7" t="inlineStr">
        <is>
          <t>Jul 1,658,171 = Jul-31 close 1,011,645 + 14/30 of Jul-14 close 514,131 + 17/31 of Aug-14 close 741,445; Aug 2,023,315; Sep 2,282,600 (uses 16/30 of the Oct-14 close 970,734). Uniform daily accrual within a cycle is an approximation</t>
        </is>
      </c>
    </row>
    <row r="8">
      <c r="A8" t="inlineStr">
        <is>
          <t>Revolving interest — BILLED, statements closing Jul–Sep (memo)</t>
        </is>
      </c>
      <c r="B8" s="8" t="n">
        <v>5720564.2</v>
      </c>
      <c r="C8" t="inlineStr">
        <is>
          <t>PHP</t>
        </is>
      </c>
      <c r="D8" s="7" t="inlineStr">
        <is>
          <t>same statements, unallocated; KPI Dashboard Monthly r55 shows 5,682,907 (cycle vs calendar extract, 0.7%)</t>
        </is>
      </c>
      <c r="E8" s="7" t="inlineStr">
        <is>
          <t>What management reporting shows; lags accrual by ~half a cycle for the 14th-close half of the book → understated by 4.3% in a growing quarter</t>
        </is>
      </c>
    </row>
    <row r="9">
      <c r="A9" t="inlineStr">
        <is>
          <t>Installment interest — ACCRUED, calendar Jul–Sep</t>
        </is>
      </c>
      <c r="B9" s="8" t="n">
        <v>1415139.87</v>
      </c>
      <c r="C9" t="inlineStr">
        <is>
          <t>PHP</t>
        </is>
      </c>
      <c r="D9" s="7" t="inlineStr">
        <is>
          <t>same method on installment_statement_interest</t>
        </is>
      </c>
      <c r="E9" s="7" t="inlineStr">
        <is>
          <t>Jul 430,645 / Aug 467,200 / Sep 517,295; billed basis 1,376,474 on statements (dashboard r52 1,334,774)</t>
        </is>
      </c>
    </row>
    <row r="10">
      <c r="A10" t="inlineStr">
        <is>
          <t>Late payment fees — Jul–Sep (charged when the book month's statement is missed)</t>
        </is>
      </c>
      <c r="B10" s="8" t="n">
        <v>324022.56</v>
      </c>
      <c r="C10" t="inlineStr">
        <is>
          <t>PHP</t>
        </is>
      </c>
      <c r="D10" s="7" t="inlineStr">
        <is>
          <t>KPI Dashboard Monthly r49, Jul–Sep</t>
        </is>
      </c>
      <c r="E10" s="7" t="inlineStr">
        <is>
          <t>89,421.49 + 108,174.67 + 126,426.40</t>
        </is>
      </c>
    </row>
    <row r="11">
      <c r="A11" s="4" t="inlineStr">
        <is>
          <t>REVENUE EARNED WHEN THE BALANCE IS CREATED — Jun–Aug 2026 purchases and conversions</t>
        </is>
      </c>
      <c r="B11" s="5" t="n"/>
      <c r="C11" s="5" t="n"/>
      <c r="D11" s="5" t="n"/>
      <c r="E11" s="5" t="n"/>
    </row>
    <row r="12">
      <c r="A12" t="inlineStr">
        <is>
          <t>Interchange fee income — Jun–Aug</t>
        </is>
      </c>
      <c r="B12" s="8" t="n">
        <v>5666849</v>
      </c>
      <c r="C12" t="inlineStr">
        <is>
          <t>PHP</t>
        </is>
      </c>
      <c r="D12" s="7" t="inlineStr">
        <is>
          <t>KPI Dashboard Monthly r42, Jun+Jul+Aug</t>
        </is>
      </c>
      <c r="E12" s="7" t="inlineStr">
        <is>
          <t>1,963,194.11 + 1,811,444.75 + 1,892,210.14. Gross, merchant-side; earned at purchase, collected through the cardholder's payment (Mastercard settles ₱98, cardholder billed ₱100)</t>
        </is>
      </c>
    </row>
    <row r="13">
      <c r="A13" t="inlineStr">
        <is>
          <t>Installment upfront fees — Jun–Aug (billed at conversion, within the purchase's cycle)</t>
        </is>
      </c>
      <c r="B13" s="8" t="n">
        <v>969721.22</v>
      </c>
      <c r="C13" t="inlineStr">
        <is>
          <t>PHP</t>
        </is>
      </c>
      <c r="D13" s="7" t="inlineStr">
        <is>
          <t>KPI Dashboard Monthly r53, Jun+Jul+Aug</t>
        </is>
      </c>
      <c r="E13" s="7" t="inlineStr">
        <is>
          <t>337,749.34 + 290,513.47 + 341,458.41</t>
        </is>
      </c>
    </row>
    <row r="14">
      <c r="A14" t="inlineStr">
        <is>
          <t>Revenue attributable to the Jun–Aug books — accrual basis</t>
        </is>
      </c>
      <c r="B14" s="8">
        <f>rev_int+inst_int+upfront+late+interchange</f>
        <v/>
      </c>
      <c r="C14" t="inlineStr">
        <is>
          <t>PHP</t>
        </is>
      </c>
      <c r="D14" s="7" t="inlineStr">
        <is>
          <t>derived</t>
        </is>
      </c>
      <c r="E14" s="7" t="inlineStr">
        <is>
          <t>Conventional Jul–Sep revenue (KPI r40) = 14,747,954 billed / 15,109,499 accrued</t>
        </is>
      </c>
    </row>
    <row r="15">
      <c r="A15" t="inlineStr">
        <is>
          <t>Interchange — Jul–Sep (reference block only)</t>
        </is>
      </c>
      <c r="B15" s="8" t="n">
        <v>6334544.68</v>
      </c>
      <c r="C15" t="inlineStr">
        <is>
          <t>PHP</t>
        </is>
      </c>
      <c r="D15" s="7" t="inlineStr">
        <is>
          <t>KPI Dashboard Monthly r42, Jul–Sep</t>
        </is>
      </c>
      <c r="E15" s="7" t="inlineStr"/>
    </row>
    <row r="16">
      <c r="A16" t="inlineStr">
        <is>
          <t>Installment upfront fees — Jul–Sep (reference block only)</t>
        </is>
      </c>
      <c r="B16" s="8" t="n">
        <v>1071705.81</v>
      </c>
      <c r="C16" t="inlineStr">
        <is>
          <t>PHP</t>
        </is>
      </c>
      <c r="D16" s="7" t="inlineStr">
        <is>
          <t>KPI Dashboard Monthly r53, Jul–Sep</t>
        </is>
      </c>
      <c r="E16" s="7" t="inlineStr"/>
    </row>
    <row r="17">
      <c r="A17" s="4" t="inlineStr">
        <is>
          <t>BALANCES</t>
        </is>
      </c>
      <c r="B17" s="5" t="n"/>
      <c r="C17" s="5" t="n"/>
      <c r="D17" s="5" t="n"/>
      <c r="E17" s="5" t="n"/>
    </row>
    <row r="18">
      <c r="A18" t="inlineStr">
        <is>
          <t>Average receivables Jul–Sep (reference block only)</t>
        </is>
      </c>
      <c r="B18" s="8" t="n">
        <v>182129689.26</v>
      </c>
      <c r="C18" t="inlineStr">
        <is>
          <t>PHP</t>
        </is>
      </c>
      <c r="D18" s="7" t="inlineStr">
        <is>
          <t>KPI Dashboard Monthly r67 'Total Loans Outstanding (average)', mean of Jul/Aug/Sep</t>
        </is>
      </c>
      <c r="E18" s="7" t="inlineStr">
        <is>
          <t>158,604,610.97 / 176,625,299.92 / 211,159,156.90 — includes the quarter's own purchases, which cannot yet bear interest; used only for the reference block</t>
        </is>
      </c>
    </row>
    <row r="19">
      <c r="A19" t="inlineStr">
        <is>
          <t>End-September receivables</t>
        </is>
      </c>
      <c r="B19" s="8" t="n">
        <v>232895127.53</v>
      </c>
      <c r="C19" t="inlineStr">
        <is>
          <t>PHP</t>
        </is>
      </c>
      <c r="D19" s="7" t="inlineStr">
        <is>
          <t>KPI Dashboard Monthly r65, Sep 2026</t>
        </is>
      </c>
      <c r="E19" s="7" t="inlineStr">
        <is>
          <t>Reference only</t>
        </is>
      </c>
    </row>
    <row r="20">
      <c r="A20" t="inlineStr">
        <is>
          <t>AVERAGE RECEIVABLES OF THE BOOK MONTHS (Jun–Aug): THE DENOMINATOR</t>
        </is>
      </c>
      <c r="B20" s="8" t="n">
        <v>159725380.78</v>
      </c>
      <c r="C20" t="inlineStr">
        <is>
          <t>PHP</t>
        </is>
      </c>
      <c r="D20" s="7" t="inlineStr">
        <is>
          <t>KPI Dashboard Monthly r67, mean of Jun/Jul/Aug</t>
        </is>
      </c>
      <c r="E20" s="7" t="inlineStr">
        <is>
          <t>143,946,231.47 / 158,604,610.97 / 176,625,299.92 — the capital employed. It earned Jun–Aug interchange and upfront fees when created, Jul–Sep interest and late fees on its billed balances, and lost the ≥90 DPD rate on the principal it lent. Every yield in this workbook is on this base</t>
        </is>
      </c>
    </row>
    <row r="21">
      <c r="A21" t="inlineStr">
        <is>
          <t>Revolving balance (statements with interest), Jul–Sep average</t>
        </is>
      </c>
      <c r="B21" s="8" t="n">
        <v>77632385</v>
      </c>
      <c r="C21" t="inlineStr">
        <is>
          <t>PHP</t>
        </is>
      </c>
      <c r="D21" s="7" t="inlineStr">
        <is>
          <t>source-reports/revolver_transactor_balances_2026-01_to_2026-09_10262026.csv, all_revolving, mean of 2026-07/08/09</t>
        </is>
      </c>
      <c r="E21" s="7" t="inlineStr">
        <is>
          <t>63,631,302 / 77,899,791 / 91,366,063 — statement-based; ending balance less installment charge on statements with interest_charged &gt; 0</t>
        </is>
      </c>
    </row>
    <row r="22">
      <c r="A22" t="inlineStr">
        <is>
          <t>Transacting balance, Jul–Sep average</t>
        </is>
      </c>
      <c r="B22" s="8" t="n">
        <v>76427246</v>
      </c>
      <c r="C22" t="inlineStr">
        <is>
          <t>PHP</t>
        </is>
      </c>
      <c r="D22" s="7" t="inlineStr">
        <is>
          <t>same file, all_transacting</t>
        </is>
      </c>
      <c r="E22" s="7" t="inlineStr">
        <is>
          <t>71,658,670 / 74,160,336 / 83,462,733</t>
        </is>
      </c>
    </row>
    <row r="23">
      <c r="A23" t="inlineStr">
        <is>
          <t>Installment balance, Jul–Sep average</t>
        </is>
      </c>
      <c r="B23" s="8" t="n">
        <v>31878145</v>
      </c>
      <c r="C23" t="inlineStr">
        <is>
          <t>PHP</t>
        </is>
      </c>
      <c r="D23" s="7" t="inlineStr">
        <is>
          <t>same file, all_installment</t>
        </is>
      </c>
      <c r="E23" s="7" t="inlineStr">
        <is>
          <t>30,261,049 / 31,944,448 / 33,428,938</t>
        </is>
      </c>
    </row>
    <row r="24">
      <c r="A24" t="inlineStr">
        <is>
          <t>Total (three buckets), Jul–Sep average</t>
        </is>
      </c>
      <c r="B24" s="8" t="n">
        <v>185937777</v>
      </c>
      <c r="C24" t="inlineStr">
        <is>
          <t>PHP</t>
        </is>
      </c>
      <c r="D24" s="7" t="inlineStr">
        <is>
          <t>same file, all_total</t>
        </is>
      </c>
      <c r="E24" s="7" t="inlineStr">
        <is>
          <t>Differs from r67 by definition only (statement cycle vs calendar daily average); used for shares and the revolving rate, not as the yield denominator</t>
        </is>
      </c>
    </row>
    <row r="25">
      <c r="A25" t="inlineStr">
        <is>
          <t>Interest-bearing balance on revolver statements, Σ Jul–Sep (purchase_interest_balance)</t>
        </is>
      </c>
      <c r="B25" s="8" t="n">
        <v>186570217.4</v>
      </c>
      <c r="C25" t="inlineStr">
        <is>
          <t>PHP</t>
        </is>
      </c>
      <c r="D25" s="7" t="inlineStr">
        <is>
          <t>BigQuery public_statements.purchase_interest_balance, on-cycle statements closing Jul–Sep 2026 with interest_charged &gt; 0 (query 2026-10-27)</t>
        </is>
      </c>
      <c r="E25" s="7" t="inlineStr">
        <is>
          <t>The balance the 3%/month APR was actually applied to (average revolved balance over the cycle). Σ of the three months' revolving-bucket ending balances is 232,897,157 on the same statements.</t>
        </is>
      </c>
    </row>
    <row r="26">
      <c r="A26" t="inlineStr">
        <is>
          <t>Monthly rate on the interest-bearing balance (pricing)</t>
        </is>
      </c>
      <c r="B26" s="9">
        <f>rev_int_billed/pib</f>
        <v/>
      </c>
      <c r="C26" t="inlineStr">
        <is>
          <t>ratio</t>
        </is>
      </c>
      <c r="D26" s="7" t="inlineStr">
        <is>
          <t>derived</t>
        </is>
      </c>
      <c r="E26" s="7" t="inlineStr">
        <is>
          <t>3.07%/month ≈ 36.5% APR, billed interest ÷ the balance it was charged on (same statements)</t>
        </is>
      </c>
    </row>
    <row r="27">
      <c r="A27" t="inlineStr">
        <is>
          <t>Interest-bearing balance ÷ opening receivables (share of the opening book earning revolving interest)</t>
        </is>
      </c>
      <c r="B27" s="10">
        <f>pib/(den*months)</f>
        <v/>
      </c>
      <c r="C27" t="inlineStr">
        <is>
          <t>ratio</t>
        </is>
      </c>
      <c r="D27" s="7" t="inlineStr">
        <is>
          <t>derived</t>
        </is>
      </c>
      <c r="E27" s="7" t="inlineStr">
        <is>
          <t>39% in Q3. Interest is charged only on billed balances not paid by the due date (BSP card rules): unbilled purchases and balances paid within grace earn none. Revolving yield on receivables = rate_ib × this share (× accrual timing). Rises as growth slows</t>
        </is>
      </c>
    </row>
    <row r="28">
      <c r="A28" t="inlineStr">
        <is>
          <t>Interest-bearing balance ÷ opening revolving balance (Q3 revolving share × opening receivables), observed</t>
        </is>
      </c>
      <c r="B28" s="11">
        <f>(rev_int/rate_ib)/(bal_rev/bal_tot*den*months)</f>
        <v/>
      </c>
      <c r="C28" t="inlineStr">
        <is>
          <t>ratio</t>
        </is>
      </c>
      <c r="D28" s="7" t="inlineStr">
        <is>
          <t>derived</t>
        </is>
      </c>
      <c r="E28" s="7" t="inlineStr">
        <is>
          <t>≈0.97 on the opening-balance basis (it was 0.80 against the same-quarter bucket): once interest is matched to the balances that generated it, nearly the whole revolving bucket bears interest. Residual &lt;1 reflects balances paid within grace and billed interest/fee lines</t>
        </is>
      </c>
    </row>
    <row r="29">
      <c r="A29" t="inlineStr">
        <is>
          <t>Interest-bearing ÷ bucket ratio used in Scenarios</t>
        </is>
      </c>
      <c r="B29" s="11">
        <f>ratio_obs</f>
        <v/>
      </c>
      <c r="C29" t="inlineStr">
        <is>
          <t>ratio</t>
        </is>
      </c>
      <c r="D29" s="7" t="inlineStr">
        <is>
          <t>assumption (defaults to observed)</t>
        </is>
      </c>
      <c r="E29" s="7" t="inlineStr">
        <is>
          <t>Override to test; sensitivity table at the bottom of Scenarios (0.85–1.00)</t>
        </is>
      </c>
    </row>
    <row r="30">
      <c r="A30" s="4" t="inlineStr">
        <is>
          <t>FLOWS — Jun–Aug 2026 (the principal the books lent)</t>
        </is>
      </c>
      <c r="B30" s="5" t="n"/>
      <c r="C30" s="5" t="n"/>
      <c r="D30" s="5" t="n"/>
      <c r="E30" s="5" t="n"/>
    </row>
    <row r="31">
      <c r="A31" t="inlineStr">
        <is>
          <t>Purchase volume settled (Mastercard, net of returns) — Jun–Aug</t>
        </is>
      </c>
      <c r="B31" s="8" t="n">
        <v>394784541.74</v>
      </c>
      <c r="C31" t="inlineStr">
        <is>
          <t>PHP</t>
        </is>
      </c>
      <c r="D31" s="7" t="inlineStr">
        <is>
          <t>KPI Dashboard Monthly r127, Jun+Jul+Aug</t>
        </is>
      </c>
      <c r="E31" s="7" t="inlineStr">
        <is>
          <t>137,145,988.38 + 127,249,656.88 + 130,388,896.48 — interchange base</t>
        </is>
      </c>
    </row>
    <row r="32">
      <c r="A32" t="inlineStr">
        <is>
          <t>Pay-a-friend transfers — Jun–Aug</t>
        </is>
      </c>
      <c r="B32" s="8" t="n">
        <v>7740000</v>
      </c>
      <c r="C32" t="inlineStr">
        <is>
          <t>PHP</t>
        </is>
      </c>
      <c r="D32" s="7" t="inlineStr">
        <is>
          <t>source-reports/pay_a_friend_transfers_by_month_2026-01_to_2026-09_10272026.csv (i2c C2C Transfer-Others, positive legs, response 00)</t>
        </is>
      </c>
      <c r="E32" s="7" t="inlineStr">
        <is>
          <t>2.04M + 2.73M + 2.97M — no interchange; is principal</t>
        </is>
      </c>
    </row>
    <row r="33">
      <c r="A33" t="inlineStr">
        <is>
          <t>Principal flow — Jul–Sep (reference block only)</t>
        </is>
      </c>
      <c r="B33" s="8" t="n">
        <v>456849545.15</v>
      </c>
      <c r="C33" t="inlineStr">
        <is>
          <t>PHP</t>
        </is>
      </c>
      <c r="D33" s="7" t="inlineStr">
        <is>
          <t>r127 Jul–Sep + pay-a-friend Jul–Sep</t>
        </is>
      </c>
      <c r="E33" s="7" t="inlineStr"/>
    </row>
    <row r="34">
      <c r="A34" t="inlineStr">
        <is>
          <t>Principal flow (purchase volume + pay-a-friend)</t>
        </is>
      </c>
      <c r="B34" s="8">
        <f>purch+paf</f>
        <v/>
      </c>
      <c r="C34" t="inlineStr">
        <is>
          <t>PHP</t>
        </is>
      </c>
      <c r="D34" s="7" t="inlineStr">
        <is>
          <t>derived</t>
        </is>
      </c>
      <c r="E34" s="7" t="inlineStr">
        <is>
          <t>Loss base, calendar-dated to match the denominator</t>
        </is>
      </c>
    </row>
    <row r="35">
      <c r="A35" t="inlineStr">
        <is>
          <t>Principal originated, statement-month basis, Jul–Sep (reference)</t>
        </is>
      </c>
      <c r="B35" s="8" t="n">
        <v>442733819.38</v>
      </c>
      <c r="C35" t="inlineStr">
        <is>
          <t>PHP</t>
        </is>
      </c>
      <c r="D35" s="7" t="inlineStr">
        <is>
          <t>source-reports/vintage_loss_by_origination_month_10262026.csv, originated_principal_php, 2026-07/08/09</t>
        </is>
      </c>
      <c r="E35" s="7" t="inlineStr">
        <is>
          <t>Base on which the loss rates below were measured; differs from the calendar flow by ~2 weeks of timing (agree within 1.2% over Jan–Sep)</t>
        </is>
      </c>
    </row>
    <row r="36">
      <c r="A36" s="4" t="inlineStr">
        <is>
          <t>LOSS RATES — delinquent principal ÷ originated principal, denominator seasoned to the DPD cut</t>
        </is>
      </c>
      <c r="B36" s="5" t="n"/>
      <c r="C36" s="5" t="n"/>
      <c r="D36" s="5" t="n"/>
      <c r="E36" s="5" t="n"/>
    </row>
    <row r="37">
      <c r="A37" t="inlineStr">
        <is>
          <t>Since Jan 2026, ≥90 DPD, ex-FPD — BASE CASE</t>
        </is>
      </c>
      <c r="B37" s="9" t="n">
        <v>0.01152</v>
      </c>
      <c r="C37" t="inlineStr">
        <is>
          <t>ratio</t>
        </is>
      </c>
      <c r="D37" s="7" t="inlineStr">
        <is>
          <t>source-reports/vintage_loss_seasoned_16_30_60_90_by_origination_month_10272026.csv, Σ d90x ÷ Σ s90x over 2026-01…09</t>
        </is>
      </c>
      <c r="E37" s="7" t="inlineStr">
        <is>
          <t>₱6,668,630 ÷ ₱578,837,337. Steve 2026-10-27: ≥90 DPD is the loss proxy; FPD (first statement missed, never paid) excluded as fraud, managed separately by new controls</t>
        </is>
      </c>
    </row>
    <row r="38">
      <c r="A38" t="inlineStr">
        <is>
          <t>Since Jan 2026, ≥90 DPD, all accounts</t>
        </is>
      </c>
      <c r="B38" s="9" t="n">
        <v>0.016812</v>
      </c>
      <c r="C38" t="inlineStr">
        <is>
          <t>ratio</t>
        </is>
      </c>
      <c r="D38" s="7" t="inlineStr">
        <is>
          <t>same file, Σ d90 ÷ Σ s90</t>
        </is>
      </c>
      <c r="E38" s="7" t="inlineStr">
        <is>
          <t>₱9,787,190 ÷ ₱582,182,780 — what Accial will compute from the tape before any FPD carve-out</t>
        </is>
      </c>
    </row>
    <row r="39">
      <c r="A39" t="inlineStr">
        <is>
          <t xml:space="preserve">  of which first-payment default</t>
        </is>
      </c>
      <c r="B39" s="9">
        <f>L_all90-L_x90</f>
        <v/>
      </c>
      <c r="C39" t="inlineStr">
        <is>
          <t>ratio</t>
        </is>
      </c>
      <c r="D39" s="7" t="inlineStr">
        <is>
          <t>derived</t>
        </is>
      </c>
      <c r="E39" s="7" t="inlineStr">
        <is>
          <t>Borne by Zed outside the facility if FPD receivables are ineligible / repurchased</t>
        </is>
      </c>
    </row>
    <row r="40">
      <c r="A40" t="inlineStr">
        <is>
          <t>Lifetime (Jan 2024–Sep 2026), ≥90 DPD, ex-FPD</t>
        </is>
      </c>
      <c r="B40" s="9" t="n">
        <v>0.013418</v>
      </c>
      <c r="C40" t="inlineStr">
        <is>
          <t>ratio</t>
        </is>
      </c>
      <c r="D40" s="7" t="inlineStr">
        <is>
          <t>same file, lifetime rows</t>
        </is>
      </c>
      <c r="E40" s="7" t="inlineStr">
        <is>
          <t>Includes V1-model 2025 vintages</t>
        </is>
      </c>
    </row>
    <row r="41">
      <c r="A41" t="inlineStr">
        <is>
          <t>Lifetime, ≥90 DPD, all accounts</t>
        </is>
      </c>
      <c r="B41" s="9" t="n">
        <v>0.01922</v>
      </c>
      <c r="C41" t="inlineStr">
        <is>
          <t>ratio</t>
        </is>
      </c>
      <c r="D41" s="7" t="inlineStr">
        <is>
          <t>same file</t>
        </is>
      </c>
      <c r="E41" s="7" t="inlineStr">
        <is>
          <t>Most conservative citable figure</t>
        </is>
      </c>
    </row>
    <row r="42">
      <c r="A42" t="inlineStr">
        <is>
          <t>Since Jan 2026, &gt;15 DPD, ex-FPD (reference)</t>
        </is>
      </c>
      <c r="B42" s="9" t="n">
        <v>0.01111</v>
      </c>
      <c r="C42" t="inlineStr">
        <is>
          <t>ratio</t>
        </is>
      </c>
      <c r="D42" s="7" t="inlineStr">
        <is>
          <t>same file</t>
        </is>
      </c>
      <c r="E42" s="7" t="inlineStr">
        <is>
          <t>16-day seasoned; close to L_x90 because almost nothing cures once &gt;15 DPD</t>
        </is>
      </c>
    </row>
    <row r="43">
      <c r="A43" t="inlineStr">
        <is>
          <t>May 2026 vintage, ≥90 DPD, ex-FPD — most recent fully-emerged vintage (RECENT RUN-RATE)</t>
        </is>
      </c>
      <c r="B43" s="9" t="n">
        <v>0.00906</v>
      </c>
      <c r="C43" t="inlineStr">
        <is>
          <t>ratio</t>
        </is>
      </c>
      <c r="D43" s="7" t="inlineStr">
        <is>
          <t>source-reports/vintage_loss90_emergence_by_mob_10272026.csv, 2026-05 loss90_xfpd_today_pct</t>
        </is>
      </c>
      <c r="E43" s="7" t="inlineStr">
        <is>
          <t>Loss emergence is complete by ~month 4 on book (FIFO: late defaulters have repaid old tranches), so May 2026 (MOB 5) is effectively final. Fully-emerged ex-FPD by vintage: Jan 2.26% / Feb 1.13% / Mar 1.58% / Apr 1.39% / May 0.91%; Jun 0.34% at MOB 3–4 (≈0.5% when complete). Forward view if FPD → 0</t>
        </is>
      </c>
    </row>
    <row r="44">
      <c r="A44" s="4" t="inlineStr">
        <is>
          <t>FACILITY ASSUMPTIONS</t>
        </is>
      </c>
      <c r="B44" s="5" t="n"/>
      <c r="C44" s="5" t="n"/>
      <c r="D44" s="5" t="n"/>
      <c r="E44" s="5" t="n"/>
    </row>
    <row r="45">
      <c r="A45" t="inlineStr">
        <is>
          <t>Coupon (all-in interest on drawn amount)</t>
        </is>
      </c>
      <c r="B45" s="10" t="n">
        <v>0.19</v>
      </c>
      <c r="C45" t="inlineStr">
        <is>
          <t>ratio</t>
        </is>
      </c>
      <c r="D45" s="7" t="inlineStr">
        <is>
          <t>Assumption — Steve ('high teens')</t>
        </is>
      </c>
      <c r="E45" s="7" t="inlineStr">
        <is>
          <t>Scenario grid runs 15/17/19%</t>
        </is>
      </c>
    </row>
    <row r="46">
      <c r="A46" t="inlineStr">
        <is>
          <t>Advance rate (drawn ÷ eligible receivables)</t>
        </is>
      </c>
      <c r="B46" s="10" t="n">
        <v>0.8</v>
      </c>
      <c r="C46" t="inlineStr">
        <is>
          <t>ratio</t>
        </is>
      </c>
      <c r="D46" s="7" t="inlineStr">
        <is>
          <t>Assumption — market 70–85% (structure note §3.3)</t>
        </is>
      </c>
      <c r="E46" s="7" t="inlineStr">
        <is>
          <t>Cost of funds on receivables = coupon × advance; scenario runs 70/75/80%</t>
        </is>
      </c>
    </row>
    <row r="47">
      <c r="A47" t="inlineStr">
        <is>
          <t>Withholding tax on coupon, if grossed up (placeholder)</t>
        </is>
      </c>
      <c r="B47" s="9" t="n">
        <v>0</v>
      </c>
      <c r="C47" t="inlineStr">
        <is>
          <t>ratio</t>
        </is>
      </c>
      <c r="D47" s="7" t="inlineStr">
        <is>
          <t>NOT SIZED — PH 20% FWT / 15% US treaty (verification-notes/PH tax)</t>
        </is>
      </c>
      <c r="E47" s="7" t="inlineStr">
        <is>
          <t>Set to 0 until the structure fixes who bears it; cost if grossed up = coupon × advance × wht ÷ (1 − wht)</t>
        </is>
      </c>
    </row>
    <row r="48">
      <c r="A48" t="inlineStr">
        <is>
          <t>FX hedge cost, % of drawn per year (placeholder)</t>
        </is>
      </c>
      <c r="B48" s="9" t="n">
        <v>0</v>
      </c>
      <c r="C48" t="inlineStr">
        <is>
          <t>ratio</t>
        </is>
      </c>
      <c r="D48" s="7" t="inlineStr">
        <is>
          <t>NOT SIZED</t>
        </is>
      </c>
      <c r="E48" s="7" t="inlineStr">
        <is>
          <t>USD facility vs PHP receivables; PHP/USD forward points — size before pricing</t>
        </is>
      </c>
    </row>
    <row r="49">
      <c r="A49" t="inlineStr">
        <is>
          <t>FX PHP per USD</t>
        </is>
      </c>
      <c r="B49" s="12" t="n">
        <v>55.8</v>
      </c>
      <c r="C49" t="inlineStr">
        <is>
          <t>ratio</t>
        </is>
      </c>
      <c r="D49" s="7" t="inlineStr">
        <is>
          <t>KPI Dashboard Monthly C2</t>
        </is>
      </c>
      <c r="E49" s="7" t="inlineStr">
        <is>
          <t>Display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9"/>
  <sheetViews>
    <sheetView showGridLines="0" workbookViewId="0">
      <pane ySplit="3" topLeftCell="A4" activePane="bottomLeft" state="frozen"/>
      <selection pane="bottomLeft" activeCell="A1" sqref="A1"/>
    </sheetView>
  </sheetViews>
  <sheetFormatPr baseColWidth="8" defaultRowHeight="15"/>
  <cols>
    <col width="72" customWidth="1" min="1" max="1"/>
    <col width="22" customWidth="1" min="2" max="2"/>
    <col width="22" customWidth="1" min="3" max="3"/>
    <col width="80" customWidth="1" min="4" max="4"/>
  </cols>
  <sheetData>
    <row r="1">
      <c r="A1" s="1" t="inlineStr">
        <is>
          <t>Yield, loss and excess spread by BOOK — the Jun–Aug 2026 books (created Jun–Aug, interest earned Jul–Sep), annualized (×12 ÷ 3, simple)</t>
        </is>
      </c>
    </row>
    <row r="2"/>
    <row r="3">
      <c r="A3" s="3" t="inlineStr">
        <is>
          <t>Line</t>
        </is>
      </c>
      <c r="B3" s="3" t="inlineStr">
        <is>
          <t>PHP (three books)</t>
        </is>
      </c>
      <c r="C3" s="3" t="inlineStr">
        <is>
          <t>Annualized % of the books' average receivables</t>
        </is>
      </c>
      <c r="D3" s="3" t="inlineStr">
        <is>
          <t>Comment</t>
        </is>
      </c>
    </row>
    <row r="4">
      <c r="A4" s="4" t="inlineStr">
        <is>
          <t>Earned the following month on the books' billed balances (Jul–Sep), plus upfront fees at conversion (Jun–Aug)</t>
        </is>
      </c>
      <c r="B4" s="5" t="n"/>
      <c r="C4" s="5" t="n"/>
      <c r="D4" s="5" t="n"/>
    </row>
    <row r="5">
      <c r="A5" t="inlineStr">
        <is>
          <t>Revolving interest (accrual basis)</t>
        </is>
      </c>
      <c r="B5" s="13">
        <f>rev_int</f>
        <v/>
      </c>
      <c r="C5" s="14">
        <f>B5*12/months/den</f>
        <v/>
      </c>
      <c r="D5" s="7" t="inlineStr">
        <is>
          <t>Equals pricing 3.07%/mo (rate_ib) × interest-bearing share of the books (ib_share, 39%) × 12, accrual basis. Billed basis (statements closing Jul–Sep) is 5,720,564 → 14.3%. Interest is charged on the balance billed at the end of the book month (BSP card rules)</t>
        </is>
      </c>
    </row>
    <row r="6">
      <c r="A6" t="inlineStr">
        <is>
          <t>Installment interest (accrual, Jul–Sep) + upfront fees (Jun–Aug)</t>
        </is>
      </c>
      <c r="B6" s="13">
        <f>inst_int+upfront</f>
        <v/>
      </c>
      <c r="C6" s="14">
        <f>B6*12/months/den</f>
        <v/>
      </c>
    </row>
    <row r="7">
      <c r="A7" t="inlineStr">
        <is>
          <t>Late payment fees (Jul–Sep)</t>
        </is>
      </c>
      <c r="B7" s="13">
        <f>late</f>
        <v/>
      </c>
      <c r="C7" s="14">
        <f>B7*12/months/den</f>
        <v/>
      </c>
    </row>
    <row r="8">
      <c r="A8" s="15" t="inlineStr">
        <is>
          <t>Interest and fees</t>
        </is>
      </c>
      <c r="B8" s="16">
        <f>SUM(B5:B7)</f>
        <v/>
      </c>
      <c r="C8" s="17">
        <f>B8*12/months/den</f>
        <v/>
      </c>
      <c r="D8" s="7" t="inlineStr">
        <is>
          <t>Collected through statements into the collection account</t>
        </is>
      </c>
    </row>
    <row r="9"/>
    <row r="10">
      <c r="A10" s="4" t="inlineStr">
        <is>
          <t>Interchange — earned when the books were created (Jun–Aug purchases), a function of turnover</t>
        </is>
      </c>
      <c r="B10" s="5" t="n"/>
      <c r="C10" s="5" t="n"/>
      <c r="D10" s="5" t="n"/>
    </row>
    <row r="11">
      <c r="A11" t="inlineStr">
        <is>
          <t>Purchase volume settled</t>
        </is>
      </c>
      <c r="B11" s="13">
        <f>purch</f>
        <v/>
      </c>
    </row>
    <row r="12">
      <c r="A12" t="inlineStr">
        <is>
          <t>Purchase turnover (annualized Jun–Aug purchase volume ÷ the books' average receivables)</t>
        </is>
      </c>
      <c r="C12" s="18">
        <f>B11*12/months/den</f>
        <v/>
      </c>
      <c r="D12" s="7" t="inlineStr">
        <is>
          <t>Falls as the book revolves</t>
        </is>
      </c>
    </row>
    <row r="13">
      <c r="A13" t="inlineStr">
        <is>
          <t>Interchange rate on purchase volume</t>
        </is>
      </c>
      <c r="C13" s="19">
        <f>B14/B11</f>
        <v/>
      </c>
      <c r="D13" s="7" t="inlineStr">
        <is>
          <t>Accial has heard 1.38–1.45% (Jul–Sep monthly); Jun–Aug averages 1.44%</t>
        </is>
      </c>
    </row>
    <row r="14">
      <c r="A14" s="15" t="inlineStr">
        <is>
          <t>Interchange income = rate × purchase turnover</t>
        </is>
      </c>
      <c r="B14" s="16">
        <f>interchange</f>
        <v/>
      </c>
      <c r="C14" s="17">
        <f>C13*C12</f>
        <v/>
      </c>
      <c r="D14" s="7" t="inlineStr">
        <is>
          <t>Identical to interchange × 12 ÷ 3 ÷ avg receivables; the construction shows it rides turnover, like losses</t>
        </is>
      </c>
    </row>
    <row r="15"/>
    <row r="16">
      <c r="A16" s="4" t="inlineStr">
        <is>
          <t>Gross yield</t>
        </is>
      </c>
      <c r="B16" s="5" t="n"/>
      <c r="C16" s="5" t="n"/>
      <c r="D16" s="5" t="n"/>
    </row>
    <row r="17">
      <c r="A17" s="15" t="inlineStr">
        <is>
          <t>Gross yield — all revenue attributable to the books (accrual basis)</t>
        </is>
      </c>
      <c r="B17" s="16">
        <f>B8+B14</f>
        <v/>
      </c>
      <c r="C17" s="17">
        <f>C8+C14</f>
        <v/>
      </c>
    </row>
    <row r="18"/>
    <row r="19">
      <c r="A19" s="4" t="inlineStr">
        <is>
          <t>Reference — conventional Jul–Sep basis: Jul–Sep revenue over Jul–Sep average receivables (182.1M)</t>
        </is>
      </c>
      <c r="B19" s="5" t="n"/>
      <c r="C19" s="5" t="n"/>
      <c r="D19" s="5" t="n"/>
    </row>
    <row r="20">
      <c r="A20" t="inlineStr">
        <is>
          <t>Gross yield — all revenue</t>
        </is>
      </c>
      <c r="B20" s="13">
        <f>rev_int+inst_int+upfront_ref+late+interchange_ref</f>
        <v/>
      </c>
      <c r="C20" s="14">
        <f>B20*12/months/avg_rec</f>
        <v/>
      </c>
      <c r="D20" s="7" t="inlineStr">
        <is>
          <t>What a reader computing yield on the tape in the usual way gets; lower while the book grows, identical when flat</t>
        </is>
      </c>
    </row>
    <row r="21">
      <c r="A21" t="inlineStr">
        <is>
          <t>Loss on receivables — ex-FPD</t>
        </is>
      </c>
      <c r="C21" s="14">
        <f>L_x90*flow_ref*12/months/avg_rec</f>
        <v/>
      </c>
    </row>
    <row r="22">
      <c r="A22" t="inlineStr">
        <is>
          <t>Net yield</t>
        </is>
      </c>
      <c r="C22" s="14">
        <f>C20-C21</f>
        <v/>
      </c>
    </row>
    <row r="23">
      <c r="A23" t="inlineStr">
        <is>
          <t>Excess spread (lender view)</t>
        </is>
      </c>
      <c r="C23" s="14">
        <f>C22-coupon*advance-coupon*advance*wht/(1-wht)-hedge*advance</f>
        <v/>
      </c>
      <c r="D23" s="7" t="inlineStr">
        <is>
          <t>v3 read 6.4 pts here</t>
        </is>
      </c>
    </row>
    <row r="24"/>
    <row r="25">
      <c r="A25" s="4" t="inlineStr">
        <is>
          <t>Loss on the principal the books lent (Jun–Aug flow) — a function of turnover</t>
        </is>
      </c>
      <c r="B25" s="5" t="n"/>
      <c r="C25" s="5" t="n"/>
      <c r="D25" s="5" t="n"/>
    </row>
    <row r="26">
      <c r="A26" t="inlineStr">
        <is>
          <t>Principal flow (purchase volume + pay-a-friend)</t>
        </is>
      </c>
      <c r="B26" s="13">
        <f>flow</f>
        <v/>
      </c>
    </row>
    <row r="27">
      <c r="A27" t="inlineStr">
        <is>
          <t>Principal turnover (annualized Jun–Aug principal flow ÷ the books' average receivables)</t>
        </is>
      </c>
      <c r="C27" s="18">
        <f>B26*12/months/den</f>
        <v/>
      </c>
      <c r="D27" s="7" t="inlineStr">
        <is>
          <t>Differs from purchase turnover only by pay-a-friend</t>
        </is>
      </c>
    </row>
    <row r="28">
      <c r="A28" t="inlineStr">
        <is>
          <t>Loss rate — ≥90 DPD ex-FPD, vintages since Jan 2026 (BASE)</t>
        </is>
      </c>
      <c r="C28" s="20">
        <f>L_x90</f>
        <v/>
      </c>
      <c r="D28" s="7" t="inlineStr">
        <is>
          <t>90-day-seasoned denominator; see Inputs</t>
        </is>
      </c>
    </row>
    <row r="29">
      <c r="A29" s="15" t="inlineStr">
        <is>
          <t>Loss on receivables — ex-FPD (rate × turnover)</t>
        </is>
      </c>
      <c r="B29" s="15" t="n"/>
      <c r="C29" s="17">
        <f>C28*C27</f>
        <v/>
      </c>
    </row>
    <row r="30">
      <c r="A30" t="inlineStr">
        <is>
          <t>Loss rate — ≥90 DPD all accounts (what the tape shows before the FPD carve-out)</t>
        </is>
      </c>
      <c r="C30" s="20">
        <f>L_all90</f>
        <v/>
      </c>
    </row>
    <row r="31">
      <c r="A31" t="inlineStr">
        <is>
          <t>Loss on receivables — all accounts</t>
        </is>
      </c>
      <c r="C31" s="14">
        <f>C30*C27</f>
        <v/>
      </c>
    </row>
    <row r="32">
      <c r="A32" t="inlineStr">
        <is>
          <t xml:space="preserve">  FPD cost = difference, borne by Zed if FPD receivables are ineligible</t>
        </is>
      </c>
      <c r="C32" s="14">
        <f>C31-C29</f>
        <v/>
      </c>
    </row>
    <row r="33">
      <c r="A33" t="inlineStr">
        <is>
          <t>Loss on receivables at the recent run-rate (May 2026 vintage ex-FPD 0.91% × turnover)</t>
        </is>
      </c>
      <c r="C33" s="14">
        <f>L_may26x*C27</f>
        <v/>
      </c>
      <c r="D33" s="7" t="inlineStr">
        <is>
          <t>Forward view if FPD → 0 and the post-model-change vintages hold; see Inputs L_may26x</t>
        </is>
      </c>
    </row>
    <row r="34"/>
    <row r="35" ht="32" customHeight="1">
      <c r="A35" s="3" t="inlineStr">
        <is>
          <t>Net yield and excess spread — points of the books' average receivables per year</t>
        </is>
      </c>
      <c r="B35" s="3" t="inlineStr">
        <is>
          <t>Lender's view (pool ex-FPD)</t>
        </is>
      </c>
      <c r="C35" s="3" t="inlineStr">
        <is>
          <t>Zed's view (all losses)</t>
        </is>
      </c>
      <c r="D35" s="3" t="inlineStr">
        <is>
          <t>Comment</t>
        </is>
      </c>
    </row>
    <row r="36">
      <c r="A36" t="inlineStr">
        <is>
          <t>Gross yield</t>
        </is>
      </c>
      <c r="B36" s="14">
        <f>C17</f>
        <v/>
      </c>
      <c r="C36" s="14">
        <f>C17</f>
        <v/>
      </c>
    </row>
    <row r="37">
      <c r="A37" t="inlineStr">
        <is>
          <t>− Loss on receivables</t>
        </is>
      </c>
      <c r="B37" s="14">
        <f>C29</f>
        <v/>
      </c>
      <c r="C37" s="14">
        <f>C31</f>
        <v/>
      </c>
      <c r="D37" s="7" t="inlineStr">
        <is>
          <t>ex-FPD 1.15% | all accounts 1.68%, × 10.0x</t>
        </is>
      </c>
    </row>
    <row r="38">
      <c r="A38" s="15" t="inlineStr">
        <is>
          <t>⇒ Net yield (before servicing/opex/funding)</t>
        </is>
      </c>
      <c r="B38" s="17">
        <f>B36-B37</f>
        <v/>
      </c>
      <c r="C38" s="17">
        <f>C36-C37</f>
        <v/>
      </c>
    </row>
    <row r="39">
      <c r="A39" t="inlineStr">
        <is>
          <t>− Cost of funds on receivables = coupon × advance rate</t>
        </is>
      </c>
      <c r="B39" s="14">
        <f>coupon*advance</f>
        <v/>
      </c>
      <c r="C39" s="14">
        <f>coupon*advance</f>
        <v/>
      </c>
      <c r="D39" s="7" t="inlineStr">
        <is>
          <t>19% × 80% = 15.2 pts of receivables</t>
        </is>
      </c>
    </row>
    <row r="40">
      <c r="A40" t="inlineStr">
        <is>
          <t>− Withholding gross-up (placeholder, 0)</t>
        </is>
      </c>
      <c r="B40" s="14">
        <f>coupon*advance*wht/(1-wht)</f>
        <v/>
      </c>
      <c r="C40" s="14">
        <f>coupon*advance*wht/(1-wht)</f>
        <v/>
      </c>
      <c r="D40" s="7" t="inlineStr">
        <is>
          <t>Only if Zed bears it; set wht on Inputs</t>
        </is>
      </c>
    </row>
    <row r="41">
      <c r="A41" t="inlineStr">
        <is>
          <t>− FX hedge (placeholder, 0)</t>
        </is>
      </c>
      <c r="B41" s="14">
        <f>hedge*advance</f>
        <v/>
      </c>
      <c r="C41" s="14">
        <f>hedge*advance</f>
        <v/>
      </c>
    </row>
    <row r="42">
      <c r="A42" s="15" t="inlineStr">
        <is>
          <t>⇒ Excess spread on receivables</t>
        </is>
      </c>
      <c r="B42" s="17">
        <f>B38-B39-B40-B41</f>
        <v/>
      </c>
      <c r="C42" s="17">
        <f>C38-C39-C40-C41</f>
        <v/>
      </c>
      <c r="D42" s="7" t="inlineStr">
        <is>
          <t>Points of the books' average receivables per year</t>
        </is>
      </c>
    </row>
    <row r="43">
      <c r="A43" t="inlineStr">
        <is>
          <t>Excess spread on the drawn amount (÷ advance rate)</t>
        </is>
      </c>
      <c r="B43" s="14">
        <f>B42/advance</f>
        <v/>
      </c>
      <c r="C43" s="14">
        <f>C42/advance</f>
        <v/>
      </c>
      <c r="D43" s="7" t="inlineStr">
        <is>
          <t>The margin a lender sees per peso lent</t>
        </is>
      </c>
    </row>
    <row r="44">
      <c r="A44" t="inlineStr">
        <is>
          <t>Coverage = net yield ÷ cost of funds</t>
        </is>
      </c>
      <c r="B44" s="21">
        <f>B38/(B39+B40+B41)</f>
        <v/>
      </c>
      <c r="C44" s="21">
        <f>C38/(C39+C40+C41)</f>
        <v/>
      </c>
      <c r="D44" s="7" t="inlineStr">
        <is>
          <t>EM consumer-credit funds typically look for ~1.25–1.5x on a first facility [practice, not documentable]</t>
        </is>
      </c>
    </row>
    <row r="45">
      <c r="A45" t="inlineStr">
        <is>
          <t>Breakeven loss rate on originations (excess spread = 0)</t>
        </is>
      </c>
      <c r="B45" s="19">
        <f>(B36-B39-B40-B41)/C27</f>
        <v/>
      </c>
      <c r="C45" s="19">
        <f>(C36-C39-C40-C41)/C27</f>
        <v/>
      </c>
      <c r="D45" s="7" t="inlineStr">
        <is>
          <t>Loss rate at which net yield just covers the coupon; compare with the row-28/30 inputs</t>
        </is>
      </c>
    </row>
    <row r="46">
      <c r="A46" t="inlineStr">
        <is>
          <t>Headroom: breakeven ÷ current loss rate</t>
        </is>
      </c>
      <c r="B46" s="21">
        <f>B45/C28</f>
        <v/>
      </c>
      <c r="C46" s="21">
        <f>C45/C30</f>
        <v/>
      </c>
      <c r="D46" s="7" t="inlineStr">
        <is>
          <t>How much the loss rate can rise before the facility stops covering itself</t>
        </is>
      </c>
    </row>
    <row r="47">
      <c r="A47" t="inlineStr">
        <is>
          <t>Return on Zed's unfunded slice = excess spread ÷ (1 − advance), before opex</t>
        </is>
      </c>
      <c r="B47" s="14">
        <f>B42/(1-advance)</f>
        <v/>
      </c>
      <c r="C47" s="14">
        <f>C42/(1-advance)</f>
        <v/>
      </c>
      <c r="D47" s="7" t="inlineStr">
        <is>
          <t>Zed's 20% of the book earns the whole excess spread; the Series-B-vs-debt comparison</t>
        </is>
      </c>
    </row>
    <row r="48"/>
    <row r="49" ht="60" customHeight="1">
      <c r="A49" s="22" t="inlineStr">
        <is>
          <t>Read: the lender underwrites the left column (its pool excludes FPD receivables, which Zed repurchases); Zed lives in the right column. Today the FPD cost (row 32) consumes most of Zed's excess spread — the new fraud controls are the margin. Frictions (withholding, hedge) are placeholders at 0 and would come off Zed's column. All yields are by book month (capital employed Jun–Aug; creation revenue Jun–Aug; interest Jul–Sep); rows 19–23 show the conventional Jul–Sep basis for reference.</t>
        </is>
      </c>
    </row>
  </sheetData>
  <mergeCells count="1">
    <mergeCell ref="A49:D4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7"/>
  <sheetViews>
    <sheetView showGridLines="0" workbookViewId="0">
      <selection activeCell="A1" sqref="A1"/>
    </sheetView>
  </sheetViews>
  <sheetFormatPr baseColWidth="8" defaultRowHeight="15"/>
  <cols>
    <col width="6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1" t="inlineStr">
        <is>
          <t>Scenario analysis — excess spread (lender's view, ex-FPD pool) by revolving share × coupon × loss rate, plus advance rate</t>
        </is>
      </c>
    </row>
    <row r="2" ht="64" customHeight="1">
      <c r="A2" s="23" t="inlineStr">
        <is>
          <t>Model: transacting and installment balances held at Q3 levels; revolving balance scaled to hit the target share of balances; revolving interest = pricing × interest-bearing ratio × 12 on the revolving balance (accrual basis); purchase volume, pay-a-friend, interchange, installment charges and late fees held in pesos (spend- and conversion-driven, not balance-driven); principal flow therefore held, so turnover falls as the book grows and the same loss rate on originations becomes a smaller loss on balances. Cost of funds = coupon × advance rate; withholding and hedge at their Inputs values (0 unless set).</t>
        </is>
      </c>
    </row>
    <row r="3"/>
    <row r="4">
      <c r="A4" s="4" t="inlineStr">
        <is>
          <t>Calibration (from Inputs)</t>
        </is>
      </c>
      <c r="B4" s="5" t="n"/>
      <c r="C4" s="5" t="n"/>
      <c r="D4" s="5" t="n"/>
      <c r="E4" s="5" t="n"/>
      <c r="F4" s="5" t="n"/>
      <c r="G4" s="5" t="n"/>
      <c r="H4" s="5" t="n"/>
      <c r="I4" s="5" t="n"/>
      <c r="J4" s="5" t="n"/>
      <c r="K4" s="5" t="n"/>
    </row>
    <row r="5">
      <c r="A5" t="inlineStr">
        <is>
          <t>Monthly rate on the interest-bearing balance (3.07%; 36.5% APR)</t>
        </is>
      </c>
      <c r="B5" s="19">
        <f>rate_ib</f>
        <v/>
      </c>
      <c r="C5" s="24" t="inlineStr">
        <is>
          <t>billed interest ÷ Σ purchase_interest_balance on revolver statements, Jul–Sep</t>
        </is>
      </c>
    </row>
    <row r="6">
      <c r="A6" t="inlineStr">
        <is>
          <t>Interest-bearing balance ÷ revolving-bucket balance (scenario)</t>
        </is>
      </c>
      <c r="B6" s="25">
        <f>ratio_scn</f>
        <v/>
      </c>
      <c r="C6" s="24" t="inlineStr">
        <is>
          <t>≈0.97 observed on the opening-balance basis; effective yield on the opening revolving balance = rate × ratio</t>
        </is>
      </c>
    </row>
    <row r="7">
      <c r="A7" t="inlineStr">
        <is>
          <t>Revolving share of balances, Q3 average</t>
        </is>
      </c>
      <c r="B7" s="14">
        <f>bal_rev/bal_tot</f>
        <v/>
      </c>
    </row>
    <row r="8">
      <c r="A8" t="inlineStr">
        <is>
          <t>Non-revolving balance (transacting + installment), scaled to the books' average receivables</t>
        </is>
      </c>
      <c r="B8" s="13">
        <f>(bal_tra+bal_inst)/bal_tot*den</f>
        <v/>
      </c>
      <c r="C8" s="24" t="inlineStr">
        <is>
          <t>held constant across scenarios</t>
        </is>
      </c>
    </row>
    <row r="9">
      <c r="A9" t="inlineStr">
        <is>
          <t>Annual principal flow (Jun–Aug × 4)</t>
        </is>
      </c>
      <c r="B9" s="13">
        <f>flow*12/months</f>
        <v/>
      </c>
      <c r="C9" s="24" t="inlineStr">
        <is>
          <t>held constant</t>
        </is>
      </c>
    </row>
    <row r="10">
      <c r="A10" t="inlineStr">
        <is>
          <t>Annual interchange + upfront (Jun–Aug) + installment interest + late fees (Jul–Sep), × 4</t>
        </is>
      </c>
      <c r="B10" s="13">
        <f>(interchange+inst_int+upfront+late)*12/months</f>
        <v/>
      </c>
      <c r="C10" s="24" t="inlineStr">
        <is>
          <t>held constant in pesos</t>
        </is>
      </c>
    </row>
    <row r="11">
      <c r="A11" t="inlineStr">
        <is>
          <t>Friction add-on to cost of funds (withholding gross-up + hedge), pts of receivables</t>
        </is>
      </c>
      <c r="B11" s="19">
        <f>coupon*advance*wht/(1-wht)+hedge*advance</f>
        <v/>
      </c>
      <c r="C11" s="24" t="inlineStr">
        <is>
          <t>0 unless set on Inputs</t>
        </is>
      </c>
    </row>
    <row r="12"/>
    <row r="13">
      <c r="A13" s="4" t="inlineStr">
        <is>
          <t>Revolving share of balances = Q3 average</t>
        </is>
      </c>
      <c r="B13" s="26">
        <f>bal_rev/bal_tot</f>
        <v/>
      </c>
      <c r="C13" s="5" t="n"/>
      <c r="D13" s="5" t="n"/>
      <c r="E13" s="5" t="n"/>
      <c r="F13" s="5" t="n"/>
      <c r="G13" s="5" t="n"/>
      <c r="H13" s="5" t="n"/>
      <c r="I13" s="5" t="n"/>
      <c r="J13" s="5" t="n"/>
      <c r="K13" s="5" t="n"/>
    </row>
    <row r="14">
      <c r="A14" t="inlineStr">
        <is>
          <t>Revolving balance (PHP)</t>
        </is>
      </c>
      <c r="B14" s="13">
        <f>$B$13/(1-$B$13)*s_nonrev</f>
        <v/>
      </c>
    </row>
    <row r="15">
      <c r="A15" t="inlineStr">
        <is>
          <t>Total receivables (PHP)</t>
        </is>
      </c>
      <c r="B15" s="13">
        <f>s_nonrev+B14</f>
        <v/>
      </c>
    </row>
    <row r="16">
      <c r="A16" t="inlineStr">
        <is>
          <t>Gross yield — all revenue</t>
        </is>
      </c>
      <c r="B16" s="14">
        <f>(s_rate*s_ratio*12*B14+s_other)/B15</f>
        <v/>
      </c>
    </row>
    <row r="17">
      <c r="A17" t="inlineStr">
        <is>
          <t xml:space="preserve">  of which interest and fees</t>
        </is>
      </c>
      <c r="B17" s="14">
        <f>(s_rate*s_ratio*12*B14+(inst_int+upfront+late)*12/months)/B15</f>
        <v/>
      </c>
    </row>
    <row r="18">
      <c r="A18" t="inlineStr">
        <is>
          <t>Principal turnover (x per year)</t>
        </is>
      </c>
      <c r="B18" s="18">
        <f>s_flow/B15</f>
        <v/>
      </c>
    </row>
    <row r="19"/>
    <row r="20" ht="32" customHeight="1">
      <c r="A20" s="15" t="inlineStr">
        <is>
          <t>Excess spread, pts of receivables — coupon ↓ / loss rate →</t>
        </is>
      </c>
      <c r="B20" s="27" t="inlineStr">
        <is>
          <t>ex-FPD ≥90 since Jan 2026 (BASE)</t>
        </is>
      </c>
      <c r="C20" s="27" t="inlineStr">
        <is>
          <t>All accounts ≥90 since Jan 2026</t>
        </is>
      </c>
      <c r="D20" s="27" t="inlineStr">
        <is>
          <t>Recent run-rate: May 2026 vintage ex-FPD</t>
        </is>
      </c>
      <c r="E20" s="27" t="inlineStr">
        <is>
          <t>Lifetime ≥90 ex-FPD</t>
        </is>
      </c>
      <c r="F20" s="27" t="inlineStr">
        <is>
          <t>Lifetime ≥90 all accounts</t>
        </is>
      </c>
      <c r="H20" s="15" t="inlineStr">
        <is>
          <t>Net yield before funding →</t>
        </is>
      </c>
      <c r="I20" s="27" t="inlineStr">
        <is>
          <t>ex-FPD ≥90 since Jan 2026 (BASE)</t>
        </is>
      </c>
      <c r="J20" s="27" t="inlineStr">
        <is>
          <t>All accounts ≥90 since Jan 2026</t>
        </is>
      </c>
      <c r="K20" s="27" t="inlineStr">
        <is>
          <t>Recent run-rate: May 2026 vintage ex-FPD</t>
        </is>
      </c>
    </row>
    <row r="21">
      <c r="A21" t="inlineStr">
        <is>
          <t>Coupon 15% (cost on receivables = 15% × advance + frictions)</t>
        </is>
      </c>
      <c r="B21" s="14">
        <f>$B$16-L_x90*$B$18-0.15*advance-s_fric</f>
        <v/>
      </c>
      <c r="C21" s="14">
        <f>$B$16-L_all90*$B$18-0.15*advance-s_fric</f>
        <v/>
      </c>
      <c r="D21" s="14">
        <f>$B$16-L_may26x*$B$18-0.15*advance-s_fric</f>
        <v/>
      </c>
      <c r="E21" s="14">
        <f>$B$16-L_life90x*$B$18-0.15*advance-s_fric</f>
        <v/>
      </c>
      <c r="F21" s="14">
        <f>$B$16-L_life90*$B$18-0.15*advance-s_fric</f>
        <v/>
      </c>
      <c r="I21" s="14">
        <f>$B$16-L_x90*$B$18</f>
        <v/>
      </c>
      <c r="J21" s="14">
        <f>$B$16-L_all90*$B$18</f>
        <v/>
      </c>
      <c r="K21" s="14">
        <f>$B$16-L_may26x*$B$18</f>
        <v/>
      </c>
    </row>
    <row r="22">
      <c r="A22" t="inlineStr">
        <is>
          <t>Coupon 17% (cost on receivables = 17% × advance + frictions)</t>
        </is>
      </c>
      <c r="B22" s="14">
        <f>$B$16-L_x90*$B$18-0.17*advance-s_fric</f>
        <v/>
      </c>
      <c r="C22" s="14">
        <f>$B$16-L_all90*$B$18-0.17*advance-s_fric</f>
        <v/>
      </c>
      <c r="D22" s="14">
        <f>$B$16-L_may26x*$B$18-0.17*advance-s_fric</f>
        <v/>
      </c>
      <c r="E22" s="14">
        <f>$B$16-L_life90x*$B$18-0.17*advance-s_fric</f>
        <v/>
      </c>
      <c r="F22" s="14">
        <f>$B$16-L_life90*$B$18-0.17*advance-s_fric</f>
        <v/>
      </c>
      <c r="I22" s="14">
        <f>$B$16-L_x90*$B$18</f>
        <v/>
      </c>
      <c r="J22" s="14">
        <f>$B$16-L_all90*$B$18</f>
        <v/>
      </c>
      <c r="K22" s="14">
        <f>$B$16-L_may26x*$B$18</f>
        <v/>
      </c>
    </row>
    <row r="23">
      <c r="A23" t="inlineStr">
        <is>
          <t>Coupon 19% (cost on receivables = 19% × advance + frictions)</t>
        </is>
      </c>
      <c r="B23" s="14">
        <f>$B$16-L_x90*$B$18-0.19*advance-s_fric</f>
        <v/>
      </c>
      <c r="C23" s="14">
        <f>$B$16-L_all90*$B$18-0.19*advance-s_fric</f>
        <v/>
      </c>
      <c r="D23" s="14">
        <f>$B$16-L_may26x*$B$18-0.19*advance-s_fric</f>
        <v/>
      </c>
      <c r="E23" s="14">
        <f>$B$16-L_life90x*$B$18-0.19*advance-s_fric</f>
        <v/>
      </c>
      <c r="F23" s="14">
        <f>$B$16-L_life90*$B$18-0.19*advance-s_fric</f>
        <v/>
      </c>
      <c r="I23" s="14">
        <f>$B$16-L_x90*$B$18</f>
        <v/>
      </c>
      <c r="J23" s="14">
        <f>$B$16-L_all90*$B$18</f>
        <v/>
      </c>
      <c r="K23" s="14">
        <f>$B$16-L_may26x*$B$18</f>
        <v/>
      </c>
    </row>
    <row r="24"/>
    <row r="25">
      <c r="A25" s="15" t="inlineStr">
        <is>
          <t>Advance rate sensitivity at 19% coupon, base loss — advance →</t>
        </is>
      </c>
      <c r="B25" s="17" t="n">
        <v>0.7</v>
      </c>
      <c r="C25" s="17" t="n">
        <v>0.75</v>
      </c>
      <c r="D25" s="17" t="n">
        <v>0.8</v>
      </c>
      <c r="E25" s="17" t="n">
        <v>0.85</v>
      </c>
    </row>
    <row r="26">
      <c r="A26" t="inlineStr">
        <is>
          <t xml:space="preserve">  Excess spread, pts of receivables</t>
        </is>
      </c>
      <c r="B26" s="14">
        <f>$B$16-L_x90*$B$18-0.19*B25-s_fric</f>
        <v/>
      </c>
      <c r="C26" s="14">
        <f>$B$16-L_x90*$B$18-0.19*C25-s_fric</f>
        <v/>
      </c>
      <c r="D26" s="14">
        <f>$B$16-L_x90*$B$18-0.19*D25-s_fric</f>
        <v/>
      </c>
      <c r="E26" s="14">
        <f>$B$16-L_x90*$B$18-0.19*E25-s_fric</f>
        <v/>
      </c>
    </row>
    <row r="27">
      <c r="A27" t="inlineStr">
        <is>
          <t xml:space="preserve">  Coverage (net yield ÷ cost)</t>
        </is>
      </c>
      <c r="B27" s="21">
        <f>($B$16-L_x90*$B$18)/(0.19*B25+s_fric)</f>
        <v/>
      </c>
      <c r="C27" s="21">
        <f>($B$16-L_x90*$B$18)/(0.19*C25+s_fric)</f>
        <v/>
      </c>
      <c r="D27" s="21">
        <f>($B$16-L_x90*$B$18)/(0.19*D25+s_fric)</f>
        <v/>
      </c>
      <c r="E27" s="21">
        <f>($B$16-L_x90*$B$18)/(0.19*E25+s_fric)</f>
        <v/>
      </c>
    </row>
    <row r="28">
      <c r="A28" t="inlineStr">
        <is>
          <t xml:space="preserve">  Breakeven loss rate on originations</t>
        </is>
      </c>
      <c r="B28" s="19">
        <f>($B$16-0.19*B25-s_fric)/$B$18</f>
        <v/>
      </c>
      <c r="C28" s="19">
        <f>($B$16-0.19*C25-s_fric)/$B$18</f>
        <v/>
      </c>
      <c r="D28" s="19">
        <f>($B$16-0.19*D25-s_fric)/$B$18</f>
        <v/>
      </c>
      <c r="E28" s="19">
        <f>($B$16-0.19*E25-s_fric)/$B$18</f>
        <v/>
      </c>
    </row>
    <row r="29"/>
    <row r="30">
      <c r="A30" s="4" t="inlineStr">
        <is>
          <t>Revolving share of balances = 50%</t>
        </is>
      </c>
      <c r="B30" s="26" t="n">
        <v>0.5</v>
      </c>
      <c r="C30" s="5" t="n"/>
      <c r="D30" s="5" t="n"/>
      <c r="E30" s="5" t="n"/>
      <c r="F30" s="5" t="n"/>
      <c r="G30" s="5" t="n"/>
      <c r="H30" s="5" t="n"/>
      <c r="I30" s="5" t="n"/>
      <c r="J30" s="5" t="n"/>
      <c r="K30" s="5" t="n"/>
    </row>
    <row r="31">
      <c r="A31" t="inlineStr">
        <is>
          <t>Revolving balance (PHP)</t>
        </is>
      </c>
      <c r="B31" s="13">
        <f>$B$30/(1-$B$30)*s_nonrev</f>
        <v/>
      </c>
    </row>
    <row r="32">
      <c r="A32" t="inlineStr">
        <is>
          <t>Total receivables (PHP)</t>
        </is>
      </c>
      <c r="B32" s="13">
        <f>s_nonrev+B31</f>
        <v/>
      </c>
    </row>
    <row r="33">
      <c r="A33" t="inlineStr">
        <is>
          <t>Gross yield — all revenue</t>
        </is>
      </c>
      <c r="B33" s="14">
        <f>(s_rate*s_ratio*12*B31+s_other)/B32</f>
        <v/>
      </c>
    </row>
    <row r="34">
      <c r="A34" t="inlineStr">
        <is>
          <t xml:space="preserve">  of which interest and fees</t>
        </is>
      </c>
      <c r="B34" s="14">
        <f>(s_rate*s_ratio*12*B31+(inst_int+upfront+late)*12/months)/B32</f>
        <v/>
      </c>
    </row>
    <row r="35">
      <c r="A35" t="inlineStr">
        <is>
          <t>Principal turnover (x per year)</t>
        </is>
      </c>
      <c r="B35" s="18">
        <f>s_flow/B32</f>
        <v/>
      </c>
    </row>
    <row r="36"/>
    <row r="37" ht="32" customHeight="1">
      <c r="A37" s="15" t="inlineStr">
        <is>
          <t>Excess spread, pts of receivables — coupon ↓ / loss rate →</t>
        </is>
      </c>
      <c r="B37" s="27" t="inlineStr">
        <is>
          <t>ex-FPD ≥90 since Jan 2026 (BASE)</t>
        </is>
      </c>
      <c r="C37" s="27" t="inlineStr">
        <is>
          <t>All accounts ≥90 since Jan 2026</t>
        </is>
      </c>
      <c r="D37" s="27" t="inlineStr">
        <is>
          <t>Recent run-rate: May 2026 vintage ex-FPD</t>
        </is>
      </c>
      <c r="E37" s="27" t="inlineStr">
        <is>
          <t>Lifetime ≥90 ex-FPD</t>
        </is>
      </c>
      <c r="F37" s="27" t="inlineStr">
        <is>
          <t>Lifetime ≥90 all accounts</t>
        </is>
      </c>
      <c r="H37" s="15" t="inlineStr">
        <is>
          <t>Net yield before funding →</t>
        </is>
      </c>
      <c r="I37" s="27" t="inlineStr">
        <is>
          <t>ex-FPD ≥90 since Jan 2026 (BASE)</t>
        </is>
      </c>
      <c r="J37" s="27" t="inlineStr">
        <is>
          <t>All accounts ≥90 since Jan 2026</t>
        </is>
      </c>
      <c r="K37" s="27" t="inlineStr">
        <is>
          <t>Recent run-rate: May 2026 vintage ex-FPD</t>
        </is>
      </c>
    </row>
    <row r="38">
      <c r="A38" t="inlineStr">
        <is>
          <t>Coupon 15% (cost on receivables = 15% × advance + frictions)</t>
        </is>
      </c>
      <c r="B38" s="14">
        <f>$B$33-L_x90*$B$35-0.15*advance-s_fric</f>
        <v/>
      </c>
      <c r="C38" s="14">
        <f>$B$33-L_all90*$B$35-0.15*advance-s_fric</f>
        <v/>
      </c>
      <c r="D38" s="14">
        <f>$B$33-L_may26x*$B$35-0.15*advance-s_fric</f>
        <v/>
      </c>
      <c r="E38" s="14">
        <f>$B$33-L_life90x*$B$35-0.15*advance-s_fric</f>
        <v/>
      </c>
      <c r="F38" s="14">
        <f>$B$33-L_life90*$B$35-0.15*advance-s_fric</f>
        <v/>
      </c>
      <c r="I38" s="14">
        <f>$B$33-L_x90*$B$35</f>
        <v/>
      </c>
      <c r="J38" s="14">
        <f>$B$33-L_all90*$B$35</f>
        <v/>
      </c>
      <c r="K38" s="14">
        <f>$B$33-L_may26x*$B$35</f>
        <v/>
      </c>
    </row>
    <row r="39">
      <c r="A39" t="inlineStr">
        <is>
          <t>Coupon 17% (cost on receivables = 17% × advance + frictions)</t>
        </is>
      </c>
      <c r="B39" s="14">
        <f>$B$33-L_x90*$B$35-0.17*advance-s_fric</f>
        <v/>
      </c>
      <c r="C39" s="14">
        <f>$B$33-L_all90*$B$35-0.17*advance-s_fric</f>
        <v/>
      </c>
      <c r="D39" s="14">
        <f>$B$33-L_may26x*$B$35-0.17*advance-s_fric</f>
        <v/>
      </c>
      <c r="E39" s="14">
        <f>$B$33-L_life90x*$B$35-0.17*advance-s_fric</f>
        <v/>
      </c>
      <c r="F39" s="14">
        <f>$B$33-L_life90*$B$35-0.17*advance-s_fric</f>
        <v/>
      </c>
      <c r="I39" s="14">
        <f>$B$33-L_x90*$B$35</f>
        <v/>
      </c>
      <c r="J39" s="14">
        <f>$B$33-L_all90*$B$35</f>
        <v/>
      </c>
      <c r="K39" s="14">
        <f>$B$33-L_may26x*$B$35</f>
        <v/>
      </c>
    </row>
    <row r="40">
      <c r="A40" t="inlineStr">
        <is>
          <t>Coupon 19% (cost on receivables = 19% × advance + frictions)</t>
        </is>
      </c>
      <c r="B40" s="14">
        <f>$B$33-L_x90*$B$35-0.19*advance-s_fric</f>
        <v/>
      </c>
      <c r="C40" s="14">
        <f>$B$33-L_all90*$B$35-0.19*advance-s_fric</f>
        <v/>
      </c>
      <c r="D40" s="14">
        <f>$B$33-L_may26x*$B$35-0.19*advance-s_fric</f>
        <v/>
      </c>
      <c r="E40" s="14">
        <f>$B$33-L_life90x*$B$35-0.19*advance-s_fric</f>
        <v/>
      </c>
      <c r="F40" s="14">
        <f>$B$33-L_life90*$B$35-0.19*advance-s_fric</f>
        <v/>
      </c>
      <c r="I40" s="14">
        <f>$B$33-L_x90*$B$35</f>
        <v/>
      </c>
      <c r="J40" s="14">
        <f>$B$33-L_all90*$B$35</f>
        <v/>
      </c>
      <c r="K40" s="14">
        <f>$B$33-L_may26x*$B$35</f>
        <v/>
      </c>
    </row>
    <row r="41"/>
    <row r="42">
      <c r="A42" s="15" t="inlineStr">
        <is>
          <t>Advance rate sensitivity at 19% coupon, base loss — advance →</t>
        </is>
      </c>
      <c r="B42" s="17" t="n">
        <v>0.7</v>
      </c>
      <c r="C42" s="17" t="n">
        <v>0.75</v>
      </c>
      <c r="D42" s="17" t="n">
        <v>0.8</v>
      </c>
      <c r="E42" s="17" t="n">
        <v>0.85</v>
      </c>
    </row>
    <row r="43">
      <c r="A43" t="inlineStr">
        <is>
          <t xml:space="preserve">  Excess spread, pts of receivables</t>
        </is>
      </c>
      <c r="B43" s="14">
        <f>$B$33-L_x90*$B$35-0.19*B42-s_fric</f>
        <v/>
      </c>
      <c r="C43" s="14">
        <f>$B$33-L_x90*$B$35-0.19*C42-s_fric</f>
        <v/>
      </c>
      <c r="D43" s="14">
        <f>$B$33-L_x90*$B$35-0.19*D42-s_fric</f>
        <v/>
      </c>
      <c r="E43" s="14">
        <f>$B$33-L_x90*$B$35-0.19*E42-s_fric</f>
        <v/>
      </c>
    </row>
    <row r="44">
      <c r="A44" t="inlineStr">
        <is>
          <t xml:space="preserve">  Coverage (net yield ÷ cost)</t>
        </is>
      </c>
      <c r="B44" s="21">
        <f>($B$33-L_x90*$B$35)/(0.19*B42+s_fric)</f>
        <v/>
      </c>
      <c r="C44" s="21">
        <f>($B$33-L_x90*$B$35)/(0.19*C42+s_fric)</f>
        <v/>
      </c>
      <c r="D44" s="21">
        <f>($B$33-L_x90*$B$35)/(0.19*D42+s_fric)</f>
        <v/>
      </c>
      <c r="E44" s="21">
        <f>($B$33-L_x90*$B$35)/(0.19*E42+s_fric)</f>
        <v/>
      </c>
    </row>
    <row r="45">
      <c r="A45" t="inlineStr">
        <is>
          <t xml:space="preserve">  Breakeven loss rate on originations</t>
        </is>
      </c>
      <c r="B45" s="19">
        <f>($B$33-0.19*B42-s_fric)/$B$35</f>
        <v/>
      </c>
      <c r="C45" s="19">
        <f>($B$33-0.19*C42-s_fric)/$B$35</f>
        <v/>
      </c>
      <c r="D45" s="19">
        <f>($B$33-0.19*D42-s_fric)/$B$35</f>
        <v/>
      </c>
      <c r="E45" s="19">
        <f>($B$33-0.19*E42-s_fric)/$B$35</f>
        <v/>
      </c>
    </row>
    <row r="46"/>
    <row r="47">
      <c r="A47" s="4" t="inlineStr">
        <is>
          <t>Revolving share of balances = 55%</t>
        </is>
      </c>
      <c r="B47" s="26" t="n">
        <v>0.55</v>
      </c>
      <c r="C47" s="5" t="n"/>
      <c r="D47" s="5" t="n"/>
      <c r="E47" s="5" t="n"/>
      <c r="F47" s="5" t="n"/>
      <c r="G47" s="5" t="n"/>
      <c r="H47" s="5" t="n"/>
      <c r="I47" s="5" t="n"/>
      <c r="J47" s="5" t="n"/>
      <c r="K47" s="5" t="n"/>
    </row>
    <row r="48">
      <c r="A48" t="inlineStr">
        <is>
          <t>Revolving balance (PHP)</t>
        </is>
      </c>
      <c r="B48" s="13">
        <f>$B$47/(1-$B$47)*s_nonrev</f>
        <v/>
      </c>
    </row>
    <row r="49">
      <c r="A49" t="inlineStr">
        <is>
          <t>Total receivables (PHP)</t>
        </is>
      </c>
      <c r="B49" s="13">
        <f>s_nonrev+B48</f>
        <v/>
      </c>
    </row>
    <row r="50">
      <c r="A50" t="inlineStr">
        <is>
          <t>Gross yield — all revenue</t>
        </is>
      </c>
      <c r="B50" s="14">
        <f>(s_rate*s_ratio*12*B48+s_other)/B49</f>
        <v/>
      </c>
    </row>
    <row r="51">
      <c r="A51" t="inlineStr">
        <is>
          <t xml:space="preserve">  of which interest and fees</t>
        </is>
      </c>
      <c r="B51" s="14">
        <f>(s_rate*s_ratio*12*B48+(inst_int+upfront+late)*12/months)/B49</f>
        <v/>
      </c>
    </row>
    <row r="52">
      <c r="A52" t="inlineStr">
        <is>
          <t>Principal turnover (x per year)</t>
        </is>
      </c>
      <c r="B52" s="18">
        <f>s_flow/B49</f>
        <v/>
      </c>
    </row>
    <row r="53"/>
    <row r="54" ht="32" customHeight="1">
      <c r="A54" s="15" t="inlineStr">
        <is>
          <t>Excess spread, pts of receivables — coupon ↓ / loss rate →</t>
        </is>
      </c>
      <c r="B54" s="27" t="inlineStr">
        <is>
          <t>ex-FPD ≥90 since Jan 2026 (BASE)</t>
        </is>
      </c>
      <c r="C54" s="27" t="inlineStr">
        <is>
          <t>All accounts ≥90 since Jan 2026</t>
        </is>
      </c>
      <c r="D54" s="27" t="inlineStr">
        <is>
          <t>Recent run-rate: May 2026 vintage ex-FPD</t>
        </is>
      </c>
      <c r="E54" s="27" t="inlineStr">
        <is>
          <t>Lifetime ≥90 ex-FPD</t>
        </is>
      </c>
      <c r="F54" s="27" t="inlineStr">
        <is>
          <t>Lifetime ≥90 all accounts</t>
        </is>
      </c>
      <c r="H54" s="15" t="inlineStr">
        <is>
          <t>Net yield before funding →</t>
        </is>
      </c>
      <c r="I54" s="27" t="inlineStr">
        <is>
          <t>ex-FPD ≥90 since Jan 2026 (BASE)</t>
        </is>
      </c>
      <c r="J54" s="27" t="inlineStr">
        <is>
          <t>All accounts ≥90 since Jan 2026</t>
        </is>
      </c>
      <c r="K54" s="27" t="inlineStr">
        <is>
          <t>Recent run-rate: May 2026 vintage ex-FPD</t>
        </is>
      </c>
    </row>
    <row r="55">
      <c r="A55" t="inlineStr">
        <is>
          <t>Coupon 15% (cost on receivables = 15% × advance + frictions)</t>
        </is>
      </c>
      <c r="B55" s="14">
        <f>$B$50-L_x90*$B$52-0.15*advance-s_fric</f>
        <v/>
      </c>
      <c r="C55" s="14">
        <f>$B$50-L_all90*$B$52-0.15*advance-s_fric</f>
        <v/>
      </c>
      <c r="D55" s="14">
        <f>$B$50-L_may26x*$B$52-0.15*advance-s_fric</f>
        <v/>
      </c>
      <c r="E55" s="14">
        <f>$B$50-L_life90x*$B$52-0.15*advance-s_fric</f>
        <v/>
      </c>
      <c r="F55" s="14">
        <f>$B$50-L_life90*$B$52-0.15*advance-s_fric</f>
        <v/>
      </c>
      <c r="I55" s="14">
        <f>$B$50-L_x90*$B$52</f>
        <v/>
      </c>
      <c r="J55" s="14">
        <f>$B$50-L_all90*$B$52</f>
        <v/>
      </c>
      <c r="K55" s="14">
        <f>$B$50-L_may26x*$B$52</f>
        <v/>
      </c>
    </row>
    <row r="56">
      <c r="A56" t="inlineStr">
        <is>
          <t>Coupon 17% (cost on receivables = 17% × advance + frictions)</t>
        </is>
      </c>
      <c r="B56" s="14">
        <f>$B$50-L_x90*$B$52-0.17*advance-s_fric</f>
        <v/>
      </c>
      <c r="C56" s="14">
        <f>$B$50-L_all90*$B$52-0.17*advance-s_fric</f>
        <v/>
      </c>
      <c r="D56" s="14">
        <f>$B$50-L_may26x*$B$52-0.17*advance-s_fric</f>
        <v/>
      </c>
      <c r="E56" s="14">
        <f>$B$50-L_life90x*$B$52-0.17*advance-s_fric</f>
        <v/>
      </c>
      <c r="F56" s="14">
        <f>$B$50-L_life90*$B$52-0.17*advance-s_fric</f>
        <v/>
      </c>
      <c r="I56" s="14">
        <f>$B$50-L_x90*$B$52</f>
        <v/>
      </c>
      <c r="J56" s="14">
        <f>$B$50-L_all90*$B$52</f>
        <v/>
      </c>
      <c r="K56" s="14">
        <f>$B$50-L_may26x*$B$52</f>
        <v/>
      </c>
    </row>
    <row r="57">
      <c r="A57" t="inlineStr">
        <is>
          <t>Coupon 19% (cost on receivables = 19% × advance + frictions)</t>
        </is>
      </c>
      <c r="B57" s="14">
        <f>$B$50-L_x90*$B$52-0.19*advance-s_fric</f>
        <v/>
      </c>
      <c r="C57" s="14">
        <f>$B$50-L_all90*$B$52-0.19*advance-s_fric</f>
        <v/>
      </c>
      <c r="D57" s="14">
        <f>$B$50-L_may26x*$B$52-0.19*advance-s_fric</f>
        <v/>
      </c>
      <c r="E57" s="14">
        <f>$B$50-L_life90x*$B$52-0.19*advance-s_fric</f>
        <v/>
      </c>
      <c r="F57" s="14">
        <f>$B$50-L_life90*$B$52-0.19*advance-s_fric</f>
        <v/>
      </c>
      <c r="I57" s="14">
        <f>$B$50-L_x90*$B$52</f>
        <v/>
      </c>
      <c r="J57" s="14">
        <f>$B$50-L_all90*$B$52</f>
        <v/>
      </c>
      <c r="K57" s="14">
        <f>$B$50-L_may26x*$B$52</f>
        <v/>
      </c>
    </row>
    <row r="58"/>
    <row r="59">
      <c r="A59" s="15" t="inlineStr">
        <is>
          <t>Advance rate sensitivity at 19% coupon, base loss — advance →</t>
        </is>
      </c>
      <c r="B59" s="17" t="n">
        <v>0.7</v>
      </c>
      <c r="C59" s="17" t="n">
        <v>0.75</v>
      </c>
      <c r="D59" s="17" t="n">
        <v>0.8</v>
      </c>
      <c r="E59" s="17" t="n">
        <v>0.85</v>
      </c>
    </row>
    <row r="60">
      <c r="A60" t="inlineStr">
        <is>
          <t xml:space="preserve">  Excess spread, pts of receivables</t>
        </is>
      </c>
      <c r="B60" s="14">
        <f>$B$50-L_x90*$B$52-0.19*B59-s_fric</f>
        <v/>
      </c>
      <c r="C60" s="14">
        <f>$B$50-L_x90*$B$52-0.19*C59-s_fric</f>
        <v/>
      </c>
      <c r="D60" s="14">
        <f>$B$50-L_x90*$B$52-0.19*D59-s_fric</f>
        <v/>
      </c>
      <c r="E60" s="14">
        <f>$B$50-L_x90*$B$52-0.19*E59-s_fric</f>
        <v/>
      </c>
    </row>
    <row r="61">
      <c r="A61" t="inlineStr">
        <is>
          <t xml:space="preserve">  Coverage (net yield ÷ cost)</t>
        </is>
      </c>
      <c r="B61" s="21">
        <f>($B$50-L_x90*$B$52)/(0.19*B59+s_fric)</f>
        <v/>
      </c>
      <c r="C61" s="21">
        <f>($B$50-L_x90*$B$52)/(0.19*C59+s_fric)</f>
        <v/>
      </c>
      <c r="D61" s="21">
        <f>($B$50-L_x90*$B$52)/(0.19*D59+s_fric)</f>
        <v/>
      </c>
      <c r="E61" s="21">
        <f>($B$50-L_x90*$B$52)/(0.19*E59+s_fric)</f>
        <v/>
      </c>
    </row>
    <row r="62">
      <c r="A62" t="inlineStr">
        <is>
          <t xml:space="preserve">  Breakeven loss rate on originations</t>
        </is>
      </c>
      <c r="B62" s="19">
        <f>($B$50-0.19*B59-s_fric)/$B$52</f>
        <v/>
      </c>
      <c r="C62" s="19">
        <f>($B$50-0.19*C59-s_fric)/$B$52</f>
        <v/>
      </c>
      <c r="D62" s="19">
        <f>($B$50-0.19*D59-s_fric)/$B$52</f>
        <v/>
      </c>
      <c r="E62" s="19">
        <f>($B$50-0.19*E59-s_fric)/$B$52</f>
        <v/>
      </c>
    </row>
    <row r="63"/>
    <row r="64">
      <c r="A64" s="4" t="inlineStr">
        <is>
          <t>Revolving share of balances = 60%</t>
        </is>
      </c>
      <c r="B64" s="26" t="n">
        <v>0.6</v>
      </c>
      <c r="C64" s="5" t="n"/>
      <c r="D64" s="5" t="n"/>
      <c r="E64" s="5" t="n"/>
      <c r="F64" s="5" t="n"/>
      <c r="G64" s="5" t="n"/>
      <c r="H64" s="5" t="n"/>
      <c r="I64" s="5" t="n"/>
      <c r="J64" s="5" t="n"/>
      <c r="K64" s="5" t="n"/>
    </row>
    <row r="65">
      <c r="A65" t="inlineStr">
        <is>
          <t>Revolving balance (PHP)</t>
        </is>
      </c>
      <c r="B65" s="13">
        <f>$B$64/(1-$B$64)*s_nonrev</f>
        <v/>
      </c>
    </row>
    <row r="66">
      <c r="A66" t="inlineStr">
        <is>
          <t>Total receivables (PHP)</t>
        </is>
      </c>
      <c r="B66" s="13">
        <f>s_nonrev+B65</f>
        <v/>
      </c>
    </row>
    <row r="67">
      <c r="A67" t="inlineStr">
        <is>
          <t>Gross yield — all revenue</t>
        </is>
      </c>
      <c r="B67" s="14">
        <f>(s_rate*s_ratio*12*B65+s_other)/B66</f>
        <v/>
      </c>
    </row>
    <row r="68">
      <c r="A68" t="inlineStr">
        <is>
          <t xml:space="preserve">  of which interest and fees</t>
        </is>
      </c>
      <c r="B68" s="14">
        <f>(s_rate*s_ratio*12*B65+(inst_int+upfront+late)*12/months)/B66</f>
        <v/>
      </c>
    </row>
    <row r="69">
      <c r="A69" t="inlineStr">
        <is>
          <t>Principal turnover (x per year)</t>
        </is>
      </c>
      <c r="B69" s="18">
        <f>s_flow/B66</f>
        <v/>
      </c>
    </row>
    <row r="70"/>
    <row r="71" ht="32" customHeight="1">
      <c r="A71" s="15" t="inlineStr">
        <is>
          <t>Excess spread, pts of receivables — coupon ↓ / loss rate →</t>
        </is>
      </c>
      <c r="B71" s="27" t="inlineStr">
        <is>
          <t>ex-FPD ≥90 since Jan 2026 (BASE)</t>
        </is>
      </c>
      <c r="C71" s="27" t="inlineStr">
        <is>
          <t>All accounts ≥90 since Jan 2026</t>
        </is>
      </c>
      <c r="D71" s="27" t="inlineStr">
        <is>
          <t>Recent run-rate: May 2026 vintage ex-FPD</t>
        </is>
      </c>
      <c r="E71" s="27" t="inlineStr">
        <is>
          <t>Lifetime ≥90 ex-FPD</t>
        </is>
      </c>
      <c r="F71" s="27" t="inlineStr">
        <is>
          <t>Lifetime ≥90 all accounts</t>
        </is>
      </c>
      <c r="H71" s="15" t="inlineStr">
        <is>
          <t>Net yield before funding →</t>
        </is>
      </c>
      <c r="I71" s="27" t="inlineStr">
        <is>
          <t>ex-FPD ≥90 since Jan 2026 (BASE)</t>
        </is>
      </c>
      <c r="J71" s="27" t="inlineStr">
        <is>
          <t>All accounts ≥90 since Jan 2026</t>
        </is>
      </c>
      <c r="K71" s="27" t="inlineStr">
        <is>
          <t>Recent run-rate: May 2026 vintage ex-FPD</t>
        </is>
      </c>
    </row>
    <row r="72">
      <c r="A72" t="inlineStr">
        <is>
          <t>Coupon 15% (cost on receivables = 15% × advance + frictions)</t>
        </is>
      </c>
      <c r="B72" s="14">
        <f>$B$67-L_x90*$B$69-0.15*advance-s_fric</f>
        <v/>
      </c>
      <c r="C72" s="14">
        <f>$B$67-L_all90*$B$69-0.15*advance-s_fric</f>
        <v/>
      </c>
      <c r="D72" s="14">
        <f>$B$67-L_may26x*$B$69-0.15*advance-s_fric</f>
        <v/>
      </c>
      <c r="E72" s="14">
        <f>$B$67-L_life90x*$B$69-0.15*advance-s_fric</f>
        <v/>
      </c>
      <c r="F72" s="14">
        <f>$B$67-L_life90*$B$69-0.15*advance-s_fric</f>
        <v/>
      </c>
      <c r="I72" s="14">
        <f>$B$67-L_x90*$B$69</f>
        <v/>
      </c>
      <c r="J72" s="14">
        <f>$B$67-L_all90*$B$69</f>
        <v/>
      </c>
      <c r="K72" s="14">
        <f>$B$67-L_may26x*$B$69</f>
        <v/>
      </c>
    </row>
    <row r="73">
      <c r="A73" t="inlineStr">
        <is>
          <t>Coupon 17% (cost on receivables = 17% × advance + frictions)</t>
        </is>
      </c>
      <c r="B73" s="14">
        <f>$B$67-L_x90*$B$69-0.17*advance-s_fric</f>
        <v/>
      </c>
      <c r="C73" s="14">
        <f>$B$67-L_all90*$B$69-0.17*advance-s_fric</f>
        <v/>
      </c>
      <c r="D73" s="14">
        <f>$B$67-L_may26x*$B$69-0.17*advance-s_fric</f>
        <v/>
      </c>
      <c r="E73" s="14">
        <f>$B$67-L_life90x*$B$69-0.17*advance-s_fric</f>
        <v/>
      </c>
      <c r="F73" s="14">
        <f>$B$67-L_life90*$B$69-0.17*advance-s_fric</f>
        <v/>
      </c>
      <c r="I73" s="14">
        <f>$B$67-L_x90*$B$69</f>
        <v/>
      </c>
      <c r="J73" s="14">
        <f>$B$67-L_all90*$B$69</f>
        <v/>
      </c>
      <c r="K73" s="14">
        <f>$B$67-L_may26x*$B$69</f>
        <v/>
      </c>
    </row>
    <row r="74">
      <c r="A74" t="inlineStr">
        <is>
          <t>Coupon 19% (cost on receivables = 19% × advance + frictions)</t>
        </is>
      </c>
      <c r="B74" s="14">
        <f>$B$67-L_x90*$B$69-0.19*advance-s_fric</f>
        <v/>
      </c>
      <c r="C74" s="14">
        <f>$B$67-L_all90*$B$69-0.19*advance-s_fric</f>
        <v/>
      </c>
      <c r="D74" s="14">
        <f>$B$67-L_may26x*$B$69-0.19*advance-s_fric</f>
        <v/>
      </c>
      <c r="E74" s="14">
        <f>$B$67-L_life90x*$B$69-0.19*advance-s_fric</f>
        <v/>
      </c>
      <c r="F74" s="14">
        <f>$B$67-L_life90*$B$69-0.19*advance-s_fric</f>
        <v/>
      </c>
      <c r="I74" s="14">
        <f>$B$67-L_x90*$B$69</f>
        <v/>
      </c>
      <c r="J74" s="14">
        <f>$B$67-L_all90*$B$69</f>
        <v/>
      </c>
      <c r="K74" s="14">
        <f>$B$67-L_may26x*$B$69</f>
        <v/>
      </c>
    </row>
    <row r="75"/>
    <row r="76">
      <c r="A76" s="15" t="inlineStr">
        <is>
          <t>Advance rate sensitivity at 19% coupon, base loss — advance →</t>
        </is>
      </c>
      <c r="B76" s="17" t="n">
        <v>0.7</v>
      </c>
      <c r="C76" s="17" t="n">
        <v>0.75</v>
      </c>
      <c r="D76" s="17" t="n">
        <v>0.8</v>
      </c>
      <c r="E76" s="17" t="n">
        <v>0.85</v>
      </c>
    </row>
    <row r="77">
      <c r="A77" t="inlineStr">
        <is>
          <t xml:space="preserve">  Excess spread, pts of receivables</t>
        </is>
      </c>
      <c r="B77" s="14">
        <f>$B$67-L_x90*$B$69-0.19*B76-s_fric</f>
        <v/>
      </c>
      <c r="C77" s="14">
        <f>$B$67-L_x90*$B$69-0.19*C76-s_fric</f>
        <v/>
      </c>
      <c r="D77" s="14">
        <f>$B$67-L_x90*$B$69-0.19*D76-s_fric</f>
        <v/>
      </c>
      <c r="E77" s="14">
        <f>$B$67-L_x90*$B$69-0.19*E76-s_fric</f>
        <v/>
      </c>
    </row>
    <row r="78">
      <c r="A78" t="inlineStr">
        <is>
          <t xml:space="preserve">  Coverage (net yield ÷ cost)</t>
        </is>
      </c>
      <c r="B78" s="21">
        <f>($B$67-L_x90*$B$69)/(0.19*B76+s_fric)</f>
        <v/>
      </c>
      <c r="C78" s="21">
        <f>($B$67-L_x90*$B$69)/(0.19*C76+s_fric)</f>
        <v/>
      </c>
      <c r="D78" s="21">
        <f>($B$67-L_x90*$B$69)/(0.19*D76+s_fric)</f>
        <v/>
      </c>
      <c r="E78" s="21">
        <f>($B$67-L_x90*$B$69)/(0.19*E76+s_fric)</f>
        <v/>
      </c>
    </row>
    <row r="79">
      <c r="A79" t="inlineStr">
        <is>
          <t xml:space="preserve">  Breakeven loss rate on originations</t>
        </is>
      </c>
      <c r="B79" s="19">
        <f>($B$67-0.19*B76-s_fric)/$B$69</f>
        <v/>
      </c>
      <c r="C79" s="19">
        <f>($B$67-0.19*C76-s_fric)/$B$69</f>
        <v/>
      </c>
      <c r="D79" s="19">
        <f>($B$67-0.19*D76-s_fric)/$B$69</f>
        <v/>
      </c>
      <c r="E79" s="19">
        <f>($B$67-0.19*E76-s_fric)/$B$69</f>
        <v/>
      </c>
    </row>
    <row r="80"/>
    <row r="81">
      <c r="A81" s="4" t="inlineStr">
        <is>
          <t>Sensitivity — interest-bearing ÷ bucket ratio (growth/timing) at Q3 share, 19% coupon, 80% advance, base loss</t>
        </is>
      </c>
      <c r="B81" s="5" t="n"/>
      <c r="C81" s="5" t="n"/>
      <c r="D81" s="5" t="n"/>
      <c r="E81" s="5" t="n"/>
      <c r="F81" s="5" t="n"/>
      <c r="G81" s="5" t="n"/>
      <c r="H81" s="5" t="n"/>
      <c r="I81" s="5" t="n"/>
      <c r="J81" s="5" t="n"/>
      <c r="K81" s="5" t="n"/>
    </row>
    <row r="82">
      <c r="A82" s="15" t="inlineStr">
        <is>
          <t>Ratio →</t>
        </is>
      </c>
      <c r="B82" s="28" t="n">
        <v>0.85</v>
      </c>
      <c r="C82" s="28" t="n">
        <v>0.9</v>
      </c>
      <c r="D82" s="28" t="n">
        <v>0.95</v>
      </c>
      <c r="E82" s="28" t="n">
        <v>1</v>
      </c>
    </row>
    <row r="83">
      <c r="A83" t="inlineStr">
        <is>
          <t xml:space="preserve">  Gross yield — all revenue</t>
        </is>
      </c>
      <c r="B83" s="14">
        <f>(s_rate*B82*12*$B$14+s_other)/$B$15</f>
        <v/>
      </c>
      <c r="C83" s="14">
        <f>(s_rate*C82*12*$B$14+s_other)/$B$15</f>
        <v/>
      </c>
      <c r="D83" s="14">
        <f>(s_rate*D82*12*$B$14+s_other)/$B$15</f>
        <v/>
      </c>
      <c r="E83" s="14">
        <f>(s_rate*E82*12*$B$14+s_other)/$B$15</f>
        <v/>
      </c>
    </row>
    <row r="84">
      <c r="A84" t="inlineStr">
        <is>
          <t xml:space="preserve">  Excess spread, pts of receivables</t>
        </is>
      </c>
      <c r="B84" s="14">
        <f>B83-L_x90*$B$18-0.19*advance-s_fric</f>
        <v/>
      </c>
      <c r="C84" s="14">
        <f>C83-L_x90*$B$18-0.19*advance-s_fric</f>
        <v/>
      </c>
      <c r="D84" s="14">
        <f>D83-L_x90*$B$18-0.19*advance-s_fric</f>
        <v/>
      </c>
      <c r="E84" s="14">
        <f>E83-L_x90*$B$18-0.19*advance-s_fric</f>
        <v/>
      </c>
    </row>
    <row r="85">
      <c r="A85" s="24" t="inlineStr">
        <is>
          <t>≈0.97 is Q3 as observed on the opening-balance basis; 1.00 would mean every peso of the opening revolving balance bore interest all month. Each +0.05 is worth ~0.8 pt of yield at today's revolving share. Pricing is 3.07%/month throughout.</t>
        </is>
      </c>
    </row>
    <row r="86"/>
    <row r="87" ht="64" customHeight="1">
      <c r="A87" s="22" t="inlineStr">
        <is>
          <t>Calibration: the Q3-share block rebuilds revolving interest as rate × ratio × scaled opening revolving balance and reproduces the Q3 sheet to within rounding. Read across: base case = Q3 share (41.8%), ex-FPD ≥90 loss, 19% coupon, 80% advance → the first cell of the first grid. The second loss column is the tape-level number Accial will compute before any FPD carve-out — at 19% it is close to zero excess spread, which is why FPD ineligibility has to be structural. Moving to 50–60% revolving raises interest yield faster than it dilutes interchange and lowers turnover (so loss on receivables falls): read down the first column of each block. Each 2 pts of coupon ≈ 1.6 pts of excess spread at 80% advance; each 5 pts of advance rate ≈ 1 pt.</t>
        </is>
      </c>
    </row>
  </sheetData>
  <mergeCells count="2">
    <mergeCell ref="A2:K2"/>
    <mergeCell ref="A87:K8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56" customWidth="1" min="1" max="1"/>
    <col width="120" customWidth="1" min="2" max="2"/>
  </cols>
  <sheetData>
    <row r="1">
      <c r="A1" s="1" t="inlineStr">
        <is>
          <t>Sources and how to regenerate</t>
        </is>
      </c>
    </row>
    <row r="2"/>
    <row r="3" ht="30" customHeight="1">
      <c r="A3" s="15" t="inlineStr">
        <is>
          <t>KPI Dashboard_v2026 (12).xlsx, Monthly tab</t>
        </is>
      </c>
      <c r="B3" s="7" t="inlineStr">
        <is>
          <t>Snapshot 2026-10-26 at debt_dd/inbox/processed/. Rows cited by number on Inputs. Revenue from the i2c Transaction History Settlement Extract and Network Settlement Summary.</t>
        </is>
      </c>
    </row>
    <row r="4" ht="48" customHeight="1">
      <c r="A4" s="15" t="inlineStr">
        <is>
          <t>revolver_transactor_balances_2026-01_to_2026-09_10262026.csv</t>
        </is>
      </c>
      <c r="B4" s="7" t="inlineStr">
        <is>
          <t>debt_dd/Analyses (internal)/source-reports/. Regenerate: bash ~/.claude/skills/revolver-transactor-report/scripts/run_report.sh --from 2026-01 --to 2026-09. Statement-based buckets; used for revolving share and the revolving rate.</t>
        </is>
      </c>
    </row>
    <row r="5" ht="48" customHeight="1">
      <c r="A5" s="15" t="inlineStr">
        <is>
          <t>vintage_loss_seasoned_16_30_60_90_by_origination_month_10272026.csv (+ .sql)</t>
        </is>
      </c>
      <c r="B5" s="7" t="inlineStr">
        <is>
          <t>source-reports/. Ad hoc 2026-10-27: the vintage-loss view with the FIFO waterfall inlined and the seasoned denominator computed at 16/30/60/90 days, all accounts and ex-FPD. Base-case loss rate = Σ d90x ÷ Σ s90x over 2026-01…09.</t>
        </is>
      </c>
    </row>
    <row r="6" ht="30" customHeight="1">
      <c r="A6" s="15" t="inlineStr">
        <is>
          <t>vintage_loss_by_origination_month_10262026.csv</t>
        </is>
      </c>
      <c r="B6" s="7" t="inlineStr">
        <is>
          <t>source-reports/. Statement-month originated principal (reference line on Inputs).</t>
        </is>
      </c>
    </row>
    <row r="7" ht="30" customHeight="1">
      <c r="A7" s="15" t="inlineStr">
        <is>
          <t>pay_a_friend_transfers_by_month_2026-01_to_2026-09_10272026.csv</t>
        </is>
      </c>
      <c r="B7" s="7" t="inlineStr">
        <is>
          <t>source-reports/. i2c push messages, C2C Transfer-Others, positive legs, response 00, Manila day.</t>
        </is>
      </c>
    </row>
    <row r="8" ht="48" customHeight="1">
      <c r="A8" s="15" t="inlineStr">
        <is>
          <t>Fund-facing counterpart</t>
        </is>
      </c>
      <c r="B8" s="7" t="inlineStr">
        <is>
          <t>Prior Responses (outside data room)/Zed Portfolio Yield Analysis_20261028_v5_DRAFT.xlsx — same inputs and basis, ex-FPD only, no cost of funds. This workbook is internal and adds the lender/Zed split, cost of funds, coverage, breakeven and scenarios.</t>
        </is>
      </c>
    </row>
    <row r="9" ht="48" customHeight="1">
      <c r="A9" s="15" t="inlineStr">
        <is>
          <t>Annualization and basis</t>
        </is>
      </c>
      <c r="B9" s="7" t="inlineStr">
        <is>
          <t>Book-month basis: the Jun–Aug 2026 books' average receivables (mean of r67 Jun/Jul/Aug) are the capital employed; attributed revenue = Jun–Aug interchange and upfront fees (earned at creation) + Jul–Sep revolving interest, installment interest and late fees (charged on the balances billed at the end of each book month); losses = ≥90 ex-FPD rate × Jun–Aug principal flow. Amount × 12 ÷ 3 ÷ that average; simple, not compounded. Conventional Jul–Sep basis shown for reference only.</t>
        </is>
      </c>
    </row>
    <row r="10" ht="48" customHeight="1">
      <c r="A10" s="15" t="inlineStr">
        <is>
          <t>Interchange and loss as turnover functions</t>
        </is>
      </c>
      <c r="B10" s="7" t="inlineStr">
        <is>
          <t>Interchange = rate on purchase volume × purchase turnover; loss = loss rate on originations × principal turnover (purchase volume + pay-a-friend). Both are the book months' flows over the book months' average balance.</t>
        </is>
      </c>
    </row>
    <row r="11" ht="30" customHeight="1">
      <c r="A11" s="15" t="inlineStr">
        <is>
          <t>Excluded / placeholders</t>
        </is>
      </c>
      <c r="B11" s="7" t="inlineStr">
        <is>
          <t>Servicing, opex, i2c processing, Mastercard assessments excluded. Withholding gross-up and FX hedge are Inputs placeholders at 0 — size before quoting an all-in number.</t>
        </is>
      </c>
    </row>
    <row r="12" ht="30" customHeight="1">
      <c r="A12" s="15" t="inlineStr">
        <is>
          <t>Prepared</t>
        </is>
      </c>
      <c r="B12" s="7" t="inlineStr">
        <is>
          <t>2026-10-28 v5, debt_dd workspace; internal — not fund-facing. Supersedes v4 (opening-balance denominator with same-period interchange), v3, v2, 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2026-10-28T21:04:47Z</dcterms:created>
  <dcterms:modified xmlns:dcterms="http://purl.org/dc/terms/" xmlns:xsi="http://www.w3.org/2001/XMLSchema-instance" xsi:type="dcterms:W3CDTF">2026-10-28T21:04:47Z</dcterms:modified>
</cp:coreProperties>
</file>