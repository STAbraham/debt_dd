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2026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>
    <definedName name="months">Inputs!$B$6</definedName>
    <definedName name="rev_int">Inputs!$B$7</definedName>
    <definedName name="rev_int_billed">Inputs!$B$8</definedName>
    <definedName name="inst_int">Inputs!$B$9</definedName>
    <definedName name="upfront">Inputs!$B$10</definedName>
    <definedName name="late">Inputs!$B$11</definedName>
    <definedName name="interchange">Inputs!$B$12</definedName>
    <definedName name="rev_total">Inputs!$B$13</definedName>
    <definedName name="avg_rec">Inputs!$B$15</definedName>
    <definedName name="eom_rec">Inputs!$B$16</definedName>
    <definedName name="bal_rev">Inputs!$B$17</definedName>
    <definedName name="bal_tra">Inputs!$B$18</definedName>
    <definedName name="bal_inst">Inputs!$B$19</definedName>
    <definedName name="bal_tot">Inputs!$B$20</definedName>
    <definedName name="pib">Inputs!$B$21</definedName>
    <definedName name="rate_ib">Inputs!$B$22</definedName>
    <definedName name="ib_share">Inputs!$B$23</definedName>
    <definedName name="ratio_obs">Inputs!$B$24</definedName>
    <definedName name="ratio_scn">Inputs!$B$25</definedName>
    <definedName name="purch">Inputs!$B$27</definedName>
    <definedName name="paf">Inputs!$B$28</definedName>
    <definedName name="flow">Inputs!$B$29</definedName>
    <definedName name="orig_stmt">Inputs!$B$30</definedName>
    <definedName name="L_x90">Inputs!$B$32</definedName>
    <definedName name="L_all90">Inputs!$B$33</definedName>
    <definedName name="L_fpd90">Inputs!$B$34</definedName>
    <definedName name="L_life90x">Inputs!$B$35</definedName>
    <definedName name="L_life90">Inputs!$B$36</definedName>
    <definedName name="L_x16">Inputs!$B$37</definedName>
    <definedName name="L_may26x">Inputs!$B$38</definedName>
    <definedName name="coupon">Inputs!$B$40</definedName>
    <definedName name="advance">Inputs!$B$41</definedName>
    <definedName name="wht">Inputs!$B$42</definedName>
    <definedName name="hedge">Inputs!$B$43</definedName>
    <definedName name="fx">Inputs!$B$44</definedName>
    <definedName name="s_rate">Scenarios!$B$5</definedName>
    <definedName name="s_ratio">Scenarios!$B$6</definedName>
    <definedName name="s_share">Scenarios!$B$7</definedName>
    <definedName name="s_nonrev">Scenarios!$B$8</definedName>
    <definedName name="s_flow">Scenarios!$B$9</definedName>
    <definedName name="s_other">Scenarios!$B$10</definedName>
    <definedName name="s_fric">Scenarios!$B$11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%"/>
    <numFmt numFmtId="166" formatCode="0.000"/>
    <numFmt numFmtId="167" formatCode="0.0"/>
    <numFmt numFmtId="168" formatCode="0.0&quot;x&quot;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1" fontId="0" fillId="4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166" fontId="0" fillId="0" borderId="0" pivotButton="0" quotePrefix="0" xfId="0"/>
    <xf numFmtId="164" fontId="4" fillId="3" borderId="0" pivotButton="0" quotePrefix="0" xfId="0"/>
    <xf numFmtId="0" fontId="4" fillId="0" borderId="0" applyAlignment="1" pivotButton="0" quotePrefix="0" xfId="0">
      <alignment wrapText="1"/>
    </xf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8" customWidth="1" min="3" max="3"/>
    <col width="60" customWidth="1" min="4" max="4"/>
    <col width="70" customWidth="1" min="5" max="5"/>
  </cols>
  <sheetData>
    <row r="1">
      <c r="A1" s="1" t="inlineStr">
        <is>
          <t>Facility yield analysis v2 — inputs (single input column = Jul–Sep 2026)</t>
        </is>
      </c>
    </row>
    <row r="2">
      <c r="A2" s="2" t="inlineStr">
        <is>
          <t>Yellow = input. Every value cites its source. PHP. v2 (2026-10-27): revolving and installment interest on an ACCRUAL basis (cycle interest allocated across calendar days) so the numerator covers the same days as the calendar-average denominator; billed basis kept as memo. Supersedes Facility Yield Analysis_20261027.xlsx.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Notes</t>
        </is>
      </c>
    </row>
    <row r="5">
      <c r="A5" s="4" t="inlineStr">
        <is>
          <t>REVENUE — Jul–Sep 2026 (three months)</t>
        </is>
      </c>
      <c r="B5" s="5" t="n"/>
      <c r="C5" s="5" t="n"/>
      <c r="D5" s="5" t="n"/>
      <c r="E5" s="5" t="n"/>
    </row>
    <row r="6">
      <c r="A6" t="inlineStr">
        <is>
          <t>Months in period</t>
        </is>
      </c>
      <c r="B6" s="6" t="n">
        <v>3</v>
      </c>
      <c r="C6" t="inlineStr">
        <is>
          <t>months</t>
        </is>
      </c>
      <c r="D6" s="7" t="inlineStr">
        <is>
          <t>—</t>
        </is>
      </c>
      <c r="E6" s="7" t="inlineStr">
        <is>
          <t>Annualization = amount × 12 ÷ months ÷ average receivables</t>
        </is>
      </c>
    </row>
    <row r="7">
      <c r="A7" t="inlineStr">
        <is>
          <t>Revolving interest — ACCRUED, calendar Jul–Sep</t>
        </is>
      </c>
      <c r="B7" s="8" t="n">
        <v>5964085.89</v>
      </c>
      <c r="C7" t="inlineStr">
        <is>
          <t>PHP</t>
        </is>
      </c>
      <c r="D7" s="7" t="inlineStr">
        <is>
          <t>BigQuery public_statements, on-cycle statements closing 2026-07-14 … 2026-10-14; each cycle's interest_charged allocated across the calendar days it covers (14th-close cycles straddle two months)</t>
        </is>
      </c>
      <c r="E7" s="7" t="inlineStr">
        <is>
          <t>Jul 1,658,171 = Jul-31 close 1,011,645 + 14/30 of Jul-14 close 514,131 + 17/31 of Aug-14 close 741,445; Aug 2,023,315; Sep 2,282,600 (uses 16/30 of the Oct-14 close 970,734). Uniform daily accrual within a cycle is an approximation</t>
        </is>
      </c>
    </row>
    <row r="8">
      <c r="A8" t="inlineStr">
        <is>
          <t>Revolving interest — BILLED, statements closing Jul–Sep (memo)</t>
        </is>
      </c>
      <c r="B8" s="8" t="n">
        <v>5720564.2</v>
      </c>
      <c r="C8" t="inlineStr">
        <is>
          <t>PHP</t>
        </is>
      </c>
      <c r="D8" s="7" t="inlineStr">
        <is>
          <t>same statements, unallocated; KPI Dashboard Monthly r55 shows 5,682,907 (cycle vs calendar extract, 0.7%)</t>
        </is>
      </c>
      <c r="E8" s="7" t="inlineStr">
        <is>
          <t>What management reporting shows; lags accrual by ~half a cycle for the 14th-close half of the book → understated by 4.3% in a growing quarter</t>
        </is>
      </c>
    </row>
    <row r="9">
      <c r="A9" t="inlineStr">
        <is>
          <t>Installment interest — ACCRUED, calendar Jul–Sep</t>
        </is>
      </c>
      <c r="B9" s="8" t="n">
        <v>1415139.87</v>
      </c>
      <c r="C9" t="inlineStr">
        <is>
          <t>PHP</t>
        </is>
      </c>
      <c r="D9" s="7" t="inlineStr">
        <is>
          <t>same method on installment_statement_interest</t>
        </is>
      </c>
      <c r="E9" s="7" t="inlineStr">
        <is>
          <t>Jul 430,645 / Aug 467,200 / Sep 517,295; billed basis 1,376,474 on statements (dashboard r52 1,334,774)</t>
        </is>
      </c>
    </row>
    <row r="10">
      <c r="A10" t="inlineStr">
        <is>
          <t>Installment upfront fees</t>
        </is>
      </c>
      <c r="B10" s="8" t="n">
        <v>1071705.81</v>
      </c>
      <c r="C10" t="inlineStr">
        <is>
          <t>PHP</t>
        </is>
      </c>
      <c r="D10" s="7" t="inlineStr">
        <is>
          <t>KPI Dashboard Monthly r53, Jul–Sep</t>
        </is>
      </c>
      <c r="E10" s="7" t="inlineStr">
        <is>
          <t>290,513.47 + 341,458.41 + 439,733.93</t>
        </is>
      </c>
    </row>
    <row r="11">
      <c r="A11" t="inlineStr">
        <is>
          <t>Late payment fees</t>
        </is>
      </c>
      <c r="B11" s="8" t="n">
        <v>324022.56</v>
      </c>
      <c r="C11" t="inlineStr">
        <is>
          <t>PHP</t>
        </is>
      </c>
      <c r="D11" s="7" t="inlineStr">
        <is>
          <t>KPI Dashboard Monthly r49, Jul–Sep</t>
        </is>
      </c>
      <c r="E11" s="7" t="inlineStr">
        <is>
          <t>89,421.49 + 108,174.67 + 126,426.40</t>
        </is>
      </c>
    </row>
    <row r="12">
      <c r="A12" t="inlineStr">
        <is>
          <t>Interchange fee income</t>
        </is>
      </c>
      <c r="B12" s="8" t="n">
        <v>6334544.68</v>
      </c>
      <c r="C12" t="inlineStr">
        <is>
          <t>PHP</t>
        </is>
      </c>
      <c r="D12" s="7" t="inlineStr">
        <is>
          <t>KPI Dashboard Monthly r42, Jul–Sep</t>
        </is>
      </c>
      <c r="E12" s="7" t="inlineStr">
        <is>
          <t>Gross, merchant-side (i2c Network Settlement Summary); earned at purchase, collected through the cardholder's payment (Mastercard settles ₱98, cardholder billed ₱100)</t>
        </is>
      </c>
    </row>
    <row r="13">
      <c r="A13" t="inlineStr">
        <is>
          <t>Total revenue — accrual basis</t>
        </is>
      </c>
      <c r="B13" s="8">
        <f>rev_int+inst_int+upfront+late+interchange</f>
        <v/>
      </c>
      <c r="C13" t="inlineStr">
        <is>
          <t>PHP</t>
        </is>
      </c>
      <c r="D13" s="7" t="inlineStr">
        <is>
          <t>derived</t>
        </is>
      </c>
      <c r="E13" s="7" t="inlineStr">
        <is>
          <t>Billed basis per KPI Dashboard r40 Jul–Sep = 14,747,954</t>
        </is>
      </c>
    </row>
    <row r="14">
      <c r="A14" s="4" t="inlineStr">
        <is>
          <t>BALANCES — Jul–Sep 2026</t>
        </is>
      </c>
      <c r="B14" s="5" t="n"/>
      <c r="C14" s="5" t="n"/>
      <c r="D14" s="5" t="n"/>
      <c r="E14" s="5" t="n"/>
    </row>
    <row r="15">
      <c r="A15" t="inlineStr">
        <is>
          <t>Average receivables (denominator)</t>
        </is>
      </c>
      <c r="B15" s="8" t="n">
        <v>182129689.26</v>
      </c>
      <c r="C15" t="inlineStr">
        <is>
          <t>PHP</t>
        </is>
      </c>
      <c r="D15" s="7" t="inlineStr">
        <is>
          <t>KPI Dashboard Monthly r67 'Total Loans Outstanding (average)', mean of Jul/Aug/Sep</t>
        </is>
      </c>
      <c r="E15" s="7" t="inlineStr">
        <is>
          <t>158,604,610.97 / 176,625,299.92 / 211,159,156.90</t>
        </is>
      </c>
    </row>
    <row r="16">
      <c r="A16" t="inlineStr">
        <is>
          <t>End-September receivables</t>
        </is>
      </c>
      <c r="B16" s="8" t="n">
        <v>232895127.53</v>
      </c>
      <c r="C16" t="inlineStr">
        <is>
          <t>PHP</t>
        </is>
      </c>
      <c r="D16" s="7" t="inlineStr">
        <is>
          <t>KPI Dashboard Monthly r65, Sep 2026</t>
        </is>
      </c>
      <c r="E16" s="7" t="inlineStr">
        <is>
          <t>Reference only</t>
        </is>
      </c>
    </row>
    <row r="17">
      <c r="A17" t="inlineStr">
        <is>
          <t>Revolving balance (statements with interest), Jul–Sep average</t>
        </is>
      </c>
      <c r="B17" s="8" t="n">
        <v>77632385</v>
      </c>
      <c r="C17" t="inlineStr">
        <is>
          <t>PHP</t>
        </is>
      </c>
      <c r="D17" s="7" t="inlineStr">
        <is>
          <t>source-reports/revolver_transactor_balances_2026-01_to_2026-09_10262026.csv, all_revolving, mean of 2026-07/08/09</t>
        </is>
      </c>
      <c r="E17" s="7" t="inlineStr">
        <is>
          <t>63,631,302 / 77,899,791 / 91,366,063 — statement-based; ending balance less installment charge on statements with interest_charged &gt; 0</t>
        </is>
      </c>
    </row>
    <row r="18">
      <c r="A18" t="inlineStr">
        <is>
          <t>Transacting balance, Jul–Sep average</t>
        </is>
      </c>
      <c r="B18" s="8" t="n">
        <v>76427246</v>
      </c>
      <c r="C18" t="inlineStr">
        <is>
          <t>PHP</t>
        </is>
      </c>
      <c r="D18" s="7" t="inlineStr">
        <is>
          <t>same file, all_transacting</t>
        </is>
      </c>
      <c r="E18" s="7" t="inlineStr">
        <is>
          <t>71,658,670 / 74,160,336 / 83,462,733</t>
        </is>
      </c>
    </row>
    <row r="19">
      <c r="A19" t="inlineStr">
        <is>
          <t>Installment balance, Jul–Sep average</t>
        </is>
      </c>
      <c r="B19" s="8" t="n">
        <v>31878145</v>
      </c>
      <c r="C19" t="inlineStr">
        <is>
          <t>PHP</t>
        </is>
      </c>
      <c r="D19" s="7" t="inlineStr">
        <is>
          <t>same file, all_installment</t>
        </is>
      </c>
      <c r="E19" s="7" t="inlineStr">
        <is>
          <t>30,261,049 / 31,944,448 / 33,428,938</t>
        </is>
      </c>
    </row>
    <row r="20">
      <c r="A20" t="inlineStr">
        <is>
          <t>Total (three buckets), Jul–Sep average</t>
        </is>
      </c>
      <c r="B20" s="8" t="n">
        <v>185937777</v>
      </c>
      <c r="C20" t="inlineStr">
        <is>
          <t>PHP</t>
        </is>
      </c>
      <c r="D20" s="7" t="inlineStr">
        <is>
          <t>same file, all_total</t>
        </is>
      </c>
      <c r="E20" s="7" t="inlineStr">
        <is>
          <t>Differs from r67 by definition only (statement cycle vs calendar daily average); used for shares and the revolving rate, not as the yield denominator</t>
        </is>
      </c>
    </row>
    <row r="21">
      <c r="A21" t="inlineStr">
        <is>
          <t>Interest-bearing balance on revolver statements, Σ Jul–Sep (purchase_interest_balance)</t>
        </is>
      </c>
      <c r="B21" s="8" t="n">
        <v>186570217.4</v>
      </c>
      <c r="C21" t="inlineStr">
        <is>
          <t>PHP</t>
        </is>
      </c>
      <c r="D21" s="7" t="inlineStr">
        <is>
          <t>BigQuery public_statements.purchase_interest_balance, on-cycle statements closing Jul–Sep 2026 with interest_charged &gt; 0 (query 2026-10-27)</t>
        </is>
      </c>
      <c r="E21" s="7" t="inlineStr">
        <is>
          <t>The balance the 3%/month APR was actually applied to (average revolved balance over the cycle). Σ of the three months' revolving-bucket ending balances is 232,897,157 on the same statements.</t>
        </is>
      </c>
    </row>
    <row r="22">
      <c r="A22" t="inlineStr">
        <is>
          <t>Monthly rate on the interest-bearing balance (pricing)</t>
        </is>
      </c>
      <c r="B22" s="9">
        <f>rev_int_billed/pib</f>
        <v/>
      </c>
      <c r="C22" t="inlineStr">
        <is>
          <t>ratio</t>
        </is>
      </c>
      <c r="D22" s="7" t="inlineStr">
        <is>
          <t>derived</t>
        </is>
      </c>
      <c r="E22" s="7" t="inlineStr">
        <is>
          <t>3.07%/month ≈ 36.5% APR, billed interest ÷ the balance it was charged on (same statements)</t>
        </is>
      </c>
    </row>
    <row r="23">
      <c r="A23" t="inlineStr">
        <is>
          <t>Interest-bearing balance ÷ average receivables (share of the book earning revolving interest)</t>
        </is>
      </c>
      <c r="B23" s="10">
        <f>pib/(avg_rec*months)</f>
        <v/>
      </c>
      <c r="C23" t="inlineStr">
        <is>
          <t>ratio</t>
        </is>
      </c>
      <c r="D23" s="7" t="inlineStr">
        <is>
          <t>derived</t>
        </is>
      </c>
      <c r="E23" s="7" t="inlineStr">
        <is>
          <t>34% in Q3. Interest is charged only on billed balances not paid by the due date (BSP card rules): unbilled purchases and balances paid within grace earn none. Revolving yield on receivables = rate_ib × this share (× accrual timing). Rises as growth slows</t>
        </is>
      </c>
    </row>
    <row r="24">
      <c r="A24" t="inlineStr">
        <is>
          <t>Interest-bearing balance ÷ revolving-bucket ending balance, observed Q3 (accrual-adjusted)</t>
        </is>
      </c>
      <c r="B24" s="11">
        <f>(rev_int/rate_ib)/(bal_rev*months)</f>
        <v/>
      </c>
      <c r="C24" t="inlineStr">
        <is>
          <t>ratio</t>
        </is>
      </c>
      <c r="D24" s="7" t="inlineStr">
        <is>
          <t>derived</t>
        </is>
      </c>
      <c r="E24" s="7" t="inlineStr">
        <is>
          <t>0.80. Interest is charged on the average revolved balance over the cycle; the bucket is the end-of-cycle balance, which includes the cycle's new purchases (₱101.5M of the ₱232.9M, accruing only from their posting date) and the billed interest/fee lines (₱7.7M). In a book growing ~15%/month the end-of-cycle balance runs ~25% above the cycle average. Timing/growth, not pricing</t>
        </is>
      </c>
    </row>
    <row r="25">
      <c r="A25" t="inlineStr">
        <is>
          <t>Interest-bearing ÷ bucket ratio used in Scenarios</t>
        </is>
      </c>
      <c r="B25" s="11">
        <f>ratio_obs</f>
        <v/>
      </c>
      <c r="C25" t="inlineStr">
        <is>
          <t>ratio</t>
        </is>
      </c>
      <c r="D25" s="7" t="inlineStr">
        <is>
          <t>assumption (defaults to observed)</t>
        </is>
      </c>
      <c r="E25" s="7" t="inlineStr">
        <is>
          <t>Override to test steady state: as growth slows the ratio rises toward ~0.9–0.95 (only the fee/interest lines and intra-cycle purchase timing remain outside the interest-bearing balance). Sensitivity table at the bottom of Scenarios</t>
        </is>
      </c>
    </row>
    <row r="26">
      <c r="A26" s="4" t="inlineStr">
        <is>
          <t>FLOWS — Jul–Sep 2026 (calendar month)</t>
        </is>
      </c>
      <c r="B26" s="5" t="n"/>
      <c r="C26" s="5" t="n"/>
      <c r="D26" s="5" t="n"/>
      <c r="E26" s="5" t="n"/>
    </row>
    <row r="27">
      <c r="A27" t="inlineStr">
        <is>
          <t>Purchase volume settled (Mastercard, net of returns)</t>
        </is>
      </c>
      <c r="B27" s="8" t="n">
        <v>448499545.15</v>
      </c>
      <c r="C27" t="inlineStr">
        <is>
          <t>PHP</t>
        </is>
      </c>
      <c r="D27" s="7" t="inlineStr">
        <is>
          <t>KPI Dashboard Monthly r127, Jul–Sep</t>
        </is>
      </c>
      <c r="E27" s="7" t="inlineStr">
        <is>
          <t>127,249,656.88 + 130,388,896.48 + 190,860,991.79 — interchange base</t>
        </is>
      </c>
    </row>
    <row r="28">
      <c r="A28" t="inlineStr">
        <is>
          <t>Pay-a-friend transfers</t>
        </is>
      </c>
      <c r="B28" s="8" t="n">
        <v>8350000</v>
      </c>
      <c r="C28" t="inlineStr">
        <is>
          <t>PHP</t>
        </is>
      </c>
      <c r="D28" s="7" t="inlineStr">
        <is>
          <t>source-reports/pay_a_friend_transfers_by_month_2026-01_to_2026-09_10272026.csv (i2c C2C Transfer-Others, positive legs, response 00)</t>
        </is>
      </c>
      <c r="E28" s="7" t="inlineStr">
        <is>
          <t>2.73M + 2.97M + 2.65M — no interchange; is principal</t>
        </is>
      </c>
    </row>
    <row r="29">
      <c r="A29" t="inlineStr">
        <is>
          <t>Principal flow (purchase volume + pay-a-friend)</t>
        </is>
      </c>
      <c r="B29" s="8">
        <f>purch+paf</f>
        <v/>
      </c>
      <c r="C29" t="inlineStr">
        <is>
          <t>PHP</t>
        </is>
      </c>
      <c r="D29" s="7" t="inlineStr">
        <is>
          <t>derived</t>
        </is>
      </c>
      <c r="E29" s="7" t="inlineStr">
        <is>
          <t>Loss base, calendar-dated to match the denominator</t>
        </is>
      </c>
    </row>
    <row r="30">
      <c r="A30" t="inlineStr">
        <is>
          <t>Principal originated, statement-month basis (reference)</t>
        </is>
      </c>
      <c r="B30" s="8" t="n">
        <v>442733819.38</v>
      </c>
      <c r="C30" t="inlineStr">
        <is>
          <t>PHP</t>
        </is>
      </c>
      <c r="D30" s="7" t="inlineStr">
        <is>
          <t>source-reports/vintage_loss_by_origination_month_10262026.csv, originated_principal_php, 2026-07/08/09</t>
        </is>
      </c>
      <c r="E30" s="7" t="inlineStr">
        <is>
          <t>Base on which the loss rates below were measured; differs from the calendar flow by ~2 weeks of timing (agree within 1.2% over Jan–Sep)</t>
        </is>
      </c>
    </row>
    <row r="31">
      <c r="A31" s="4" t="inlineStr">
        <is>
          <t>LOSS RATES — delinquent principal ÷ originated principal, denominator seasoned to the DPD cut</t>
        </is>
      </c>
      <c r="B31" s="5" t="n"/>
      <c r="C31" s="5" t="n"/>
      <c r="D31" s="5" t="n"/>
      <c r="E31" s="5" t="n"/>
    </row>
    <row r="32">
      <c r="A32" t="inlineStr">
        <is>
          <t>Since Jan 2026, ≥90 DPD, ex-FPD — BASE CASE</t>
        </is>
      </c>
      <c r="B32" s="9" t="n">
        <v>0.01152</v>
      </c>
      <c r="C32" t="inlineStr">
        <is>
          <t>ratio</t>
        </is>
      </c>
      <c r="D32" s="7" t="inlineStr">
        <is>
          <t>source-reports/vintage_loss_seasoned_16_30_60_90_by_origination_month_10272026.csv, Σ d90x ÷ Σ s90x over 2026-01…09</t>
        </is>
      </c>
      <c r="E32" s="7" t="inlineStr">
        <is>
          <t>₱6,668,630 ÷ ₱578,837,337. Steve 2026-10-27: ≥90 DPD is the loss proxy; FPD (first statement missed, never paid) excluded as fraud, managed separately by new controls</t>
        </is>
      </c>
    </row>
    <row r="33">
      <c r="A33" t="inlineStr">
        <is>
          <t>Since Jan 2026, ≥90 DPD, all accounts</t>
        </is>
      </c>
      <c r="B33" s="9" t="n">
        <v>0.016812</v>
      </c>
      <c r="C33" t="inlineStr">
        <is>
          <t>ratio</t>
        </is>
      </c>
      <c r="D33" s="7" t="inlineStr">
        <is>
          <t>same file, Σ d90 ÷ Σ s90</t>
        </is>
      </c>
      <c r="E33" s="7" t="inlineStr">
        <is>
          <t>₱9,787,190 ÷ ₱582,182,780 — what Accial will compute from the tape before any FPD carve-out</t>
        </is>
      </c>
    </row>
    <row r="34">
      <c r="A34" t="inlineStr">
        <is>
          <t xml:space="preserve">  of which first-payment default</t>
        </is>
      </c>
      <c r="B34" s="9">
        <f>L_all90-L_x90</f>
        <v/>
      </c>
      <c r="C34" t="inlineStr">
        <is>
          <t>ratio</t>
        </is>
      </c>
      <c r="D34" s="7" t="inlineStr">
        <is>
          <t>derived</t>
        </is>
      </c>
      <c r="E34" s="7" t="inlineStr">
        <is>
          <t>Borne by Zed outside the facility if FPD receivables are ineligible / repurchased</t>
        </is>
      </c>
    </row>
    <row r="35">
      <c r="A35" t="inlineStr">
        <is>
          <t>Lifetime (Jan 2024–Sep 2026), ≥90 DPD, ex-FPD</t>
        </is>
      </c>
      <c r="B35" s="9" t="n">
        <v>0.013418</v>
      </c>
      <c r="C35" t="inlineStr">
        <is>
          <t>ratio</t>
        </is>
      </c>
      <c r="D35" s="7" t="inlineStr">
        <is>
          <t>same file, lifetime rows</t>
        </is>
      </c>
      <c r="E35" s="7" t="inlineStr">
        <is>
          <t>Includes V1-model 2025 vintages</t>
        </is>
      </c>
    </row>
    <row r="36">
      <c r="A36" t="inlineStr">
        <is>
          <t>Lifetime, ≥90 DPD, all accounts</t>
        </is>
      </c>
      <c r="B36" s="9" t="n">
        <v>0.01922</v>
      </c>
      <c r="C36" t="inlineStr">
        <is>
          <t>ratio</t>
        </is>
      </c>
      <c r="D36" s="7" t="inlineStr">
        <is>
          <t>same file</t>
        </is>
      </c>
      <c r="E36" s="7" t="inlineStr">
        <is>
          <t>Most conservative citable figure</t>
        </is>
      </c>
    </row>
    <row r="37">
      <c r="A37" t="inlineStr">
        <is>
          <t>Since Jan 2026, &gt;15 DPD, ex-FPD (reference)</t>
        </is>
      </c>
      <c r="B37" s="9" t="n">
        <v>0.01111</v>
      </c>
      <c r="C37" t="inlineStr">
        <is>
          <t>ratio</t>
        </is>
      </c>
      <c r="D37" s="7" t="inlineStr">
        <is>
          <t>same file</t>
        </is>
      </c>
      <c r="E37" s="7" t="inlineStr">
        <is>
          <t>16-day seasoned; close to L_x90 because almost nothing cures once &gt;15 DPD</t>
        </is>
      </c>
    </row>
    <row r="38">
      <c r="A38" t="inlineStr">
        <is>
          <t>May 2026 vintage, ≥90 DPD, ex-FPD — most recent fully-emerged vintage (RECENT RUN-RATE)</t>
        </is>
      </c>
      <c r="B38" s="9" t="n">
        <v>0.00906</v>
      </c>
      <c r="C38" t="inlineStr">
        <is>
          <t>ratio</t>
        </is>
      </c>
      <c r="D38" s="7" t="inlineStr">
        <is>
          <t>source-reports/vintage_loss90_emergence_by_mob_10272026.csv, 2026-05 loss90_xfpd_today_pct</t>
        </is>
      </c>
      <c r="E38" s="7" t="inlineStr">
        <is>
          <t>Loss emergence is complete by ~month 4 on book (FIFO: late defaulters have repaid old tranches), so May 2026 (MOB 5) is effectively final. Fully-emerged ex-FPD by vintage: Jan 2.26% / Feb 1.13% / Mar 1.58% / Apr 1.39% / May 0.91%; Jun 0.34% at MOB 3–4 (≈0.5% when complete). Forward view if FPD → 0</t>
        </is>
      </c>
    </row>
    <row r="39">
      <c r="A39" s="4" t="inlineStr">
        <is>
          <t>FACILITY ASSUMPTIONS</t>
        </is>
      </c>
      <c r="B39" s="5" t="n"/>
      <c r="C39" s="5" t="n"/>
      <c r="D39" s="5" t="n"/>
      <c r="E39" s="5" t="n"/>
    </row>
    <row r="40">
      <c r="A40" t="inlineStr">
        <is>
          <t>Coupon (all-in interest on drawn amount)</t>
        </is>
      </c>
      <c r="B40" s="10" t="n">
        <v>0.19</v>
      </c>
      <c r="C40" t="inlineStr">
        <is>
          <t>ratio</t>
        </is>
      </c>
      <c r="D40" s="7" t="inlineStr">
        <is>
          <t>Assumption — Steve ('high teens')</t>
        </is>
      </c>
      <c r="E40" s="7" t="inlineStr">
        <is>
          <t>Scenario grid runs 15/17/19%</t>
        </is>
      </c>
    </row>
    <row r="41">
      <c r="A41" t="inlineStr">
        <is>
          <t>Advance rate (drawn ÷ eligible receivables)</t>
        </is>
      </c>
      <c r="B41" s="10" t="n">
        <v>0.8</v>
      </c>
      <c r="C41" t="inlineStr">
        <is>
          <t>ratio</t>
        </is>
      </c>
      <c r="D41" s="7" t="inlineStr">
        <is>
          <t>Assumption — market 70–85% (structure note §3.3)</t>
        </is>
      </c>
      <c r="E41" s="7" t="inlineStr">
        <is>
          <t>Cost of funds on receivables = coupon × advance; scenario runs 70/75/80%</t>
        </is>
      </c>
    </row>
    <row r="42">
      <c r="A42" t="inlineStr">
        <is>
          <t>Withholding tax on coupon, if grossed up (placeholder)</t>
        </is>
      </c>
      <c r="B42" s="9" t="n">
        <v>0</v>
      </c>
      <c r="C42" t="inlineStr">
        <is>
          <t>ratio</t>
        </is>
      </c>
      <c r="D42" s="7" t="inlineStr">
        <is>
          <t>NOT SIZED — PH 20% FWT / 15% US treaty (verification-notes/PH tax)</t>
        </is>
      </c>
      <c r="E42" s="7" t="inlineStr">
        <is>
          <t>Set to 0 until the structure fixes who bears it; cost if grossed up = coupon × advance × wht ÷ (1 − wht)</t>
        </is>
      </c>
    </row>
    <row r="43">
      <c r="A43" t="inlineStr">
        <is>
          <t>FX hedge cost, % of drawn per year (placeholder)</t>
        </is>
      </c>
      <c r="B43" s="9" t="n">
        <v>0</v>
      </c>
      <c r="C43" t="inlineStr">
        <is>
          <t>ratio</t>
        </is>
      </c>
      <c r="D43" s="7" t="inlineStr">
        <is>
          <t>NOT SIZED</t>
        </is>
      </c>
      <c r="E43" s="7" t="inlineStr">
        <is>
          <t>USD facility vs PHP receivables; PHP/USD forward points — size before pricing</t>
        </is>
      </c>
    </row>
    <row r="44">
      <c r="A44" t="inlineStr">
        <is>
          <t>FX PHP per USD</t>
        </is>
      </c>
      <c r="B44" s="12" t="n">
        <v>55.8</v>
      </c>
      <c r="C44" t="inlineStr">
        <is>
          <t>ratio</t>
        </is>
      </c>
      <c r="D44" s="7" t="inlineStr">
        <is>
          <t>KPI Dashboard Monthly C2</t>
        </is>
      </c>
      <c r="E44" s="7" t="inlineStr">
        <is>
          <t>Display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Yield, loss and excess spread on average receivables — Jul–Sep 2026, annualized (×12 ÷ 3, simple)</t>
        </is>
      </c>
    </row>
    <row r="2"/>
    <row r="3">
      <c r="A3" s="3" t="inlineStr">
        <is>
          <t>Line</t>
        </is>
      </c>
      <c r="B3" s="3" t="inlineStr">
        <is>
          <t>PHP (quarter)</t>
        </is>
      </c>
      <c r="C3" s="3" t="inlineStr">
        <is>
          <t>Annualized % of avg receivables</t>
        </is>
      </c>
      <c r="D3" s="3" t="inlineStr">
        <is>
          <t>Comment</t>
        </is>
      </c>
    </row>
    <row r="4">
      <c r="A4" s="4" t="inlineStr">
        <is>
          <t>Interest and fees — earned on balances</t>
        </is>
      </c>
      <c r="B4" s="5" t="n"/>
      <c r="C4" s="5" t="n"/>
      <c r="D4" s="5" t="n"/>
    </row>
    <row r="5">
      <c r="A5" t="inlineStr">
        <is>
          <t>Revolving interest (accrual basis)</t>
        </is>
      </c>
      <c r="B5" s="13">
        <f>rev_int</f>
        <v/>
      </c>
      <c r="C5" s="14">
        <f>B5*12/months/avg_rec</f>
        <v/>
      </c>
      <c r="D5" s="7" t="inlineStr">
        <is>
          <t>Equals pricing 3.07%/mo (rate_ib) × interest-bearing share of receivables (ib_share, 34%) × 12, on an accrual basis. Billed basis (statements closing in the quarter) is 5,720,564 → 12.6%; accrual adds 0.5 pt because the 14th-close cycles lag the calendar in a growing book. Only billed balances not paid by the due date bear interest (BSP card rules), so the share — not the rate — is what growth depresses</t>
        </is>
      </c>
    </row>
    <row r="6">
      <c r="A6" t="inlineStr">
        <is>
          <t>Installment interest (accrual) + upfront fees</t>
        </is>
      </c>
      <c r="B6" s="13">
        <f>inst_int+upfront</f>
        <v/>
      </c>
      <c r="C6" s="14">
        <f>B6*12/months/avg_rec</f>
        <v/>
      </c>
    </row>
    <row r="7">
      <c r="A7" t="inlineStr">
        <is>
          <t>Late payment fees</t>
        </is>
      </c>
      <c r="B7" s="13">
        <f>late</f>
        <v/>
      </c>
      <c r="C7" s="14">
        <f>B7*12/months/avg_rec</f>
        <v/>
      </c>
    </row>
    <row r="8">
      <c r="A8" s="15" t="inlineStr">
        <is>
          <t>Interest and fees</t>
        </is>
      </c>
      <c r="B8" s="16">
        <f>SUM(B5:B7)</f>
        <v/>
      </c>
      <c r="C8" s="17">
        <f>B8*12/months/avg_rec</f>
        <v/>
      </c>
      <c r="D8" s="7" t="inlineStr">
        <is>
          <t>Collected through statements into the collection account</t>
        </is>
      </c>
    </row>
    <row r="9"/>
    <row r="10">
      <c r="A10" s="4" t="inlineStr">
        <is>
          <t>Interchange — earned on purchases, a function of turnover</t>
        </is>
      </c>
      <c r="B10" s="5" t="n"/>
      <c r="C10" s="5" t="n"/>
      <c r="D10" s="5" t="n"/>
    </row>
    <row r="11">
      <c r="A11" t="inlineStr">
        <is>
          <t>Purchase volume settled</t>
        </is>
      </c>
      <c r="B11" s="13">
        <f>purch</f>
        <v/>
      </c>
    </row>
    <row r="12">
      <c r="A12" t="inlineStr">
        <is>
          <t>Purchase turnover (annualized purchase volume ÷ avg receivables)</t>
        </is>
      </c>
      <c r="C12" s="18">
        <f>B11*12/months/avg_rec</f>
        <v/>
      </c>
      <c r="D12" s="7" t="inlineStr">
        <is>
          <t>Falls as the book revolves</t>
        </is>
      </c>
    </row>
    <row r="13">
      <c r="A13" t="inlineStr">
        <is>
          <t>Interchange rate on purchase volume</t>
        </is>
      </c>
      <c r="C13" s="19">
        <f>B14/B11</f>
        <v/>
      </c>
      <c r="D13" s="7" t="inlineStr">
        <is>
          <t>Accial has heard 1.38–1.45% (Jul–Sep monthly)</t>
        </is>
      </c>
    </row>
    <row r="14">
      <c r="A14" s="15" t="inlineStr">
        <is>
          <t>Interchange income = rate × purchase turnover</t>
        </is>
      </c>
      <c r="B14" s="16">
        <f>interchange</f>
        <v/>
      </c>
      <c r="C14" s="17">
        <f>C13*C12</f>
        <v/>
      </c>
      <c r="D14" s="7" t="inlineStr">
        <is>
          <t>Identical to interchange × 12 ÷ 3 ÷ avg receivables; the construction shows it rides turnover, like losses</t>
        </is>
      </c>
    </row>
    <row r="15"/>
    <row r="16">
      <c r="A16" s="4" t="inlineStr">
        <is>
          <t>Gross yield</t>
        </is>
      </c>
      <c r="B16" s="5" t="n"/>
      <c r="C16" s="5" t="n"/>
      <c r="D16" s="5" t="n"/>
    </row>
    <row r="17">
      <c r="A17" s="15" t="inlineStr">
        <is>
          <t>Gross yield — all revenue (accrual basis)</t>
        </is>
      </c>
      <c r="B17" s="16">
        <f>B8+B14</f>
        <v/>
      </c>
      <c r="C17" s="17">
        <f>C8+C14</f>
        <v/>
      </c>
      <c r="D17" s="7" t="inlineStr">
        <is>
          <t>Billed basis (KPI r40 Jul–Sep 14,747,954) would be 32.4%</t>
        </is>
      </c>
    </row>
    <row r="18"/>
    <row r="19">
      <c r="A19" s="4" t="inlineStr">
        <is>
          <t>Loss on receivables — a function of turnover</t>
        </is>
      </c>
      <c r="B19" s="5" t="n"/>
      <c r="C19" s="5" t="n"/>
      <c r="D19" s="5" t="n"/>
    </row>
    <row r="20">
      <c r="A20" t="inlineStr">
        <is>
          <t>Principal flow (purchase volume + pay-a-friend)</t>
        </is>
      </c>
      <c r="B20" s="13">
        <f>flow</f>
        <v/>
      </c>
    </row>
    <row r="21">
      <c r="A21" t="inlineStr">
        <is>
          <t>Principal turnover (annualized principal flow ÷ avg receivables)</t>
        </is>
      </c>
      <c r="C21" s="18">
        <f>B20*12/months/avg_rec</f>
        <v/>
      </c>
      <c r="D21" s="7" t="inlineStr">
        <is>
          <t>Differs from purchase turnover only by pay-a-friend</t>
        </is>
      </c>
    </row>
    <row r="22">
      <c r="A22" t="inlineStr">
        <is>
          <t>Loss rate — ≥90 DPD ex-FPD, vintages since Jan 2026 (BASE)</t>
        </is>
      </c>
      <c r="C22" s="20">
        <f>L_x90</f>
        <v/>
      </c>
      <c r="D22" s="7" t="inlineStr">
        <is>
          <t>90-day-seasoned denominator; see Inputs</t>
        </is>
      </c>
    </row>
    <row r="23">
      <c r="A23" s="15" t="inlineStr">
        <is>
          <t>Loss on receivables — ex-FPD (rate × turnover)</t>
        </is>
      </c>
      <c r="B23" s="15" t="n"/>
      <c r="C23" s="17">
        <f>C22*C21</f>
        <v/>
      </c>
    </row>
    <row r="24">
      <c r="A24" t="inlineStr">
        <is>
          <t>Loss rate — ≥90 DPD all accounts (what the tape shows before the FPD carve-out)</t>
        </is>
      </c>
      <c r="C24" s="20">
        <f>L_all90</f>
        <v/>
      </c>
    </row>
    <row r="25">
      <c r="A25" t="inlineStr">
        <is>
          <t>Loss on receivables — all accounts</t>
        </is>
      </c>
      <c r="C25" s="14">
        <f>C24*C21</f>
        <v/>
      </c>
    </row>
    <row r="26">
      <c r="A26" t="inlineStr">
        <is>
          <t xml:space="preserve">  FPD cost = difference, borne by Zed if FPD receivables are ineligible</t>
        </is>
      </c>
      <c r="C26" s="14">
        <f>C25-C23</f>
        <v/>
      </c>
    </row>
    <row r="27">
      <c r="A27" t="inlineStr">
        <is>
          <t>Loss on receivables at the recent run-rate (May 2026 vintage ex-FPD 0.91% × turnover)</t>
        </is>
      </c>
      <c r="C27" s="14">
        <f>L_may26x*C21</f>
        <v/>
      </c>
      <c r="D27" s="7" t="inlineStr">
        <is>
          <t>Forward view if FPD → 0 and the post-model-change vintages hold; see Inputs L_may26x</t>
        </is>
      </c>
    </row>
    <row r="28"/>
    <row r="29" ht="32" customHeight="1">
      <c r="A29" s="3" t="inlineStr">
        <is>
          <t>Net yield and excess spread — points of average receivables per year</t>
        </is>
      </c>
      <c r="B29" s="3" t="inlineStr">
        <is>
          <t>Lender's view (pool ex-FPD)</t>
        </is>
      </c>
      <c r="C29" s="3" t="inlineStr">
        <is>
          <t>Zed's view (all losses)</t>
        </is>
      </c>
      <c r="D29" s="3" t="inlineStr">
        <is>
          <t>Comment</t>
        </is>
      </c>
    </row>
    <row r="30">
      <c r="A30" t="inlineStr">
        <is>
          <t>Gross yield</t>
        </is>
      </c>
      <c r="B30" s="14">
        <f>C17</f>
        <v/>
      </c>
      <c r="C30" s="14">
        <f>C17</f>
        <v/>
      </c>
    </row>
    <row r="31">
      <c r="A31" t="inlineStr">
        <is>
          <t>− Loss on receivables</t>
        </is>
      </c>
      <c r="B31" s="14">
        <f>C23</f>
        <v/>
      </c>
      <c r="C31" s="14">
        <f>C25</f>
        <v/>
      </c>
      <c r="D31" s="7" t="inlineStr">
        <is>
          <t>ex-FPD 1.15% | all accounts 1.68%, × 10.0x</t>
        </is>
      </c>
    </row>
    <row r="32">
      <c r="A32" s="15" t="inlineStr">
        <is>
          <t>⇒ Net yield (before servicing/opex/funding)</t>
        </is>
      </c>
      <c r="B32" s="17">
        <f>B30-B31</f>
        <v/>
      </c>
      <c r="C32" s="17">
        <f>C30-C31</f>
        <v/>
      </c>
    </row>
    <row r="33">
      <c r="A33" t="inlineStr">
        <is>
          <t>− Cost of funds on receivables = coupon × advance rate</t>
        </is>
      </c>
      <c r="B33" s="14">
        <f>coupon*advance</f>
        <v/>
      </c>
      <c r="C33" s="14">
        <f>coupon*advance</f>
        <v/>
      </c>
      <c r="D33" s="7" t="inlineStr">
        <is>
          <t>19% × 80% = 15.2 pts of receivables</t>
        </is>
      </c>
    </row>
    <row r="34">
      <c r="A34" t="inlineStr">
        <is>
          <t>− Withholding gross-up (placeholder, 0)</t>
        </is>
      </c>
      <c r="B34" s="14">
        <f>coupon*advance*wht/(1-wht)</f>
        <v/>
      </c>
      <c r="C34" s="14">
        <f>coupon*advance*wht/(1-wht)</f>
        <v/>
      </c>
      <c r="D34" s="7" t="inlineStr">
        <is>
          <t>Only if Zed bears it; set wht on Inputs</t>
        </is>
      </c>
    </row>
    <row r="35">
      <c r="A35" t="inlineStr">
        <is>
          <t>− FX hedge (placeholder, 0)</t>
        </is>
      </c>
      <c r="B35" s="14">
        <f>hedge*advance</f>
        <v/>
      </c>
      <c r="C35" s="14">
        <f>hedge*advance</f>
        <v/>
      </c>
    </row>
    <row r="36">
      <c r="A36" s="15" t="inlineStr">
        <is>
          <t>⇒ Excess spread on receivables</t>
        </is>
      </c>
      <c r="B36" s="17">
        <f>B32-B33-B34-B35</f>
        <v/>
      </c>
      <c r="C36" s="17">
        <f>C32-C33-C34-C35</f>
        <v/>
      </c>
      <c r="D36" s="7" t="inlineStr">
        <is>
          <t>Points of average receivables per year</t>
        </is>
      </c>
    </row>
    <row r="37">
      <c r="A37" t="inlineStr">
        <is>
          <t>Excess spread on the drawn amount (÷ advance rate)</t>
        </is>
      </c>
      <c r="B37" s="14">
        <f>B36/advance</f>
        <v/>
      </c>
      <c r="C37" s="14">
        <f>C36/advance</f>
        <v/>
      </c>
      <c r="D37" s="7" t="inlineStr">
        <is>
          <t>The margin a lender sees per peso lent</t>
        </is>
      </c>
    </row>
    <row r="38">
      <c r="A38" t="inlineStr">
        <is>
          <t>Coverage = net yield ÷ cost of funds</t>
        </is>
      </c>
      <c r="B38" s="21">
        <f>B32/(B33+B34+B35)</f>
        <v/>
      </c>
      <c r="C38" s="21">
        <f>C32/(C33+C34+C35)</f>
        <v/>
      </c>
      <c r="D38" s="7" t="inlineStr">
        <is>
          <t>EM consumer-credit funds typically look for ~1.25–1.5x on a first facility [practice, not documentable]</t>
        </is>
      </c>
    </row>
    <row r="39">
      <c r="A39" t="inlineStr">
        <is>
          <t>Breakeven loss rate on originations (excess spread = 0)</t>
        </is>
      </c>
      <c r="B39" s="19">
        <f>(B30-B33-B34-B35)/C21</f>
        <v/>
      </c>
      <c r="C39" s="19">
        <f>(C30-C33-C34-C35)/C21</f>
        <v/>
      </c>
      <c r="D39" s="7" t="inlineStr">
        <is>
          <t>Loss rate at which net yield just covers the coupon; compare with the row-22/24 inputs</t>
        </is>
      </c>
    </row>
    <row r="40">
      <c r="A40" t="inlineStr">
        <is>
          <t>Headroom: breakeven ÷ current loss rate</t>
        </is>
      </c>
      <c r="B40" s="21">
        <f>B39/C22</f>
        <v/>
      </c>
      <c r="C40" s="21">
        <f>C39/C24</f>
        <v/>
      </c>
      <c r="D40" s="7" t="inlineStr">
        <is>
          <t>How much the loss rate can rise before the facility stops covering itself</t>
        </is>
      </c>
    </row>
    <row r="41">
      <c r="A41" t="inlineStr">
        <is>
          <t>Return on Zed's unfunded slice = excess spread ÷ (1 − advance), before opex</t>
        </is>
      </c>
      <c r="B41" s="14">
        <f>B36/(1-advance)</f>
        <v/>
      </c>
      <c r="C41" s="14">
        <f>C36/(1-advance)</f>
        <v/>
      </c>
      <c r="D41" s="7" t="inlineStr">
        <is>
          <t>Zed's 20% of the book earns the whole excess spread; the Series-B-vs-debt comparison</t>
        </is>
      </c>
    </row>
    <row r="42"/>
    <row r="43" ht="48" customHeight="1">
      <c r="A43" s="22" t="inlineStr">
        <is>
          <t>Read: the lender underwrites the left column (its pool excludes FPD receivables, which Zed repurchases); Zed lives in the right column. Today the FPD cost (row 26) consumes nearly all of Zed's excess spread — the new fraud controls are the margin. Frictions (withholding, hedge) are placeholders at 0 and would come off Zed's column.</t>
        </is>
      </c>
    </row>
  </sheetData>
  <mergeCells count="1">
    <mergeCell ref="A43:D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Scenario analysis — excess spread (lender's view, ex-FPD pool) by revolving share × coupon × loss rate, plus advance rate</t>
        </is>
      </c>
    </row>
    <row r="2" ht="64" customHeight="1">
      <c r="A2" s="23" t="inlineStr">
        <is>
          <t>Model: transacting and installment balances held at Q3 levels; revolving balance scaled to hit the target share of balances; revolving interest = pricing × interest-bearing ratio × 12 on the revolving balance (accrual basis); purchase volume, pay-a-friend, interchange, installment charges and late fees held in pesos (spend- and conversion-driven, not balance-driven); principal flow therefore held, so turnover falls as the book grows and the same loss rate on originations becomes a smaller loss on balances. Cost of funds = coupon × advance rate; withholding and hedge at their Inputs values (0 unless set).</t>
        </is>
      </c>
    </row>
    <row r="3"/>
    <row r="4">
      <c r="A4" s="4" t="inlineStr">
        <is>
          <t>Calibration (from Inputs)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t="inlineStr">
        <is>
          <t>Monthly rate on the interest-bearing balance (3.07%; 36.5% APR)</t>
        </is>
      </c>
      <c r="B5" s="19">
        <f>rate_ib</f>
        <v/>
      </c>
      <c r="C5" s="24" t="inlineStr">
        <is>
          <t>billed interest ÷ Σ purchase_interest_balance on revolver statements, Jul–Sep</t>
        </is>
      </c>
    </row>
    <row r="6">
      <c r="A6" t="inlineStr">
        <is>
          <t>Interest-bearing balance ÷ revolving-bucket balance (scenario)</t>
        </is>
      </c>
      <c r="B6" s="25">
        <f>ratio_scn</f>
        <v/>
      </c>
      <c r="C6" s="24" t="inlineStr">
        <is>
          <t>observed 0.835 in Q3 on the accrual basis (growth/timing); effective yield on the bucket = rate × ratio = 2.56%/month</t>
        </is>
      </c>
    </row>
    <row r="7">
      <c r="A7" t="inlineStr">
        <is>
          <t>Revolving share of balances, Q3 average</t>
        </is>
      </c>
      <c r="B7" s="14">
        <f>bal_rev/bal_tot</f>
        <v/>
      </c>
    </row>
    <row r="8">
      <c r="A8" t="inlineStr">
        <is>
          <t>Non-revolving balance (transacting + installment), scaled to avg receivables</t>
        </is>
      </c>
      <c r="B8" s="13">
        <f>(bal_tra+bal_inst)/bal_tot*avg_rec</f>
        <v/>
      </c>
      <c r="C8" s="24" t="inlineStr">
        <is>
          <t>held constant across scenarios</t>
        </is>
      </c>
    </row>
    <row r="9">
      <c r="A9" t="inlineStr">
        <is>
          <t>Annual principal flow (Q3 × 4)</t>
        </is>
      </c>
      <c r="B9" s="13">
        <f>flow*12/months</f>
        <v/>
      </c>
      <c r="C9" s="24" t="inlineStr">
        <is>
          <t>held constant</t>
        </is>
      </c>
    </row>
    <row r="10">
      <c r="A10" t="inlineStr">
        <is>
          <t>Annual interchange + installment charges + late fees (Q3 × 4)</t>
        </is>
      </c>
      <c r="B10" s="13">
        <f>(interchange+inst_int+upfront+late)*12/months</f>
        <v/>
      </c>
      <c r="C10" s="24" t="inlineStr">
        <is>
          <t>held constant in pesos</t>
        </is>
      </c>
    </row>
    <row r="11">
      <c r="A11" t="inlineStr">
        <is>
          <t>Friction add-on to cost of funds (withholding gross-up + hedge), pts of receivables</t>
        </is>
      </c>
      <c r="B11" s="19">
        <f>coupon*advance*wht/(1-wht)+hedge*advance</f>
        <v/>
      </c>
      <c r="C11" s="24" t="inlineStr">
        <is>
          <t>0 unless set on Inputs</t>
        </is>
      </c>
    </row>
    <row r="12"/>
    <row r="13">
      <c r="A13" s="4" t="inlineStr">
        <is>
          <t>Revolving share of balances = Q3 average</t>
        </is>
      </c>
      <c r="B13" s="26">
        <f>bal_rev/bal_tot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t="inlineStr">
        <is>
          <t>Revolving balance (PHP)</t>
        </is>
      </c>
      <c r="B14" s="13">
        <f>$B$13/(1-$B$13)*s_nonrev</f>
        <v/>
      </c>
    </row>
    <row r="15">
      <c r="A15" t="inlineStr">
        <is>
          <t>Total receivables (PHP)</t>
        </is>
      </c>
      <c r="B15" s="13">
        <f>s_nonrev+B14</f>
        <v/>
      </c>
    </row>
    <row r="16">
      <c r="A16" t="inlineStr">
        <is>
          <t>Gross yield — all revenue</t>
        </is>
      </c>
      <c r="B16" s="14">
        <f>(s_rate*s_ratio*12*B14+s_other)/B15</f>
        <v/>
      </c>
    </row>
    <row r="17">
      <c r="A17" t="inlineStr">
        <is>
          <t xml:space="preserve">  of which interest and fees</t>
        </is>
      </c>
      <c r="B17" s="14">
        <f>(s_rate*s_ratio*12*B14+(inst_int+upfront+late)*12/months)/B15</f>
        <v/>
      </c>
    </row>
    <row r="18">
      <c r="A18" t="inlineStr">
        <is>
          <t>Principal turnover (x per year)</t>
        </is>
      </c>
      <c r="B18" s="18">
        <f>s_flow/B15</f>
        <v/>
      </c>
    </row>
    <row r="19"/>
    <row r="20" ht="32" customHeight="1">
      <c r="A20" s="15" t="inlineStr">
        <is>
          <t>Excess spread, pts of receivables — coupon ↓ / loss rate →</t>
        </is>
      </c>
      <c r="B20" s="27" t="inlineStr">
        <is>
          <t>ex-FPD ≥90 since Jan 2026 (BASE)</t>
        </is>
      </c>
      <c r="C20" s="27" t="inlineStr">
        <is>
          <t>All accounts ≥90 since Jan 2026</t>
        </is>
      </c>
      <c r="D20" s="27" t="inlineStr">
        <is>
          <t>Recent run-rate: May 2026 vintage ex-FPD</t>
        </is>
      </c>
      <c r="E20" s="27" t="inlineStr">
        <is>
          <t>Lifetime ≥90 ex-FPD</t>
        </is>
      </c>
      <c r="F20" s="27" t="inlineStr">
        <is>
          <t>Lifetime ≥90 all accounts</t>
        </is>
      </c>
      <c r="H20" s="15" t="inlineStr">
        <is>
          <t>Net yield before funding →</t>
        </is>
      </c>
      <c r="I20" s="27" t="inlineStr">
        <is>
          <t>ex-FPD ≥90 since Jan 2026 (BASE)</t>
        </is>
      </c>
      <c r="J20" s="27" t="inlineStr">
        <is>
          <t>All accounts ≥90 since Jan 2026</t>
        </is>
      </c>
      <c r="K20" s="27" t="inlineStr">
        <is>
          <t>Recent run-rate: May 2026 vintage ex-FPD</t>
        </is>
      </c>
    </row>
    <row r="21">
      <c r="A21" t="inlineStr">
        <is>
          <t>Coupon 15% (cost on receivables = 15% × advance + frictions)</t>
        </is>
      </c>
      <c r="B21" s="14">
        <f>$B$16-L_x90*$B$18-0.15*advance-s_fric</f>
        <v/>
      </c>
      <c r="C21" s="14">
        <f>$B$16-L_all90*$B$18-0.15*advance-s_fric</f>
        <v/>
      </c>
      <c r="D21" s="14">
        <f>$B$16-L_may26x*$B$18-0.15*advance-s_fric</f>
        <v/>
      </c>
      <c r="E21" s="14">
        <f>$B$16-L_life90x*$B$18-0.15*advance-s_fric</f>
        <v/>
      </c>
      <c r="F21" s="14">
        <f>$B$16-L_life90*$B$18-0.15*advance-s_fric</f>
        <v/>
      </c>
      <c r="I21" s="14">
        <f>$B$16-L_x90*$B$18</f>
        <v/>
      </c>
      <c r="J21" s="14">
        <f>$B$16-L_all90*$B$18</f>
        <v/>
      </c>
      <c r="K21" s="14">
        <f>$B$16-L_may26x*$B$18</f>
        <v/>
      </c>
    </row>
    <row r="22">
      <c r="A22" t="inlineStr">
        <is>
          <t>Coupon 17% (cost on receivables = 17% × advance + frictions)</t>
        </is>
      </c>
      <c r="B22" s="14">
        <f>$B$16-L_x90*$B$18-0.17*advance-s_fric</f>
        <v/>
      </c>
      <c r="C22" s="14">
        <f>$B$16-L_all90*$B$18-0.17*advance-s_fric</f>
        <v/>
      </c>
      <c r="D22" s="14">
        <f>$B$16-L_may26x*$B$18-0.17*advance-s_fric</f>
        <v/>
      </c>
      <c r="E22" s="14">
        <f>$B$16-L_life90x*$B$18-0.17*advance-s_fric</f>
        <v/>
      </c>
      <c r="F22" s="14">
        <f>$B$16-L_life90*$B$18-0.17*advance-s_fric</f>
        <v/>
      </c>
      <c r="I22" s="14">
        <f>$B$16-L_x90*$B$18</f>
        <v/>
      </c>
      <c r="J22" s="14">
        <f>$B$16-L_all90*$B$18</f>
        <v/>
      </c>
      <c r="K22" s="14">
        <f>$B$16-L_may26x*$B$18</f>
        <v/>
      </c>
    </row>
    <row r="23">
      <c r="A23" t="inlineStr">
        <is>
          <t>Coupon 19% (cost on receivables = 19% × advance + frictions)</t>
        </is>
      </c>
      <c r="B23" s="14">
        <f>$B$16-L_x90*$B$18-0.19*advance-s_fric</f>
        <v/>
      </c>
      <c r="C23" s="14">
        <f>$B$16-L_all90*$B$18-0.19*advance-s_fric</f>
        <v/>
      </c>
      <c r="D23" s="14">
        <f>$B$16-L_may26x*$B$18-0.19*advance-s_fric</f>
        <v/>
      </c>
      <c r="E23" s="14">
        <f>$B$16-L_life90x*$B$18-0.19*advance-s_fric</f>
        <v/>
      </c>
      <c r="F23" s="14">
        <f>$B$16-L_life90*$B$18-0.19*advance-s_fric</f>
        <v/>
      </c>
      <c r="I23" s="14">
        <f>$B$16-L_x90*$B$18</f>
        <v/>
      </c>
      <c r="J23" s="14">
        <f>$B$16-L_all90*$B$18</f>
        <v/>
      </c>
      <c r="K23" s="14">
        <f>$B$16-L_may26x*$B$18</f>
        <v/>
      </c>
    </row>
    <row r="24"/>
    <row r="25">
      <c r="A25" s="15" t="inlineStr">
        <is>
          <t>Advance rate sensitivity at 19% coupon, base loss — advance →</t>
        </is>
      </c>
      <c r="B25" s="17" t="n">
        <v>0.7</v>
      </c>
      <c r="C25" s="17" t="n">
        <v>0.75</v>
      </c>
      <c r="D25" s="17" t="n">
        <v>0.8</v>
      </c>
      <c r="E25" s="17" t="n">
        <v>0.85</v>
      </c>
    </row>
    <row r="26">
      <c r="A26" t="inlineStr">
        <is>
          <t xml:space="preserve">  Excess spread, pts of receivables</t>
        </is>
      </c>
      <c r="B26" s="14">
        <f>$B$16-L_x90*$B$18-0.19*B25-s_fric</f>
        <v/>
      </c>
      <c r="C26" s="14">
        <f>$B$16-L_x90*$B$18-0.19*C25-s_fric</f>
        <v/>
      </c>
      <c r="D26" s="14">
        <f>$B$16-L_x90*$B$18-0.19*D25-s_fric</f>
        <v/>
      </c>
      <c r="E26" s="14">
        <f>$B$16-L_x90*$B$18-0.19*E25-s_fric</f>
        <v/>
      </c>
    </row>
    <row r="27">
      <c r="A27" t="inlineStr">
        <is>
          <t xml:space="preserve">  Coverage (net yield ÷ cost)</t>
        </is>
      </c>
      <c r="B27" s="21">
        <f>($B$16-L_x90*$B$18)/(0.19*B25+s_fric)</f>
        <v/>
      </c>
      <c r="C27" s="21">
        <f>($B$16-L_x90*$B$18)/(0.19*C25+s_fric)</f>
        <v/>
      </c>
      <c r="D27" s="21">
        <f>($B$16-L_x90*$B$18)/(0.19*D25+s_fric)</f>
        <v/>
      </c>
      <c r="E27" s="21">
        <f>($B$16-L_x90*$B$18)/(0.19*E25+s_fric)</f>
        <v/>
      </c>
    </row>
    <row r="28">
      <c r="A28" t="inlineStr">
        <is>
          <t xml:space="preserve">  Breakeven loss rate on originations</t>
        </is>
      </c>
      <c r="B28" s="19">
        <f>($B$16-0.19*B25-s_fric)/$B$18</f>
        <v/>
      </c>
      <c r="C28" s="19">
        <f>($B$16-0.19*C25-s_fric)/$B$18</f>
        <v/>
      </c>
      <c r="D28" s="19">
        <f>($B$16-0.19*D25-s_fric)/$B$18</f>
        <v/>
      </c>
      <c r="E28" s="19">
        <f>($B$16-0.19*E25-s_fric)/$B$18</f>
        <v/>
      </c>
    </row>
    <row r="29"/>
    <row r="30">
      <c r="A30" s="4" t="inlineStr">
        <is>
          <t>Revolving share of balances = 50%</t>
        </is>
      </c>
      <c r="B30" s="26" t="n">
        <v>0.5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t="inlineStr">
        <is>
          <t>Revolving balance (PHP)</t>
        </is>
      </c>
      <c r="B31" s="13">
        <f>$B$30/(1-$B$30)*s_nonrev</f>
        <v/>
      </c>
    </row>
    <row r="32">
      <c r="A32" t="inlineStr">
        <is>
          <t>Total receivables (PHP)</t>
        </is>
      </c>
      <c r="B32" s="13">
        <f>s_nonrev+B31</f>
        <v/>
      </c>
    </row>
    <row r="33">
      <c r="A33" t="inlineStr">
        <is>
          <t>Gross yield — all revenue</t>
        </is>
      </c>
      <c r="B33" s="14">
        <f>(s_rate*s_ratio*12*B31+s_other)/B32</f>
        <v/>
      </c>
    </row>
    <row r="34">
      <c r="A34" t="inlineStr">
        <is>
          <t xml:space="preserve">  of which interest and fees</t>
        </is>
      </c>
      <c r="B34" s="14">
        <f>(s_rate*s_ratio*12*B31+(inst_int+upfront+late)*12/months)/B32</f>
        <v/>
      </c>
    </row>
    <row r="35">
      <c r="A35" t="inlineStr">
        <is>
          <t>Principal turnover (x per year)</t>
        </is>
      </c>
      <c r="B35" s="18">
        <f>s_flow/B32</f>
        <v/>
      </c>
    </row>
    <row r="36"/>
    <row r="37" ht="32" customHeight="1">
      <c r="A37" s="15" t="inlineStr">
        <is>
          <t>Excess spread, pts of receivables — coupon ↓ / loss rate →</t>
        </is>
      </c>
      <c r="B37" s="27" t="inlineStr">
        <is>
          <t>ex-FPD ≥90 since Jan 2026 (BASE)</t>
        </is>
      </c>
      <c r="C37" s="27" t="inlineStr">
        <is>
          <t>All accounts ≥90 since Jan 2026</t>
        </is>
      </c>
      <c r="D37" s="27" t="inlineStr">
        <is>
          <t>Recent run-rate: May 2026 vintage ex-FPD</t>
        </is>
      </c>
      <c r="E37" s="27" t="inlineStr">
        <is>
          <t>Lifetime ≥90 ex-FPD</t>
        </is>
      </c>
      <c r="F37" s="27" t="inlineStr">
        <is>
          <t>Lifetime ≥90 all accounts</t>
        </is>
      </c>
      <c r="H37" s="15" t="inlineStr">
        <is>
          <t>Net yield before funding →</t>
        </is>
      </c>
      <c r="I37" s="27" t="inlineStr">
        <is>
          <t>ex-FPD ≥90 since Jan 2026 (BASE)</t>
        </is>
      </c>
      <c r="J37" s="27" t="inlineStr">
        <is>
          <t>All accounts ≥90 since Jan 2026</t>
        </is>
      </c>
      <c r="K37" s="27" t="inlineStr">
        <is>
          <t>Recent run-rate: May 2026 vintage ex-FPD</t>
        </is>
      </c>
    </row>
    <row r="38">
      <c r="A38" t="inlineStr">
        <is>
          <t>Coupon 15% (cost on receivables = 15% × advance + frictions)</t>
        </is>
      </c>
      <c r="B38" s="14">
        <f>$B$33-L_x90*$B$35-0.15*advance-s_fric</f>
        <v/>
      </c>
      <c r="C38" s="14">
        <f>$B$33-L_all90*$B$35-0.15*advance-s_fric</f>
        <v/>
      </c>
      <c r="D38" s="14">
        <f>$B$33-L_may26x*$B$35-0.15*advance-s_fric</f>
        <v/>
      </c>
      <c r="E38" s="14">
        <f>$B$33-L_life90x*$B$35-0.15*advance-s_fric</f>
        <v/>
      </c>
      <c r="F38" s="14">
        <f>$B$33-L_life90*$B$35-0.15*advance-s_fric</f>
        <v/>
      </c>
      <c r="I38" s="14">
        <f>$B$33-L_x90*$B$35</f>
        <v/>
      </c>
      <c r="J38" s="14">
        <f>$B$33-L_all90*$B$35</f>
        <v/>
      </c>
      <c r="K38" s="14">
        <f>$B$33-L_may26x*$B$35</f>
        <v/>
      </c>
    </row>
    <row r="39">
      <c r="A39" t="inlineStr">
        <is>
          <t>Coupon 17% (cost on receivables = 17% × advance + frictions)</t>
        </is>
      </c>
      <c r="B39" s="14">
        <f>$B$33-L_x90*$B$35-0.17*advance-s_fric</f>
        <v/>
      </c>
      <c r="C39" s="14">
        <f>$B$33-L_all90*$B$35-0.17*advance-s_fric</f>
        <v/>
      </c>
      <c r="D39" s="14">
        <f>$B$33-L_may26x*$B$35-0.17*advance-s_fric</f>
        <v/>
      </c>
      <c r="E39" s="14">
        <f>$B$33-L_life90x*$B$35-0.17*advance-s_fric</f>
        <v/>
      </c>
      <c r="F39" s="14">
        <f>$B$33-L_life90*$B$35-0.17*advance-s_fric</f>
        <v/>
      </c>
      <c r="I39" s="14">
        <f>$B$33-L_x90*$B$35</f>
        <v/>
      </c>
      <c r="J39" s="14">
        <f>$B$33-L_all90*$B$35</f>
        <v/>
      </c>
      <c r="K39" s="14">
        <f>$B$33-L_may26x*$B$35</f>
        <v/>
      </c>
    </row>
    <row r="40">
      <c r="A40" t="inlineStr">
        <is>
          <t>Coupon 19% (cost on receivables = 19% × advance + frictions)</t>
        </is>
      </c>
      <c r="B40" s="14">
        <f>$B$33-L_x90*$B$35-0.19*advance-s_fric</f>
        <v/>
      </c>
      <c r="C40" s="14">
        <f>$B$33-L_all90*$B$35-0.19*advance-s_fric</f>
        <v/>
      </c>
      <c r="D40" s="14">
        <f>$B$33-L_may26x*$B$35-0.19*advance-s_fric</f>
        <v/>
      </c>
      <c r="E40" s="14">
        <f>$B$33-L_life90x*$B$35-0.19*advance-s_fric</f>
        <v/>
      </c>
      <c r="F40" s="14">
        <f>$B$33-L_life90*$B$35-0.19*advance-s_fric</f>
        <v/>
      </c>
      <c r="I40" s="14">
        <f>$B$33-L_x90*$B$35</f>
        <v/>
      </c>
      <c r="J40" s="14">
        <f>$B$33-L_all90*$B$35</f>
        <v/>
      </c>
      <c r="K40" s="14">
        <f>$B$33-L_may26x*$B$35</f>
        <v/>
      </c>
    </row>
    <row r="41"/>
    <row r="42">
      <c r="A42" s="15" t="inlineStr">
        <is>
          <t>Advance rate sensitivity at 19% coupon, base loss — advance →</t>
        </is>
      </c>
      <c r="B42" s="17" t="n">
        <v>0.7</v>
      </c>
      <c r="C42" s="17" t="n">
        <v>0.75</v>
      </c>
      <c r="D42" s="17" t="n">
        <v>0.8</v>
      </c>
      <c r="E42" s="17" t="n">
        <v>0.85</v>
      </c>
    </row>
    <row r="43">
      <c r="A43" t="inlineStr">
        <is>
          <t xml:space="preserve">  Excess spread, pts of receivables</t>
        </is>
      </c>
      <c r="B43" s="14">
        <f>$B$33-L_x90*$B$35-0.19*B42-s_fric</f>
        <v/>
      </c>
      <c r="C43" s="14">
        <f>$B$33-L_x90*$B$35-0.19*C42-s_fric</f>
        <v/>
      </c>
      <c r="D43" s="14">
        <f>$B$33-L_x90*$B$35-0.19*D42-s_fric</f>
        <v/>
      </c>
      <c r="E43" s="14">
        <f>$B$33-L_x90*$B$35-0.19*E42-s_fric</f>
        <v/>
      </c>
    </row>
    <row r="44">
      <c r="A44" t="inlineStr">
        <is>
          <t xml:space="preserve">  Coverage (net yield ÷ cost)</t>
        </is>
      </c>
      <c r="B44" s="21">
        <f>($B$33-L_x90*$B$35)/(0.19*B42+s_fric)</f>
        <v/>
      </c>
      <c r="C44" s="21">
        <f>($B$33-L_x90*$B$35)/(0.19*C42+s_fric)</f>
        <v/>
      </c>
      <c r="D44" s="21">
        <f>($B$33-L_x90*$B$35)/(0.19*D42+s_fric)</f>
        <v/>
      </c>
      <c r="E44" s="21">
        <f>($B$33-L_x90*$B$35)/(0.19*E42+s_fric)</f>
        <v/>
      </c>
    </row>
    <row r="45">
      <c r="A45" t="inlineStr">
        <is>
          <t xml:space="preserve">  Breakeven loss rate on originations</t>
        </is>
      </c>
      <c r="B45" s="19">
        <f>($B$33-0.19*B42-s_fric)/$B$35</f>
        <v/>
      </c>
      <c r="C45" s="19">
        <f>($B$33-0.19*C42-s_fric)/$B$35</f>
        <v/>
      </c>
      <c r="D45" s="19">
        <f>($B$33-0.19*D42-s_fric)/$B$35</f>
        <v/>
      </c>
      <c r="E45" s="19">
        <f>($B$33-0.19*E42-s_fric)/$B$35</f>
        <v/>
      </c>
    </row>
    <row r="46"/>
    <row r="47">
      <c r="A47" s="4" t="inlineStr">
        <is>
          <t>Revolving share of balances = 55%</t>
        </is>
      </c>
      <c r="B47" s="26" t="n">
        <v>0.55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t="inlineStr">
        <is>
          <t>Revolving balance (PHP)</t>
        </is>
      </c>
      <c r="B48" s="13">
        <f>$B$47/(1-$B$47)*s_nonrev</f>
        <v/>
      </c>
    </row>
    <row r="49">
      <c r="A49" t="inlineStr">
        <is>
          <t>Total receivables (PHP)</t>
        </is>
      </c>
      <c r="B49" s="13">
        <f>s_nonrev+B48</f>
        <v/>
      </c>
    </row>
    <row r="50">
      <c r="A50" t="inlineStr">
        <is>
          <t>Gross yield — all revenue</t>
        </is>
      </c>
      <c r="B50" s="14">
        <f>(s_rate*s_ratio*12*B48+s_other)/B49</f>
        <v/>
      </c>
    </row>
    <row r="51">
      <c r="A51" t="inlineStr">
        <is>
          <t xml:space="preserve">  of which interest and fees</t>
        </is>
      </c>
      <c r="B51" s="14">
        <f>(s_rate*s_ratio*12*B48+(inst_int+upfront+late)*12/months)/B49</f>
        <v/>
      </c>
    </row>
    <row r="52">
      <c r="A52" t="inlineStr">
        <is>
          <t>Principal turnover (x per year)</t>
        </is>
      </c>
      <c r="B52" s="18">
        <f>s_flow/B49</f>
        <v/>
      </c>
    </row>
    <row r="53"/>
    <row r="54" ht="32" customHeight="1">
      <c r="A54" s="15" t="inlineStr">
        <is>
          <t>Excess spread, pts of receivables — coupon ↓ / loss rate →</t>
        </is>
      </c>
      <c r="B54" s="27" t="inlineStr">
        <is>
          <t>ex-FPD ≥90 since Jan 2026 (BASE)</t>
        </is>
      </c>
      <c r="C54" s="27" t="inlineStr">
        <is>
          <t>All accounts ≥90 since Jan 2026</t>
        </is>
      </c>
      <c r="D54" s="27" t="inlineStr">
        <is>
          <t>Recent run-rate: May 2026 vintage ex-FPD</t>
        </is>
      </c>
      <c r="E54" s="27" t="inlineStr">
        <is>
          <t>Lifetime ≥90 ex-FPD</t>
        </is>
      </c>
      <c r="F54" s="27" t="inlineStr">
        <is>
          <t>Lifetime ≥90 all accounts</t>
        </is>
      </c>
      <c r="H54" s="15" t="inlineStr">
        <is>
          <t>Net yield before funding →</t>
        </is>
      </c>
      <c r="I54" s="27" t="inlineStr">
        <is>
          <t>ex-FPD ≥90 since Jan 2026 (BASE)</t>
        </is>
      </c>
      <c r="J54" s="27" t="inlineStr">
        <is>
          <t>All accounts ≥90 since Jan 2026</t>
        </is>
      </c>
      <c r="K54" s="27" t="inlineStr">
        <is>
          <t>Recent run-rate: May 2026 vintage ex-FPD</t>
        </is>
      </c>
    </row>
    <row r="55">
      <c r="A55" t="inlineStr">
        <is>
          <t>Coupon 15% (cost on receivables = 15% × advance + frictions)</t>
        </is>
      </c>
      <c r="B55" s="14">
        <f>$B$50-L_x90*$B$52-0.15*advance-s_fric</f>
        <v/>
      </c>
      <c r="C55" s="14">
        <f>$B$50-L_all90*$B$52-0.15*advance-s_fric</f>
        <v/>
      </c>
      <c r="D55" s="14">
        <f>$B$50-L_may26x*$B$52-0.15*advance-s_fric</f>
        <v/>
      </c>
      <c r="E55" s="14">
        <f>$B$50-L_life90x*$B$52-0.15*advance-s_fric</f>
        <v/>
      </c>
      <c r="F55" s="14">
        <f>$B$50-L_life90*$B$52-0.15*advance-s_fric</f>
        <v/>
      </c>
      <c r="I55" s="14">
        <f>$B$50-L_x90*$B$52</f>
        <v/>
      </c>
      <c r="J55" s="14">
        <f>$B$50-L_all90*$B$52</f>
        <v/>
      </c>
      <c r="K55" s="14">
        <f>$B$50-L_may26x*$B$52</f>
        <v/>
      </c>
    </row>
    <row r="56">
      <c r="A56" t="inlineStr">
        <is>
          <t>Coupon 17% (cost on receivables = 17% × advance + frictions)</t>
        </is>
      </c>
      <c r="B56" s="14">
        <f>$B$50-L_x90*$B$52-0.17*advance-s_fric</f>
        <v/>
      </c>
      <c r="C56" s="14">
        <f>$B$50-L_all90*$B$52-0.17*advance-s_fric</f>
        <v/>
      </c>
      <c r="D56" s="14">
        <f>$B$50-L_may26x*$B$52-0.17*advance-s_fric</f>
        <v/>
      </c>
      <c r="E56" s="14">
        <f>$B$50-L_life90x*$B$52-0.17*advance-s_fric</f>
        <v/>
      </c>
      <c r="F56" s="14">
        <f>$B$50-L_life90*$B$52-0.17*advance-s_fric</f>
        <v/>
      </c>
      <c r="I56" s="14">
        <f>$B$50-L_x90*$B$52</f>
        <v/>
      </c>
      <c r="J56" s="14">
        <f>$B$50-L_all90*$B$52</f>
        <v/>
      </c>
      <c r="K56" s="14">
        <f>$B$50-L_may26x*$B$52</f>
        <v/>
      </c>
    </row>
    <row r="57">
      <c r="A57" t="inlineStr">
        <is>
          <t>Coupon 19% (cost on receivables = 19% × advance + frictions)</t>
        </is>
      </c>
      <c r="B57" s="14">
        <f>$B$50-L_x90*$B$52-0.19*advance-s_fric</f>
        <v/>
      </c>
      <c r="C57" s="14">
        <f>$B$50-L_all90*$B$52-0.19*advance-s_fric</f>
        <v/>
      </c>
      <c r="D57" s="14">
        <f>$B$50-L_may26x*$B$52-0.19*advance-s_fric</f>
        <v/>
      </c>
      <c r="E57" s="14">
        <f>$B$50-L_life90x*$B$52-0.19*advance-s_fric</f>
        <v/>
      </c>
      <c r="F57" s="14">
        <f>$B$50-L_life90*$B$52-0.19*advance-s_fric</f>
        <v/>
      </c>
      <c r="I57" s="14">
        <f>$B$50-L_x90*$B$52</f>
        <v/>
      </c>
      <c r="J57" s="14">
        <f>$B$50-L_all90*$B$52</f>
        <v/>
      </c>
      <c r="K57" s="14">
        <f>$B$50-L_may26x*$B$52</f>
        <v/>
      </c>
    </row>
    <row r="58"/>
    <row r="59">
      <c r="A59" s="15" t="inlineStr">
        <is>
          <t>Advance rate sensitivity at 19% coupon, base loss — advance →</t>
        </is>
      </c>
      <c r="B59" s="17" t="n">
        <v>0.7</v>
      </c>
      <c r="C59" s="17" t="n">
        <v>0.75</v>
      </c>
      <c r="D59" s="17" t="n">
        <v>0.8</v>
      </c>
      <c r="E59" s="17" t="n">
        <v>0.85</v>
      </c>
    </row>
    <row r="60">
      <c r="A60" t="inlineStr">
        <is>
          <t xml:space="preserve">  Excess spread, pts of receivables</t>
        </is>
      </c>
      <c r="B60" s="14">
        <f>$B$50-L_x90*$B$52-0.19*B59-s_fric</f>
        <v/>
      </c>
      <c r="C60" s="14">
        <f>$B$50-L_x90*$B$52-0.19*C59-s_fric</f>
        <v/>
      </c>
      <c r="D60" s="14">
        <f>$B$50-L_x90*$B$52-0.19*D59-s_fric</f>
        <v/>
      </c>
      <c r="E60" s="14">
        <f>$B$50-L_x90*$B$52-0.19*E59-s_fric</f>
        <v/>
      </c>
    </row>
    <row r="61">
      <c r="A61" t="inlineStr">
        <is>
          <t xml:space="preserve">  Coverage (net yield ÷ cost)</t>
        </is>
      </c>
      <c r="B61" s="21">
        <f>($B$50-L_x90*$B$52)/(0.19*B59+s_fric)</f>
        <v/>
      </c>
      <c r="C61" s="21">
        <f>($B$50-L_x90*$B$52)/(0.19*C59+s_fric)</f>
        <v/>
      </c>
      <c r="D61" s="21">
        <f>($B$50-L_x90*$B$52)/(0.19*D59+s_fric)</f>
        <v/>
      </c>
      <c r="E61" s="21">
        <f>($B$50-L_x90*$B$52)/(0.19*E59+s_fric)</f>
        <v/>
      </c>
    </row>
    <row r="62">
      <c r="A62" t="inlineStr">
        <is>
          <t xml:space="preserve">  Breakeven loss rate on originations</t>
        </is>
      </c>
      <c r="B62" s="19">
        <f>($B$50-0.19*B59-s_fric)/$B$52</f>
        <v/>
      </c>
      <c r="C62" s="19">
        <f>($B$50-0.19*C59-s_fric)/$B$52</f>
        <v/>
      </c>
      <c r="D62" s="19">
        <f>($B$50-0.19*D59-s_fric)/$B$52</f>
        <v/>
      </c>
      <c r="E62" s="19">
        <f>($B$50-0.19*E59-s_fric)/$B$52</f>
        <v/>
      </c>
    </row>
    <row r="63"/>
    <row r="64">
      <c r="A64" s="4" t="inlineStr">
        <is>
          <t>Revolving share of balances = 60%</t>
        </is>
      </c>
      <c r="B64" s="26" t="n">
        <v>0.6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t="inlineStr">
        <is>
          <t>Revolving balance (PHP)</t>
        </is>
      </c>
      <c r="B65" s="13">
        <f>$B$64/(1-$B$64)*s_nonrev</f>
        <v/>
      </c>
    </row>
    <row r="66">
      <c r="A66" t="inlineStr">
        <is>
          <t>Total receivables (PHP)</t>
        </is>
      </c>
      <c r="B66" s="13">
        <f>s_nonrev+B65</f>
        <v/>
      </c>
    </row>
    <row r="67">
      <c r="A67" t="inlineStr">
        <is>
          <t>Gross yield — all revenue</t>
        </is>
      </c>
      <c r="B67" s="14">
        <f>(s_rate*s_ratio*12*B65+s_other)/B66</f>
        <v/>
      </c>
    </row>
    <row r="68">
      <c r="A68" t="inlineStr">
        <is>
          <t xml:space="preserve">  of which interest and fees</t>
        </is>
      </c>
      <c r="B68" s="14">
        <f>(s_rate*s_ratio*12*B65+(inst_int+upfront+late)*12/months)/B66</f>
        <v/>
      </c>
    </row>
    <row r="69">
      <c r="A69" t="inlineStr">
        <is>
          <t>Principal turnover (x per year)</t>
        </is>
      </c>
      <c r="B69" s="18">
        <f>s_flow/B66</f>
        <v/>
      </c>
    </row>
    <row r="70"/>
    <row r="71" ht="32" customHeight="1">
      <c r="A71" s="15" t="inlineStr">
        <is>
          <t>Excess spread, pts of receivables — coupon ↓ / loss rate →</t>
        </is>
      </c>
      <c r="B71" s="27" t="inlineStr">
        <is>
          <t>ex-FPD ≥90 since Jan 2026 (BASE)</t>
        </is>
      </c>
      <c r="C71" s="27" t="inlineStr">
        <is>
          <t>All accounts ≥90 since Jan 2026</t>
        </is>
      </c>
      <c r="D71" s="27" t="inlineStr">
        <is>
          <t>Recent run-rate: May 2026 vintage ex-FPD</t>
        </is>
      </c>
      <c r="E71" s="27" t="inlineStr">
        <is>
          <t>Lifetime ≥90 ex-FPD</t>
        </is>
      </c>
      <c r="F71" s="27" t="inlineStr">
        <is>
          <t>Lifetime ≥90 all accounts</t>
        </is>
      </c>
      <c r="H71" s="15" t="inlineStr">
        <is>
          <t>Net yield before funding →</t>
        </is>
      </c>
      <c r="I71" s="27" t="inlineStr">
        <is>
          <t>ex-FPD ≥90 since Jan 2026 (BASE)</t>
        </is>
      </c>
      <c r="J71" s="27" t="inlineStr">
        <is>
          <t>All accounts ≥90 since Jan 2026</t>
        </is>
      </c>
      <c r="K71" s="27" t="inlineStr">
        <is>
          <t>Recent run-rate: May 2026 vintage ex-FPD</t>
        </is>
      </c>
    </row>
    <row r="72">
      <c r="A72" t="inlineStr">
        <is>
          <t>Coupon 15% (cost on receivables = 15% × advance + frictions)</t>
        </is>
      </c>
      <c r="B72" s="14">
        <f>$B$67-L_x90*$B$69-0.15*advance-s_fric</f>
        <v/>
      </c>
      <c r="C72" s="14">
        <f>$B$67-L_all90*$B$69-0.15*advance-s_fric</f>
        <v/>
      </c>
      <c r="D72" s="14">
        <f>$B$67-L_may26x*$B$69-0.15*advance-s_fric</f>
        <v/>
      </c>
      <c r="E72" s="14">
        <f>$B$67-L_life90x*$B$69-0.15*advance-s_fric</f>
        <v/>
      </c>
      <c r="F72" s="14">
        <f>$B$67-L_life90*$B$69-0.15*advance-s_fric</f>
        <v/>
      </c>
      <c r="I72" s="14">
        <f>$B$67-L_x90*$B$69</f>
        <v/>
      </c>
      <c r="J72" s="14">
        <f>$B$67-L_all90*$B$69</f>
        <v/>
      </c>
      <c r="K72" s="14">
        <f>$B$67-L_may26x*$B$69</f>
        <v/>
      </c>
    </row>
    <row r="73">
      <c r="A73" t="inlineStr">
        <is>
          <t>Coupon 17% (cost on receivables = 17% × advance + frictions)</t>
        </is>
      </c>
      <c r="B73" s="14">
        <f>$B$67-L_x90*$B$69-0.17*advance-s_fric</f>
        <v/>
      </c>
      <c r="C73" s="14">
        <f>$B$67-L_all90*$B$69-0.17*advance-s_fric</f>
        <v/>
      </c>
      <c r="D73" s="14">
        <f>$B$67-L_may26x*$B$69-0.17*advance-s_fric</f>
        <v/>
      </c>
      <c r="E73" s="14">
        <f>$B$67-L_life90x*$B$69-0.17*advance-s_fric</f>
        <v/>
      </c>
      <c r="F73" s="14">
        <f>$B$67-L_life90*$B$69-0.17*advance-s_fric</f>
        <v/>
      </c>
      <c r="I73" s="14">
        <f>$B$67-L_x90*$B$69</f>
        <v/>
      </c>
      <c r="J73" s="14">
        <f>$B$67-L_all90*$B$69</f>
        <v/>
      </c>
      <c r="K73" s="14">
        <f>$B$67-L_may26x*$B$69</f>
        <v/>
      </c>
    </row>
    <row r="74">
      <c r="A74" t="inlineStr">
        <is>
          <t>Coupon 19% (cost on receivables = 19% × advance + frictions)</t>
        </is>
      </c>
      <c r="B74" s="14">
        <f>$B$67-L_x90*$B$69-0.19*advance-s_fric</f>
        <v/>
      </c>
      <c r="C74" s="14">
        <f>$B$67-L_all90*$B$69-0.19*advance-s_fric</f>
        <v/>
      </c>
      <c r="D74" s="14">
        <f>$B$67-L_may26x*$B$69-0.19*advance-s_fric</f>
        <v/>
      </c>
      <c r="E74" s="14">
        <f>$B$67-L_life90x*$B$69-0.19*advance-s_fric</f>
        <v/>
      </c>
      <c r="F74" s="14">
        <f>$B$67-L_life90*$B$69-0.19*advance-s_fric</f>
        <v/>
      </c>
      <c r="I74" s="14">
        <f>$B$67-L_x90*$B$69</f>
        <v/>
      </c>
      <c r="J74" s="14">
        <f>$B$67-L_all90*$B$69</f>
        <v/>
      </c>
      <c r="K74" s="14">
        <f>$B$67-L_may26x*$B$69</f>
        <v/>
      </c>
    </row>
    <row r="75"/>
    <row r="76">
      <c r="A76" s="15" t="inlineStr">
        <is>
          <t>Advance rate sensitivity at 19% coupon, base loss — advance →</t>
        </is>
      </c>
      <c r="B76" s="17" t="n">
        <v>0.7</v>
      </c>
      <c r="C76" s="17" t="n">
        <v>0.75</v>
      </c>
      <c r="D76" s="17" t="n">
        <v>0.8</v>
      </c>
      <c r="E76" s="17" t="n">
        <v>0.85</v>
      </c>
    </row>
    <row r="77">
      <c r="A77" t="inlineStr">
        <is>
          <t xml:space="preserve">  Excess spread, pts of receivables</t>
        </is>
      </c>
      <c r="B77" s="14">
        <f>$B$67-L_x90*$B$69-0.19*B76-s_fric</f>
        <v/>
      </c>
      <c r="C77" s="14">
        <f>$B$67-L_x90*$B$69-0.19*C76-s_fric</f>
        <v/>
      </c>
      <c r="D77" s="14">
        <f>$B$67-L_x90*$B$69-0.19*D76-s_fric</f>
        <v/>
      </c>
      <c r="E77" s="14">
        <f>$B$67-L_x90*$B$69-0.19*E76-s_fric</f>
        <v/>
      </c>
    </row>
    <row r="78">
      <c r="A78" t="inlineStr">
        <is>
          <t xml:space="preserve">  Coverage (net yield ÷ cost)</t>
        </is>
      </c>
      <c r="B78" s="21">
        <f>($B$67-L_x90*$B$69)/(0.19*B76+s_fric)</f>
        <v/>
      </c>
      <c r="C78" s="21">
        <f>($B$67-L_x90*$B$69)/(0.19*C76+s_fric)</f>
        <v/>
      </c>
      <c r="D78" s="21">
        <f>($B$67-L_x90*$B$69)/(0.19*D76+s_fric)</f>
        <v/>
      </c>
      <c r="E78" s="21">
        <f>($B$67-L_x90*$B$69)/(0.19*E76+s_fric)</f>
        <v/>
      </c>
    </row>
    <row r="79">
      <c r="A79" t="inlineStr">
        <is>
          <t xml:space="preserve">  Breakeven loss rate on originations</t>
        </is>
      </c>
      <c r="B79" s="19">
        <f>($B$67-0.19*B76-s_fric)/$B$69</f>
        <v/>
      </c>
      <c r="C79" s="19">
        <f>($B$67-0.19*C76-s_fric)/$B$69</f>
        <v/>
      </c>
      <c r="D79" s="19">
        <f>($B$67-0.19*D76-s_fric)/$B$69</f>
        <v/>
      </c>
      <c r="E79" s="19">
        <f>($B$67-0.19*E76-s_fric)/$B$69</f>
        <v/>
      </c>
    </row>
    <row r="80"/>
    <row r="81">
      <c r="A81" s="4" t="inlineStr">
        <is>
          <t>Sensitivity — interest-bearing ÷ bucket ratio (growth/timing) at Q3 share, 19% coupon, 80% advance, base loss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15" t="inlineStr">
        <is>
          <t>Ratio →</t>
        </is>
      </c>
      <c r="B82" s="28" t="n">
        <v>0.8</v>
      </c>
      <c r="C82" s="28" t="n">
        <v>0.85</v>
      </c>
      <c r="D82" s="28" t="n">
        <v>0.9</v>
      </c>
      <c r="E82" s="28" t="n">
        <v>0.95</v>
      </c>
    </row>
    <row r="83">
      <c r="A83" t="inlineStr">
        <is>
          <t xml:space="preserve">  Gross yield — all revenue</t>
        </is>
      </c>
      <c r="B83" s="14">
        <f>(s_rate*B82*12*$B$14+s_other)/$B$15</f>
        <v/>
      </c>
      <c r="C83" s="14">
        <f>(s_rate*C82*12*$B$14+s_other)/$B$15</f>
        <v/>
      </c>
      <c r="D83" s="14">
        <f>(s_rate*D82*12*$B$14+s_other)/$B$15</f>
        <v/>
      </c>
      <c r="E83" s="14">
        <f>(s_rate*E82*12*$B$14+s_other)/$B$15</f>
        <v/>
      </c>
    </row>
    <row r="84">
      <c r="A84" t="inlineStr">
        <is>
          <t xml:space="preserve">  Excess spread, pts of receivables</t>
        </is>
      </c>
      <c r="B84" s="14">
        <f>B83-L_x90*$B$18-0.19*advance-s_fric</f>
        <v/>
      </c>
      <c r="C84" s="14">
        <f>C83-L_x90*$B$18-0.19*advance-s_fric</f>
        <v/>
      </c>
      <c r="D84" s="14">
        <f>D83-L_x90*$B$18-0.19*advance-s_fric</f>
        <v/>
      </c>
      <c r="E84" s="14">
        <f>E83-L_x90*$B$18-0.19*advance-s_fric</f>
        <v/>
      </c>
    </row>
    <row r="85">
      <c r="A85" s="24" t="inlineStr">
        <is>
          <t>0.80 is Q3 as observed (book growing ~15%/month). As growth slows the end-of-cycle balance converges on the average revolved balance and the ratio rises; each +0.05 is worth ~0.8 pt of yield at today's revolving share. Pricing is 3.05%/month throughout.</t>
        </is>
      </c>
    </row>
    <row r="86"/>
    <row r="87" ht="64" customHeight="1">
      <c r="A87" s="22" t="inlineStr">
        <is>
          <t>Calibration: the Q3-share block rebuilds revolving interest as rate × ratio × scaled revolving balance, so its gross yield (32.1%) sits 0.25 pts under the Q3 sheet (32.4%) and its base-case excess spread reads 5.4 vs 5.6 pts; the gap is the same in every block and does not affect the comparisons. Read across: base case = Q3 share (41.8%), ex-FPD ≥90 loss, 19% coupon, 80% advance → the first cell of the first grid. The second loss column is the tape-level number Accial will compute before any FPD carve-out — at 19% it is close to zero excess spread, which is why FPD ineligibility has to be structural. Moving to 50–60% revolving raises interest yield faster than it dilutes interchange and lowers turnover (so loss on receivables falls): read down the first column of each block. Each 2 pts of coupon ≈ 1.6 pts of excess spread at 80% advance; each 5 pts of advance rate ≈ 1 pt.</t>
        </is>
      </c>
    </row>
  </sheetData>
  <mergeCells count="2">
    <mergeCell ref="A2:K2"/>
    <mergeCell ref="A87:K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0" customWidth="1" min="2" max="2"/>
  </cols>
  <sheetData>
    <row r="1">
      <c r="A1" s="1" t="inlineStr">
        <is>
          <t>Sources and how to regenerate</t>
        </is>
      </c>
    </row>
    <row r="2"/>
    <row r="3" ht="30" customHeight="1">
      <c r="A3" s="15" t="inlineStr">
        <is>
          <t>KPI Dashboard_v2026 (12).xlsx, Monthly tab</t>
        </is>
      </c>
      <c r="B3" s="7" t="inlineStr">
        <is>
          <t>Snapshot 2026-10-26 at debt_dd/inbox/processed/. Rows cited by number on Inputs. Revenue from the i2c Transaction History Settlement Extract and Network Settlement Summary.</t>
        </is>
      </c>
    </row>
    <row r="4" ht="48" customHeight="1">
      <c r="A4" s="15" t="inlineStr">
        <is>
          <t>revolver_transactor_balances_2026-01_to_2026-09_10262026.csv</t>
        </is>
      </c>
      <c r="B4" s="7" t="inlineStr">
        <is>
          <t>debt_dd/Analyses (internal)/source-reports/. Regenerate: bash ~/.claude/skills/revolver-transactor-report/scripts/run_report.sh --from 2026-01 --to 2026-09. Statement-based buckets; used for revolving share and the revolving rate.</t>
        </is>
      </c>
    </row>
    <row r="5" ht="48" customHeight="1">
      <c r="A5" s="15" t="inlineStr">
        <is>
          <t>vintage_loss_seasoned_16_30_60_90_by_origination_month_10272026.csv (+ .sql)</t>
        </is>
      </c>
      <c r="B5" s="7" t="inlineStr">
        <is>
          <t>source-reports/. Ad hoc 2026-10-27: the vintage-loss view with the FIFO waterfall inlined and the seasoned denominator computed at 16/30/60/90 days, all accounts and ex-FPD. Base-case loss rate = Σ d90x ÷ Σ s90x over 2026-01…09.</t>
        </is>
      </c>
    </row>
    <row r="6" ht="30" customHeight="1">
      <c r="A6" s="15" t="inlineStr">
        <is>
          <t>vintage_loss_by_origination_month_10262026.csv</t>
        </is>
      </c>
      <c r="B6" s="7" t="inlineStr">
        <is>
          <t>source-reports/. Statement-month originated principal (reference line on Inputs).</t>
        </is>
      </c>
    </row>
    <row r="7" ht="30" customHeight="1">
      <c r="A7" s="15" t="inlineStr">
        <is>
          <t>pay_a_friend_transfers_by_month_2026-01_to_2026-09_10272026.csv</t>
        </is>
      </c>
      <c r="B7" s="7" t="inlineStr">
        <is>
          <t>source-reports/. i2c push messages, C2C Transfer-Others, positive legs, response 00, Manila day.</t>
        </is>
      </c>
    </row>
    <row r="8" ht="48" customHeight="1">
      <c r="A8" s="15" t="inlineStr">
        <is>
          <t>Fund-facing counterpart</t>
        </is>
      </c>
      <c r="B8" s="7" t="inlineStr">
        <is>
          <t>Prior Responses (outside data room)/Zed Portfolio Yield Analysis_20261027_v2_DRAFT.xlsx — same inputs (accrual basis), ex-FPD only, no cost of funds. This workbook is internal and adds the lender/Zed split, cost of funds, coverage, breakeven and scenarios.</t>
        </is>
      </c>
    </row>
    <row r="9" ht="30" customHeight="1">
      <c r="A9" s="15" t="inlineStr">
        <is>
          <t>Annualization</t>
        </is>
      </c>
      <c r="B9" s="7" t="inlineStr">
        <is>
          <t>Quarter amount × 12 ÷ 3 ÷ Q3 average receivables (mean of r67 Jul/Aug/Sep). Simple, not compounded.</t>
        </is>
      </c>
    </row>
    <row r="10" ht="48" customHeight="1">
      <c r="A10" s="15" t="inlineStr">
        <is>
          <t>Interchange and loss as turnover functions</t>
        </is>
      </c>
      <c r="B10" s="7" t="inlineStr">
        <is>
          <t>Interchange = rate on purchase volume × purchase turnover; loss = loss rate on originations × principal turnover (purchase volume + pay-a-friend). Both are calendar-month flows over the calendar-average balance.</t>
        </is>
      </c>
    </row>
    <row r="11" ht="30" customHeight="1">
      <c r="A11" s="15" t="inlineStr">
        <is>
          <t>Excluded / placeholders</t>
        </is>
      </c>
      <c r="B11" s="7" t="inlineStr">
        <is>
          <t>Servicing, opex, i2c processing, Mastercard assessments excluded. Withholding gross-up and FX hedge are Inputs placeholders at 0 — size before quoting an all-in number.</t>
        </is>
      </c>
    </row>
    <row r="12" ht="30" customHeight="1">
      <c r="A12" s="15" t="inlineStr">
        <is>
          <t>Prepared</t>
        </is>
      </c>
      <c r="B12" s="7" t="inlineStr">
        <is>
          <t>2026-10-27 v2, debt_dd workspace; internal — not fund-facing. Supersedes Facility Yield Analysis_20261027.xlsx (billed-basis interest) and _20261026.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2026-10-28T06:48:09Z</dcterms:created>
  <dcterms:modified xmlns:dcterms="http://purl.org/dc/terms/" xmlns:xsi="http://www.w3.org/2001/XMLSchema-instance" xsi:type="dcterms:W3CDTF">2026-10-28T06:48:09Z</dcterms:modified>
</cp:coreProperties>
</file>