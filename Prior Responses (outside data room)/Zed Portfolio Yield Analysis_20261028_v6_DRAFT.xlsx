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0" fontId="4" fillId="0" borderId="0" pivotButton="0" quotePrefix="0" xfId="0"/>
    <xf numFmtId="3" fontId="4"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by book month, annualized: the June, July and August 2026 books — whose interest was earned in July–September — and the three together. PHP; before operating, servicing and funding costs.</t>
        </is>
      </c>
    </row>
    <row r="3"/>
    <row r="4">
      <c r="A4" s="3" t="inlineStr"/>
      <c r="B4" s="3" t="inlineStr">
        <is>
          <t>Jun 2026 book</t>
        </is>
      </c>
      <c r="C4" s="3" t="inlineStr">
        <is>
          <t>Annualized</t>
        </is>
      </c>
      <c r="D4" s="3" t="inlineStr">
        <is>
          <t>Jul 2026 book</t>
        </is>
      </c>
      <c r="E4" s="3" t="inlineStr">
        <is>
          <t>Annualized</t>
        </is>
      </c>
      <c r="F4" s="3" t="inlineStr">
        <is>
          <t>Aug 2026 book</t>
        </is>
      </c>
      <c r="G4" s="3" t="inlineStr">
        <is>
          <t>Annualized</t>
        </is>
      </c>
      <c r="H4" s="3" t="inlineStr">
        <is>
          <t>Jun–Aug 2026</t>
        </is>
      </c>
      <c r="I4" s="3" t="inlineStr">
        <is>
          <t>Annualized</t>
        </is>
      </c>
      <c r="J4" s="3" t="inlineStr">
        <is>
          <t>Notes</t>
        </is>
      </c>
    </row>
    <row r="5">
      <c r="A5" t="inlineStr">
        <is>
          <t>Months in period</t>
        </is>
      </c>
      <c r="B5" s="4" t="n">
        <v>1</v>
      </c>
      <c r="D5" s="4" t="n">
        <v>1</v>
      </c>
      <c r="F5" s="4" t="n">
        <v>1</v>
      </c>
      <c r="H5" s="4" t="n">
        <v>3</v>
      </c>
    </row>
    <row r="6" ht="64" customHeight="1">
      <c r="A6" s="5" t="inlineStr">
        <is>
          <t>Average receivables of the book month (denominator for all yields)</t>
        </is>
      </c>
      <c r="B6" s="6">
        <f>'Monthly Detail'!G16</f>
        <v/>
      </c>
      <c r="C6" s="5" t="n"/>
      <c r="D6" s="6">
        <f>'Monthly Detail'!H16</f>
        <v/>
      </c>
      <c r="E6" s="5" t="n"/>
      <c r="F6" s="6">
        <f>'Monthly Detail'!I16</f>
        <v/>
      </c>
      <c r="G6" s="5" t="n"/>
      <c r="H6" s="6">
        <f>AVERAGE('Monthly Detail'!G16:I16)</f>
        <v/>
      </c>
      <c r="I6" s="5" t="n"/>
      <c r="J6" s="7" t="inlineStr">
        <is>
          <t>The capital employed in the month. Everything below is what that capital earned and lost: interchange and upfront fees when it was created, interest and late fees the following month, losses on the principal it lent.</t>
        </is>
      </c>
    </row>
    <row r="7">
      <c r="A7" s="8" t="inlineStr">
        <is>
          <t>Earned when the balance is created — the book month's purchases and conversions</t>
        </is>
      </c>
      <c r="B7" s="9" t="n"/>
      <c r="C7" s="9" t="n"/>
      <c r="D7" s="9" t="n"/>
      <c r="E7" s="9" t="n"/>
      <c r="F7" s="9" t="n"/>
      <c r="G7" s="9" t="n"/>
      <c r="H7" s="9" t="n"/>
      <c r="I7" s="9" t="n"/>
      <c r="J7" s="9" t="n"/>
    </row>
    <row r="8" ht="34" customHeight="1">
      <c r="A8" t="inlineStr">
        <is>
          <t>Purchase volume settled</t>
        </is>
      </c>
      <c r="B8" s="10">
        <f>'Monthly Detail'!G20</f>
        <v/>
      </c>
      <c r="D8" s="10">
        <f>'Monthly Detail'!H20</f>
        <v/>
      </c>
      <c r="F8" s="10">
        <f>'Monthly Detail'!I20</f>
        <v/>
      </c>
      <c r="H8" s="10">
        <f>'Monthly Detail'!G20+'Monthly Detail'!H20+'Monthly Detail'!I20</f>
        <v/>
      </c>
      <c r="J8" s="7" t="inlineStr">
        <is>
          <t>Cardholder purchases settled through Mastercard in the book month, net of returns.</t>
        </is>
      </c>
    </row>
    <row r="9" ht="34" customHeight="1">
      <c r="A9" t="inlineStr">
        <is>
          <t>Purchase turnover (annualized purchase volume ÷ average receivables)</t>
        </is>
      </c>
      <c r="C9" s="11">
        <f>B8*12/B$5/B$6</f>
        <v/>
      </c>
      <c r="E9" s="11">
        <f>D8*12/D$5/D$6</f>
        <v/>
      </c>
      <c r="G9" s="11">
        <f>F8*12/F$5/F$6</f>
        <v/>
      </c>
      <c r="I9" s="11">
        <f>H8*12/H$5/H$6</f>
        <v/>
      </c>
      <c r="J9" s="7" t="inlineStr">
        <is>
          <t>How many times a year the book is re-spent. Falls as more of the book revolves.</t>
        </is>
      </c>
    </row>
    <row r="10" ht="34" customHeight="1">
      <c r="A10" t="inlineStr">
        <is>
          <t>Interchange rate on purchase volume</t>
        </is>
      </c>
      <c r="C10" s="12">
        <f>B11/B8</f>
        <v/>
      </c>
      <c r="E10" s="12">
        <f>D11/D8</f>
        <v/>
      </c>
      <c r="G10" s="12">
        <f>F11/F8</f>
        <v/>
      </c>
      <c r="I10" s="12">
        <f>H11/H8</f>
        <v/>
      </c>
      <c r="J10" s="7" t="inlineStr">
        <is>
          <t>Set by Mastercard by merchant category and domestic/foreign; gross of network and processing costs.</t>
        </is>
      </c>
    </row>
    <row r="11" ht="64" customHeight="1">
      <c r="A11" s="5" t="inlineStr">
        <is>
          <t>Interchange income</t>
        </is>
      </c>
      <c r="B11" s="6">
        <f>'Monthly Detail'!G9</f>
        <v/>
      </c>
      <c r="C11" s="13">
        <f>C10*C9</f>
        <v/>
      </c>
      <c r="D11" s="6">
        <f>'Monthly Detail'!H9</f>
        <v/>
      </c>
      <c r="E11" s="13">
        <f>E10*E9</f>
        <v/>
      </c>
      <c r="F11" s="6">
        <f>'Monthly Detail'!I9</f>
        <v/>
      </c>
      <c r="G11" s="13">
        <f>G10*G9</f>
        <v/>
      </c>
      <c r="H11" s="6">
        <f>'Monthly Detail'!G9+'Monthly Detail'!H9+'Monthly Detail'!I9</f>
        <v/>
      </c>
      <c r="I11" s="13">
        <f>I10*I9</f>
        <v/>
      </c>
      <c r="J11" s="7" t="inlineStr">
        <is>
          <t>Yield = interchange rate × purchase turnover. Mastercard settles each purchase to the merchant net of interchange and the cardholder is billed the full amount, so interchange is collected through cardholder payments. Earned once, when the receivable is created.</t>
        </is>
      </c>
    </row>
    <row r="12" ht="34" customHeight="1">
      <c r="A12" t="inlineStr">
        <is>
          <t>Installment upfront fees</t>
        </is>
      </c>
      <c r="B12" s="10">
        <f>'Monthly Detail'!G7</f>
        <v/>
      </c>
      <c r="C12" s="14">
        <f>B12*12/B$5/B$6</f>
        <v/>
      </c>
      <c r="D12" s="10">
        <f>'Monthly Detail'!H7</f>
        <v/>
      </c>
      <c r="E12" s="14">
        <f>D12*12/D$5/D$6</f>
        <v/>
      </c>
      <c r="F12" s="10">
        <f>'Monthly Detail'!I7</f>
        <v/>
      </c>
      <c r="G12" s="14">
        <f>F12*12/F$5/F$6</f>
        <v/>
      </c>
      <c r="H12" s="10">
        <f>'Monthly Detail'!G7+'Monthly Detail'!H7+'Monthly Detail'!I7</f>
        <v/>
      </c>
      <c r="I12" s="14">
        <f>H12*12/H$5/H$6</f>
        <v/>
      </c>
      <c r="J12" s="7" t="inlineStr">
        <is>
          <t>0.5% × term in months, billed when a purchase is converted to installments (within the purchase's statement cycle).</t>
        </is>
      </c>
    </row>
    <row r="13" ht="64" customHeight="1">
      <c r="A13" t="inlineStr">
        <is>
          <t>Installment interest</t>
        </is>
      </c>
      <c r="B13" s="10">
        <f>'Monthly Detail'!G12</f>
        <v/>
      </c>
      <c r="C13" s="14">
        <f>B13*12/B$5/B$6</f>
        <v/>
      </c>
      <c r="D13" s="10">
        <f>'Monthly Detail'!H12</f>
        <v/>
      </c>
      <c r="E13" s="14">
        <f>D13*12/D$5/D$6</f>
        <v/>
      </c>
      <c r="F13" s="10">
        <f>'Monthly Detail'!I12</f>
        <v/>
      </c>
      <c r="G13" s="14">
        <f>F13*12/F$5/F$6</f>
        <v/>
      </c>
      <c r="H13" s="10">
        <f>'Monthly Detail'!G12+'Monthly Detail'!H12+'Monthly Detail'!I12</f>
        <v/>
      </c>
      <c r="I13" s="14">
        <f>H13*12/H$5/H$6</f>
        <v/>
      </c>
      <c r="J13" s="7" t="inlineStr">
        <is>
          <t>1% of the original plan amount per installment (add-on; about 1.5% per month on the declining balance), billed with each installment on every statement closing while the plan is outstanding — the first on the first statement after conversion. Earned by the plans on the book month's statements; 14th-close statements allocated across their cycle days.</t>
        </is>
      </c>
    </row>
    <row r="14">
      <c r="A14" s="8" t="inlineStr">
        <is>
          <t>Earned the following month — charged on the balance billed at the end of the book month</t>
        </is>
      </c>
      <c r="B14" s="9" t="n"/>
      <c r="C14" s="9" t="n"/>
      <c r="D14" s="9" t="n"/>
      <c r="E14" s="9" t="n"/>
      <c r="F14" s="9" t="n"/>
      <c r="G14" s="9" t="n"/>
      <c r="H14" s="9" t="n"/>
      <c r="I14" s="9" t="n"/>
      <c r="J14" s="9" t="n"/>
    </row>
    <row r="15" ht="64" customHeight="1">
      <c r="A15" t="inlineStr">
        <is>
          <t>Revolving interest (accrued)</t>
        </is>
      </c>
      <c r="B15" s="10">
        <f>'Monthly Detail'!H11</f>
        <v/>
      </c>
      <c r="C15" s="14">
        <f>B15*12/B$5/B$6</f>
        <v/>
      </c>
      <c r="D15" s="10">
        <f>'Monthly Detail'!I11</f>
        <v/>
      </c>
      <c r="E15" s="14">
        <f>D15*12/D$5/D$6</f>
        <v/>
      </c>
      <c r="F15" s="10">
        <f>'Monthly Detail'!J11</f>
        <v/>
      </c>
      <c r="G15" s="14">
        <f>F15*12/F$5/F$6</f>
        <v/>
      </c>
      <c r="H15" s="10">
        <f>'Monthly Detail'!H11+'Monthly Detail'!I11+'Monthly Detail'!J11</f>
        <v/>
      </c>
      <c r="I15" s="14">
        <f>H15*12/H$5/H$6</f>
        <v/>
      </c>
      <c r="J15" s="7" t="inlineStr">
        <is>
          <t>3% per month (BSP cap) on billed balances not paid in full by the due date; a purchase earns no interest until it has been statemented. Accrual basis: each statement cycle's interest allocated across the calendar days it covers. For the June book this is July's interest, and so on.</t>
        </is>
      </c>
    </row>
    <row r="16" ht="34" customHeight="1">
      <c r="A16" t="inlineStr">
        <is>
          <t>Late payment fees</t>
        </is>
      </c>
      <c r="B16" s="10">
        <f>'Monthly Detail'!H8</f>
        <v/>
      </c>
      <c r="C16" s="14">
        <f>B16*12/B$5/B$6</f>
        <v/>
      </c>
      <c r="D16" s="10">
        <f>'Monthly Detail'!I8</f>
        <v/>
      </c>
      <c r="E16" s="14">
        <f>D16*12/D$5/D$6</f>
        <v/>
      </c>
      <c r="F16" s="10">
        <f>'Monthly Detail'!J8</f>
        <v/>
      </c>
      <c r="G16" s="14">
        <f>F16*12/F$5/F$6</f>
        <v/>
      </c>
      <c r="H16" s="10">
        <f>'Monthly Detail'!H8+'Monthly Detail'!I8+'Monthly Detail'!J8</f>
        <v/>
      </c>
      <c r="I16" s="14">
        <f>H16*12/H$5/H$6</f>
        <v/>
      </c>
      <c r="J16" s="7" t="inlineStr">
        <is>
          <t>Billed when the book month's statement is not paid by its due date; following month.</t>
        </is>
      </c>
    </row>
    <row r="17">
      <c r="A17" s="5" t="inlineStr">
        <is>
          <t>Interest and fees (rows 12, 13, 15, 16)</t>
        </is>
      </c>
      <c r="B17" s="6">
        <f>B12+B13+B15+B16</f>
        <v/>
      </c>
      <c r="C17" s="13">
        <f>B17*12/B$5/B$6</f>
        <v/>
      </c>
      <c r="D17" s="6">
        <f>D12+D13+D15+D16</f>
        <v/>
      </c>
      <c r="E17" s="13">
        <f>D17*12/D$5/D$6</f>
        <v/>
      </c>
      <c r="F17" s="6">
        <f>F12+F13+F15+F16</f>
        <v/>
      </c>
      <c r="G17" s="13">
        <f>F17*12/F$5/F$6</f>
        <v/>
      </c>
      <c r="H17" s="6">
        <f>H12+H13+H15+H16</f>
        <v/>
      </c>
      <c r="I17" s="13">
        <f>H17*12/H$5/H$6</f>
        <v/>
      </c>
    </row>
    <row r="18"/>
    <row r="19">
      <c r="A19" s="8" t="inlineStr">
        <is>
          <t>Gross yield (annualized, on the book month's average receivables)</t>
        </is>
      </c>
      <c r="B19" s="9" t="n"/>
      <c r="C19" s="9" t="n"/>
      <c r="D19" s="9" t="n"/>
      <c r="E19" s="9" t="n"/>
      <c r="F19" s="9" t="n"/>
      <c r="G19" s="9" t="n"/>
      <c r="H19" s="9" t="n"/>
      <c r="I19" s="9" t="n"/>
      <c r="J19" s="9" t="n"/>
    </row>
    <row r="20">
      <c r="A20" t="inlineStr">
        <is>
          <t>Gross yield — interest and fees</t>
        </is>
      </c>
      <c r="C20" s="14">
        <f>C17</f>
        <v/>
      </c>
      <c r="E20" s="14">
        <f>E17</f>
        <v/>
      </c>
      <c r="G20" s="14">
        <f>G17</f>
        <v/>
      </c>
      <c r="I20" s="14">
        <f>I17</f>
        <v/>
      </c>
    </row>
    <row r="21">
      <c r="A21" s="15" t="inlineStr">
        <is>
          <t>Gross yield — all revenue, including interchange</t>
        </is>
      </c>
      <c r="B21" s="16">
        <f>B11+B17</f>
        <v/>
      </c>
      <c r="C21" s="17">
        <f>C11+C17</f>
        <v/>
      </c>
      <c r="D21" s="16">
        <f>D11+D17</f>
        <v/>
      </c>
      <c r="E21" s="17">
        <f>E11+E17</f>
        <v/>
      </c>
      <c r="F21" s="16">
        <f>F11+F17</f>
        <v/>
      </c>
      <c r="G21" s="17">
        <f>G11+G17</f>
        <v/>
      </c>
      <c r="H21" s="16">
        <f>H11+H17</f>
        <v/>
      </c>
      <c r="I21" s="17">
        <f>I11+I17</f>
        <v/>
      </c>
      <c r="J21" s="18" t="inlineStr">
        <is>
          <t>Amount column: the revenue attributable to the book month.</t>
        </is>
      </c>
    </row>
    <row r="22"/>
    <row r="23">
      <c r="A23" s="8" t="inlineStr">
        <is>
          <t>Loss on the principal the book month lent — a function of turnover</t>
        </is>
      </c>
      <c r="B23" s="9" t="n"/>
      <c r="C23" s="9" t="n"/>
      <c r="D23" s="9" t="n"/>
      <c r="E23" s="9" t="n"/>
      <c r="F23" s="9" t="n"/>
      <c r="G23" s="9" t="n"/>
      <c r="H23" s="9" t="n"/>
      <c r="I23" s="9" t="n"/>
      <c r="J23" s="9" t="n"/>
    </row>
    <row r="24" ht="34" customHeight="1">
      <c r="A24" t="inlineStr">
        <is>
          <t>Principal flow in the book month (purchase volume + pay-a-friend transfers)</t>
        </is>
      </c>
      <c r="B24" s="10">
        <f>'Monthly Detail'!G22</f>
        <v/>
      </c>
      <c r="D24" s="10">
        <f>'Monthly Detail'!H22</f>
        <v/>
      </c>
      <c r="F24" s="10">
        <f>'Monthly Detail'!I22</f>
        <v/>
      </c>
      <c r="H24" s="10">
        <f>'Monthly Detail'!G22+'Monthly Detail'!H22+'Monthly Detail'!I22</f>
        <v/>
      </c>
      <c r="J24" s="7" t="inlineStr">
        <is>
          <t>Everything that became a receivable in the month: Mastercard purchases net of returns plus pay-a-friend transfers (which earn no interchange).</t>
        </is>
      </c>
    </row>
    <row r="25" ht="34" customHeight="1">
      <c r="A25" t="inlineStr">
        <is>
          <t>Principal turnover (annualized principal flow ÷ average receivables)</t>
        </is>
      </c>
      <c r="C25" s="11">
        <f>B24*12/B$5/B$6</f>
        <v/>
      </c>
      <c r="E25" s="11">
        <f>D24*12/D$5/D$6</f>
        <v/>
      </c>
      <c r="G25" s="11">
        <f>F24*12/F$5/F$6</f>
        <v/>
      </c>
      <c r="I25" s="11">
        <f>H24*12/H$5/H$6</f>
        <v/>
      </c>
      <c r="J25" s="7" t="inlineStr">
        <is>
          <t>Each peso of receivables is re-lent several times a year, so a loss rate on originations must be multiplied by turnover to compare it with a yield on balances. Differs from purchase turnover only by pay-a-friend.</t>
        </is>
      </c>
    </row>
    <row r="26" ht="80" customHeight="1">
      <c r="A26" t="inlineStr">
        <is>
          <t>Loss rate on originated principal — ≥90 DPD, excluding first-payment defaults</t>
        </is>
      </c>
      <c r="C26" s="12">
        <f>loss_rate_xfpd</f>
        <v/>
      </c>
      <c r="E26" s="12">
        <f>loss_rate_xfpd</f>
        <v/>
      </c>
      <c r="G26" s="12">
        <f>loss_rate_xfpd</f>
        <v/>
      </c>
      <c r="I26" s="12">
        <f>loss_rate_xfpd</f>
        <v/>
      </c>
      <c r="J26" s="7"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27">
      <c r="A27" s="5" t="inlineStr">
        <is>
          <t>Loss on receivables (loss rate × principal turnover)</t>
        </is>
      </c>
      <c r="B27" s="5" t="n"/>
      <c r="C27" s="13">
        <f>C26*C25</f>
        <v/>
      </c>
      <c r="D27" s="5" t="n"/>
      <c r="E27" s="13">
        <f>E26*E25</f>
        <v/>
      </c>
      <c r="F27" s="5" t="n"/>
      <c r="G27" s="13">
        <f>G26*G25</f>
        <v/>
      </c>
      <c r="H27" s="5" t="n"/>
      <c r="I27" s="13">
        <f>I26*I25</f>
        <v/>
      </c>
    </row>
    <row r="28"/>
    <row r="29">
      <c r="A29" s="8" t="inlineStr">
        <is>
          <t>Net yield</t>
        </is>
      </c>
      <c r="B29" s="9" t="n"/>
      <c r="C29" s="9" t="n"/>
      <c r="D29" s="9" t="n"/>
      <c r="E29" s="9" t="n"/>
      <c r="F29" s="9" t="n"/>
      <c r="G29" s="9" t="n"/>
      <c r="H29" s="9" t="n"/>
      <c r="I29" s="9" t="n"/>
      <c r="J29" s="9" t="n"/>
    </row>
    <row r="30">
      <c r="A30" s="5" t="inlineStr">
        <is>
          <t>Net yield — all revenue less loss on receivables</t>
        </is>
      </c>
      <c r="B30" s="5" t="n"/>
      <c r="C30" s="13">
        <f>C21-C27</f>
        <v/>
      </c>
      <c r="D30" s="5" t="n"/>
      <c r="E30" s="13">
        <f>E21-E27</f>
        <v/>
      </c>
      <c r="F30" s="5" t="n"/>
      <c r="G30" s="13">
        <f>G21-G27</f>
        <v/>
      </c>
      <c r="H30" s="5" t="n"/>
      <c r="I30" s="13">
        <f>I21-I27</f>
        <v/>
      </c>
      <c r="J30" s="7" t="inlineStr">
        <is>
          <t>Before operating, servicing and funding costs.</t>
        </is>
      </c>
    </row>
    <row r="31"/>
    <row r="32">
      <c r="A32" s="8" t="inlineStr">
        <is>
          <t>Reference — conventional basis (all of a month's revenue over that month's own average receivables)</t>
        </is>
      </c>
      <c r="B32" s="9" t="n"/>
      <c r="C32" s="9" t="n"/>
      <c r="D32" s="9" t="n"/>
      <c r="E32" s="9" t="n"/>
      <c r="F32" s="9" t="n"/>
      <c r="G32" s="9" t="n"/>
      <c r="H32" s="9" t="n"/>
      <c r="I32" s="9" t="n"/>
      <c r="J32" s="9" t="n"/>
    </row>
    <row r="33">
      <c r="A33" t="inlineStr">
        <is>
          <t>Period on the conventional basis</t>
        </is>
      </c>
      <c r="B33" s="5" t="inlineStr">
        <is>
          <t>Jul 2026</t>
        </is>
      </c>
      <c r="D33" s="5" t="inlineStr">
        <is>
          <t>Aug 2026</t>
        </is>
      </c>
      <c r="F33" s="5" t="inlineStr">
        <is>
          <t>Sep 2026</t>
        </is>
      </c>
      <c r="H33" s="5" t="inlineStr">
        <is>
          <t>Jul–Sep 2026</t>
        </is>
      </c>
    </row>
    <row r="34" ht="64" customHeight="1">
      <c r="A34" t="inlineStr">
        <is>
          <t>Gross yield — all revenue</t>
        </is>
      </c>
      <c r="C34" s="14">
        <f>'Monthly Detail'!H37</f>
        <v/>
      </c>
      <c r="E34" s="14">
        <f>'Monthly Detail'!I37</f>
        <v/>
      </c>
      <c r="G34" s="14">
        <f>'Monthly Detail'!J37</f>
        <v/>
      </c>
      <c r="I34" s="14">
        <f>'Monthly Detail'!K37</f>
        <v/>
      </c>
      <c r="J34" s="7" t="inlineStr">
        <is>
          <t>What a reader computing yield on the tape in the usual way will get: July–September revenue over July–September average receivables, which include each month's own purchases that have not yet been billed. Lower than the book-month basis while the book is growing; identical when it is flat.</t>
        </is>
      </c>
    </row>
    <row r="35">
      <c r="A35" t="inlineStr">
        <is>
          <t>Net yield — all revenue less loss on receivables</t>
        </is>
      </c>
      <c r="C35" s="14">
        <f>'Monthly Detail'!H37-loss_rate_xfpd*'Monthly Detail'!H22*12/'Monthly Detail'!H25/'Monthly Detail'!H16</f>
        <v/>
      </c>
      <c r="E35" s="14">
        <f>'Monthly Detail'!I37-loss_rate_xfpd*'Monthly Detail'!I22*12/'Monthly Detail'!I25/'Monthly Detail'!I16</f>
        <v/>
      </c>
      <c r="G35" s="14">
        <f>'Monthly Detail'!J37-loss_rate_xfpd*'Monthly Detail'!J22*12/'Monthly Detail'!J25/'Monthly Detail'!J16</f>
        <v/>
      </c>
      <c r="I35" s="14">
        <f>'Monthly Detail'!K37-loss_rate_xfpd*'Monthly Detail'!K22*12/'Monthly Detail'!K25/'Monthly Detail'!K16</f>
        <v/>
      </c>
    </row>
    <row r="36"/>
    <row r="37">
      <c r="A37" s="8" t="inlineStr">
        <is>
          <t>Memo — USD equivalents</t>
        </is>
      </c>
      <c r="B37" s="9" t="n"/>
      <c r="C37" s="9" t="n"/>
      <c r="D37" s="9" t="n"/>
      <c r="E37" s="9" t="n"/>
      <c r="F37" s="9" t="n"/>
      <c r="G37" s="9" t="n"/>
      <c r="H37" s="9" t="n"/>
      <c r="I37" s="9" t="n"/>
      <c r="J37" s="9" t="n"/>
    </row>
    <row r="38">
      <c r="A38" t="inlineStr">
        <is>
          <t>PHP per USD</t>
        </is>
      </c>
      <c r="B38" s="19" t="n">
        <v>55.8</v>
      </c>
      <c r="D38" s="19" t="n">
        <v>55.8</v>
      </c>
      <c r="F38" s="19" t="n">
        <v>55.8</v>
      </c>
      <c r="H38" s="19" t="n">
        <v>55.8</v>
      </c>
    </row>
    <row r="39">
      <c r="A39" t="inlineStr">
        <is>
          <t>Average receivables of the book month (USD)</t>
        </is>
      </c>
      <c r="B39" s="10">
        <f>B6/B38</f>
        <v/>
      </c>
      <c r="D39" s="10">
        <f>D6/D38</f>
        <v/>
      </c>
      <c r="F39" s="10">
        <f>F6/F38</f>
        <v/>
      </c>
      <c r="H39" s="10">
        <f>H6/H38</f>
        <v/>
      </c>
    </row>
    <row r="40">
      <c r="A40" t="inlineStr">
        <is>
          <t>Revenue attributable to the book month (USD)</t>
        </is>
      </c>
      <c r="B40" s="10">
        <f>B21/B38</f>
        <v/>
      </c>
      <c r="D40" s="10">
        <f>D21/D38</f>
        <v/>
      </c>
      <c r="F40" s="10">
        <f>F21/F38</f>
        <v/>
      </c>
      <c r="H40" s="10">
        <f>H21/H38</f>
        <v/>
      </c>
    </row>
    <row r="41">
      <c r="A41" t="inlineStr">
        <is>
          <t>Principal flow (USD)</t>
        </is>
      </c>
      <c r="B41" s="10">
        <f>B24/B38</f>
        <v/>
      </c>
      <c r="D41" s="10">
        <f>D24/D38</f>
        <v/>
      </c>
      <c r="F41" s="10">
        <f>F24/F38</f>
        <v/>
      </c>
      <c r="H41" s="10">
        <f>H24/H38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10" t="n">
        <v>0</v>
      </c>
      <c r="C5" s="10" t="n">
        <v>0</v>
      </c>
      <c r="D5" s="10" t="n">
        <v>0</v>
      </c>
      <c r="E5" s="10" t="n">
        <v>0</v>
      </c>
      <c r="F5" s="10" t="n">
        <v>0</v>
      </c>
      <c r="G5" s="10" t="n">
        <v>685463.409999999</v>
      </c>
      <c r="H5" s="10" t="n">
        <v>1501634.9</v>
      </c>
      <c r="I5" s="10" t="n">
        <v>1951592.03</v>
      </c>
      <c r="J5" s="10" t="n">
        <v>2229680.03</v>
      </c>
      <c r="K5" s="10">
        <f>SUM(H5:J5)</f>
        <v/>
      </c>
    </row>
    <row r="6">
      <c r="A6" t="inlineStr">
        <is>
          <t>Installment interest</t>
        </is>
      </c>
      <c r="B6" s="10" t="n">
        <v>1316.21</v>
      </c>
      <c r="C6" s="10" t="n">
        <v>47765.48</v>
      </c>
      <c r="D6" s="10" t="n">
        <v>134016.53</v>
      </c>
      <c r="E6" s="10" t="n">
        <v>220070.96</v>
      </c>
      <c r="F6" s="10" t="n">
        <v>257582.01</v>
      </c>
      <c r="G6" s="10" t="n">
        <v>340853.06</v>
      </c>
      <c r="H6" s="10" t="n">
        <v>403236.04</v>
      </c>
      <c r="I6" s="10" t="n">
        <v>445213.13</v>
      </c>
      <c r="J6" s="10" t="n">
        <v>486325.05</v>
      </c>
      <c r="K6" s="10">
        <f>SUM(H6:J6)</f>
        <v/>
      </c>
    </row>
    <row r="7">
      <c r="A7" t="inlineStr">
        <is>
          <t>Installment upfront fees</t>
        </is>
      </c>
      <c r="B7" s="10" t="n">
        <v>2185.69</v>
      </c>
      <c r="C7" s="10" t="n">
        <v>146390.53</v>
      </c>
      <c r="D7" s="10" t="n">
        <v>291311.38</v>
      </c>
      <c r="E7" s="10" t="n">
        <v>307856.48</v>
      </c>
      <c r="F7" s="10" t="n">
        <v>320397.94</v>
      </c>
      <c r="G7" s="10" t="n">
        <v>337749.34</v>
      </c>
      <c r="H7" s="10" t="n">
        <v>290513.47</v>
      </c>
      <c r="I7" s="10" t="n">
        <v>341458.41</v>
      </c>
      <c r="J7" s="10" t="n">
        <v>439733.93</v>
      </c>
      <c r="K7" s="10">
        <f>SUM(H7:J7)</f>
        <v/>
      </c>
    </row>
    <row r="8">
      <c r="A8" t="inlineStr">
        <is>
          <t>Late payment fees</t>
        </is>
      </c>
      <c r="B8" s="10" t="n">
        <v>64707.62</v>
      </c>
      <c r="C8" s="10" t="n">
        <v>71011.07000000001</v>
      </c>
      <c r="D8" s="10" t="n">
        <v>104805.31</v>
      </c>
      <c r="E8" s="10" t="n">
        <v>138112.4</v>
      </c>
      <c r="F8" s="10" t="n">
        <v>139049.93</v>
      </c>
      <c r="G8" s="10" t="n">
        <v>84871.59</v>
      </c>
      <c r="H8" s="10" t="n">
        <v>89421.49000000001</v>
      </c>
      <c r="I8" s="10" t="n">
        <v>108174.67</v>
      </c>
      <c r="J8" s="10" t="n">
        <v>126426.4</v>
      </c>
      <c r="K8" s="10">
        <f>SUM(H8:J8)</f>
        <v/>
      </c>
    </row>
    <row r="9">
      <c r="A9" t="inlineStr">
        <is>
          <t>Interchange</t>
        </is>
      </c>
      <c r="B9" s="10" t="n">
        <v>800466.96</v>
      </c>
      <c r="C9" s="10" t="n">
        <v>864632.9299999999</v>
      </c>
      <c r="D9" s="10" t="n">
        <v>1364620.690445234</v>
      </c>
      <c r="E9" s="10" t="n">
        <v>1521533.27</v>
      </c>
      <c r="F9" s="10" t="n">
        <v>1545608.623867449</v>
      </c>
      <c r="G9" s="10" t="n">
        <v>1963194.1105</v>
      </c>
      <c r="H9" s="10" t="n">
        <v>1811444.7469</v>
      </c>
      <c r="I9" s="10" t="n">
        <v>1892210.135992006</v>
      </c>
      <c r="J9" s="10" t="n">
        <v>2630889.798</v>
      </c>
      <c r="K9" s="10">
        <f>SUM(H9:J9)</f>
        <v/>
      </c>
    </row>
    <row r="10">
      <c r="A10" t="inlineStr">
        <is>
          <t>Total revenue — billed basis (ties to management reporting)</t>
        </is>
      </c>
      <c r="B10" s="10">
        <f>SUM(B5:B9)</f>
        <v/>
      </c>
      <c r="C10" s="10">
        <f>SUM(C5:C9)</f>
        <v/>
      </c>
      <c r="D10" s="10">
        <f>SUM(D5:D9)</f>
        <v/>
      </c>
      <c r="E10" s="10">
        <f>SUM(E5:E9)</f>
        <v/>
      </c>
      <c r="F10" s="10">
        <f>SUM(F5:F9)</f>
        <v/>
      </c>
      <c r="G10" s="10">
        <f>SUM(G5:G9)</f>
        <v/>
      </c>
      <c r="H10" s="10">
        <f>SUM(H5:H9)</f>
        <v/>
      </c>
      <c r="I10" s="10">
        <f>SUM(I5:I9)</f>
        <v/>
      </c>
      <c r="J10" s="10">
        <f>SUM(J5:J9)</f>
        <v/>
      </c>
      <c r="K10" s="10">
        <f>SUM(K5:K9)</f>
        <v/>
      </c>
    </row>
    <row r="11">
      <c r="A11" t="inlineStr">
        <is>
          <t>Revolving interest — accrued (calendar month)</t>
        </is>
      </c>
      <c r="H11" s="10" t="n">
        <v>1658171.4</v>
      </c>
      <c r="I11" s="10" t="n">
        <v>2023314.88</v>
      </c>
      <c r="J11" s="10" t="n">
        <v>2282599.61</v>
      </c>
      <c r="K11" s="10">
        <f>SUM(H11:J11)</f>
        <v/>
      </c>
    </row>
    <row r="12">
      <c r="A12" t="inlineStr">
        <is>
          <t>Installment interest — allocated across cycle days (calendar month)</t>
        </is>
      </c>
      <c r="G12" s="10" t="n">
        <v>380786.2</v>
      </c>
      <c r="H12" s="10" t="n">
        <v>430644.66</v>
      </c>
      <c r="I12" s="10" t="n">
        <v>467199.88</v>
      </c>
      <c r="J12" s="10" t="n">
        <v>517295.33</v>
      </c>
      <c r="K12" s="10">
        <f>SUM(H12:J12)</f>
        <v/>
      </c>
    </row>
    <row r="13">
      <c r="A13" s="5" t="inlineStr">
        <is>
          <t>Total revenue — accrual basis (used in Yield Summary)</t>
        </is>
      </c>
      <c r="H13" s="6">
        <f>H11+H12+H7+H8+H9</f>
        <v/>
      </c>
      <c r="I13" s="6">
        <f>I11+I12+I7+I8+I9</f>
        <v/>
      </c>
      <c r="J13" s="6">
        <f>J11+J12+J7+J8+J9</f>
        <v/>
      </c>
      <c r="K13" s="6">
        <f>K11+K12+K7+K8+K9</f>
        <v/>
      </c>
    </row>
    <row r="14"/>
    <row r="15">
      <c r="A15" s="8" t="inlineStr">
        <is>
          <t>Balances and volumes</t>
        </is>
      </c>
      <c r="B15" s="9" t="n"/>
      <c r="C15" s="9" t="n"/>
      <c r="D15" s="9" t="n"/>
      <c r="E15" s="9" t="n"/>
      <c r="F15" s="9" t="n"/>
      <c r="G15" s="9" t="n"/>
      <c r="H15" s="9" t="n"/>
      <c r="I15" s="9" t="n"/>
      <c r="J15" s="9" t="n"/>
      <c r="K15" s="9" t="n"/>
    </row>
    <row r="16">
      <c r="A16" t="inlineStr">
        <is>
          <t>Average receivables outstanding</t>
        </is>
      </c>
      <c r="B16" s="10" t="n">
        <v>60876935.09</v>
      </c>
      <c r="C16" s="10" t="n">
        <v>61287125.635</v>
      </c>
      <c r="D16" s="10" t="n">
        <v>78004357.58999999</v>
      </c>
      <c r="E16" s="10" t="n">
        <v>105226683.72</v>
      </c>
      <c r="F16" s="10" t="n">
        <v>126178365.54</v>
      </c>
      <c r="G16" s="10" t="n">
        <v>143946231.47</v>
      </c>
      <c r="H16" s="10" t="n">
        <v>158604610.965</v>
      </c>
      <c r="I16" s="10" t="n">
        <v>176625299.92</v>
      </c>
      <c r="J16" s="10" t="n">
        <v>211159156.895</v>
      </c>
      <c r="K16" s="10">
        <f>AVERAGE(H16:J16)</f>
        <v/>
      </c>
    </row>
    <row r="17">
      <c r="A17" t="inlineStr">
        <is>
          <t>Average receivables outstanding, prior month (reference)</t>
        </is>
      </c>
      <c r="C17" s="10">
        <f>B16</f>
        <v/>
      </c>
      <c r="D17" s="10">
        <f>C16</f>
        <v/>
      </c>
      <c r="E17" s="10">
        <f>D16</f>
        <v/>
      </c>
      <c r="F17" s="10">
        <f>E16</f>
        <v/>
      </c>
      <c r="G17" s="10">
        <f>F16</f>
        <v/>
      </c>
      <c r="H17" s="10">
        <f>G16</f>
        <v/>
      </c>
      <c r="I17" s="10">
        <f>H16</f>
        <v/>
      </c>
      <c r="J17" s="10">
        <f>I16</f>
        <v/>
      </c>
      <c r="K17" s="10">
        <f>AVERAGE(G16:I16)</f>
        <v/>
      </c>
    </row>
    <row r="18">
      <c r="A18" t="inlineStr">
        <is>
          <t>Receivables outstanding, end of month</t>
        </is>
      </c>
      <c r="B18" s="10" t="n">
        <v>59172827.04</v>
      </c>
      <c r="C18" s="10" t="n">
        <v>63401424.23</v>
      </c>
      <c r="D18" s="10" t="n">
        <v>92607290.94999999</v>
      </c>
      <c r="E18" s="10" t="n">
        <v>117846076.49</v>
      </c>
      <c r="F18" s="10" t="n">
        <v>134510654.59</v>
      </c>
      <c r="G18" s="10" t="n">
        <v>153381808.35</v>
      </c>
      <c r="H18" s="10" t="n">
        <v>163827413.58</v>
      </c>
      <c r="I18" s="10" t="n">
        <v>189423186.26</v>
      </c>
      <c r="J18" s="10" t="n">
        <v>232895127.53</v>
      </c>
      <c r="K18" s="10">
        <f>J18</f>
        <v/>
      </c>
    </row>
    <row r="19">
      <c r="A19" t="inlineStr">
        <is>
          <t>Principal originated, statement-month basis (base on which the loss rate is measured)</t>
        </is>
      </c>
      <c r="B19" s="10" t="n">
        <v>69900973.84</v>
      </c>
      <c r="C19" s="10" t="n">
        <v>60820771.28</v>
      </c>
      <c r="D19" s="10" t="n">
        <v>89743205.59</v>
      </c>
      <c r="E19" s="10" t="n">
        <v>107115373.17</v>
      </c>
      <c r="F19" s="10" t="n">
        <v>118184976.17</v>
      </c>
      <c r="G19" s="10" t="n">
        <v>136417479.48</v>
      </c>
      <c r="H19" s="10" t="n">
        <v>140624271.71</v>
      </c>
      <c r="I19" s="10" t="n">
        <v>141888335.14</v>
      </c>
      <c r="J19" s="10" t="n">
        <v>160221212.53</v>
      </c>
      <c r="K19" s="10">
        <f>SUM(H19:J19)</f>
        <v/>
      </c>
    </row>
    <row r="20">
      <c r="A20" t="inlineStr">
        <is>
          <t>Purchase volume settled (Mastercard, net of returns)</t>
        </is>
      </c>
      <c r="B20" s="10" t="n">
        <v>59671645.156</v>
      </c>
      <c r="C20" s="10" t="n">
        <v>60642780.726</v>
      </c>
      <c r="D20" s="10" t="n">
        <v>95344566</v>
      </c>
      <c r="E20" s="10" t="n">
        <v>105947213.036</v>
      </c>
      <c r="F20" s="10" t="n">
        <v>110400244.168</v>
      </c>
      <c r="G20" s="10" t="n">
        <v>137145988.384</v>
      </c>
      <c r="H20" s="10" t="n">
        <v>127249656.88</v>
      </c>
      <c r="I20" s="10" t="n">
        <v>130388896.484</v>
      </c>
      <c r="J20" s="10" t="n">
        <v>190860991.79</v>
      </c>
      <c r="K20" s="10">
        <f>SUM(H20:J20)</f>
        <v/>
      </c>
    </row>
    <row r="21">
      <c r="A21" t="inlineStr">
        <is>
          <t>Pay-a-friend transfers (cardholder-to-cardholder, charged to the card; no interchange)</t>
        </is>
      </c>
      <c r="B21" s="10" t="n">
        <v>1060000</v>
      </c>
      <c r="C21" s="10" t="n">
        <v>980000</v>
      </c>
      <c r="D21" s="10" t="n">
        <v>1900000</v>
      </c>
      <c r="E21" s="10" t="n">
        <v>1190000</v>
      </c>
      <c r="F21" s="10" t="n">
        <v>2250000</v>
      </c>
      <c r="G21" s="10" t="n">
        <v>2040000</v>
      </c>
      <c r="H21" s="10" t="n">
        <v>2730000</v>
      </c>
      <c r="I21" s="10" t="n">
        <v>2970000</v>
      </c>
      <c r="J21" s="10" t="n">
        <v>2650000</v>
      </c>
      <c r="K21" s="10">
        <f>SUM(H21:J21)</f>
        <v/>
      </c>
    </row>
    <row r="22">
      <c r="A22" s="5" t="inlineStr">
        <is>
          <t>Principal flow (purchase volume + pay-a-friend) — calendar-month loss base</t>
        </is>
      </c>
      <c r="B22" s="10">
        <f>B20+B21</f>
        <v/>
      </c>
      <c r="C22" s="10">
        <f>C20+C21</f>
        <v/>
      </c>
      <c r="D22" s="10">
        <f>D20+D21</f>
        <v/>
      </c>
      <c r="E22" s="10">
        <f>E20+E21</f>
        <v/>
      </c>
      <c r="F22" s="10">
        <f>F20+F21</f>
        <v/>
      </c>
      <c r="G22" s="10">
        <f>G20+G21</f>
        <v/>
      </c>
      <c r="H22" s="10">
        <f>H20+H21</f>
        <v/>
      </c>
      <c r="I22" s="10">
        <f>I20+I21</f>
        <v/>
      </c>
      <c r="J22" s="10">
        <f>J20+J21</f>
        <v/>
      </c>
      <c r="K22" s="10">
        <f>K20+K21</f>
        <v/>
      </c>
    </row>
    <row r="23"/>
    <row r="24">
      <c r="A24" s="8"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9" t="n"/>
      <c r="C24" s="9" t="n"/>
      <c r="D24" s="9" t="n"/>
      <c r="E24" s="9" t="n"/>
      <c r="F24" s="9" t="n"/>
      <c r="G24" s="9" t="n"/>
      <c r="H24" s="9" t="n"/>
      <c r="I24" s="9" t="n"/>
      <c r="J24" s="9" t="n"/>
      <c r="K24" s="9"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4">
        <f>(C5+C8)*12/B25/B16</f>
        <v/>
      </c>
      <c r="C26" s="14">
        <f>(D5+D8)*12/C25/C16</f>
        <v/>
      </c>
      <c r="D26" s="14">
        <f>(E5+E8)*12/D25/D16</f>
        <v/>
      </c>
      <c r="E26" s="14">
        <f>(F5+F8)*12/E25/E16</f>
        <v/>
      </c>
      <c r="F26" s="14">
        <f>(G5+G8)*12/F25/F16</f>
        <v/>
      </c>
      <c r="G26" s="14">
        <f>(H11+H8)*12/G25/G16</f>
        <v/>
      </c>
      <c r="H26" s="14">
        <f>(I11+I8)*12/H25/H16</f>
        <v/>
      </c>
      <c r="I26" s="14">
        <f>(J11+J8)*12/I25/I16</f>
        <v/>
      </c>
    </row>
    <row r="27">
      <c r="A27" t="inlineStr">
        <is>
          <t>Installment interest (billed with each installment on the book month's statements)</t>
        </is>
      </c>
      <c r="B27" s="14">
        <f>B6*12/B25/B16</f>
        <v/>
      </c>
      <c r="C27" s="14">
        <f>C6*12/C25/C16</f>
        <v/>
      </c>
      <c r="D27" s="14">
        <f>D6*12/D25/D16</f>
        <v/>
      </c>
      <c r="E27" s="14">
        <f>E6*12/E25/E16</f>
        <v/>
      </c>
      <c r="F27" s="14">
        <f>F6*12/F25/F16</f>
        <v/>
      </c>
      <c r="G27" s="14">
        <f>G12*12/G25/G16</f>
        <v/>
      </c>
      <c r="H27" s="14">
        <f>H12*12/H25/H16</f>
        <v/>
      </c>
      <c r="I27" s="14">
        <f>I12*12/I25/I16</f>
        <v/>
      </c>
    </row>
    <row r="28">
      <c r="A28" t="inlineStr">
        <is>
          <t>Installment upfront fees (at conversion, same month)</t>
        </is>
      </c>
      <c r="B28" s="14">
        <f>B7*12/B25/B16</f>
        <v/>
      </c>
      <c r="C28" s="14">
        <f>C7*12/C25/C16</f>
        <v/>
      </c>
      <c r="D28" s="14">
        <f>D7*12/D25/D16</f>
        <v/>
      </c>
      <c r="E28" s="14">
        <f>E7*12/E25/E16</f>
        <v/>
      </c>
      <c r="F28" s="14">
        <f>F7*12/F25/F16</f>
        <v/>
      </c>
      <c r="G28" s="14">
        <f>G7*12/G25/G16</f>
        <v/>
      </c>
      <c r="H28" s="14">
        <f>H7*12/H25/H16</f>
        <v/>
      </c>
      <c r="I28" s="14">
        <f>I7*12/I25/I16</f>
        <v/>
      </c>
    </row>
    <row r="29">
      <c r="A29" t="inlineStr">
        <is>
          <t>Purchase turnover (annualized purchase volume ÷ average receivables)</t>
        </is>
      </c>
      <c r="B29" s="11">
        <f>B20*12/B25/B16</f>
        <v/>
      </c>
      <c r="C29" s="11">
        <f>C20*12/C25/C16</f>
        <v/>
      </c>
      <c r="D29" s="11">
        <f>D20*12/D25/D16</f>
        <v/>
      </c>
      <c r="E29" s="11">
        <f>E20*12/E25/E16</f>
        <v/>
      </c>
      <c r="F29" s="11">
        <f>F20*12/F25/F16</f>
        <v/>
      </c>
      <c r="G29" s="11">
        <f>G20*12/G25/G16</f>
        <v/>
      </c>
      <c r="H29" s="11">
        <f>H20*12/H25/H16</f>
        <v/>
      </c>
      <c r="I29" s="11">
        <f>I20*12/I25/I16</f>
        <v/>
      </c>
    </row>
    <row r="30">
      <c r="A30" t="inlineStr">
        <is>
          <t>Interchange rate on purchase volume</t>
        </is>
      </c>
      <c r="B30" s="12">
        <f>B9/B20</f>
        <v/>
      </c>
      <c r="C30" s="12">
        <f>C9/C20</f>
        <v/>
      </c>
      <c r="D30" s="12">
        <f>D9/D20</f>
        <v/>
      </c>
      <c r="E30" s="12">
        <f>E9/E20</f>
        <v/>
      </c>
      <c r="F30" s="12">
        <f>F9/F20</f>
        <v/>
      </c>
      <c r="G30" s="12">
        <f>G9/G20</f>
        <v/>
      </c>
      <c r="H30" s="12">
        <f>H9/H20</f>
        <v/>
      </c>
      <c r="I30" s="12">
        <f>I9/I20</f>
        <v/>
      </c>
    </row>
    <row r="31">
      <c r="A31" t="inlineStr">
        <is>
          <t>Interchange (rate × purchase turnover, same month)</t>
        </is>
      </c>
      <c r="B31" s="14">
        <f>B9*12/B25/B16</f>
        <v/>
      </c>
      <c r="C31" s="14">
        <f>C9*12/C25/C16</f>
        <v/>
      </c>
      <c r="D31" s="14">
        <f>D9*12/D25/D16</f>
        <v/>
      </c>
      <c r="E31" s="14">
        <f>E9*12/E25/E16</f>
        <v/>
      </c>
      <c r="F31" s="14">
        <f>F9*12/F25/F16</f>
        <v/>
      </c>
      <c r="G31" s="14">
        <f>G9*12/G25/G16</f>
        <v/>
      </c>
      <c r="H31" s="14">
        <f>H9*12/H25/H16</f>
        <v/>
      </c>
      <c r="I31" s="14">
        <f>I9*12/I25/I16</f>
        <v/>
      </c>
    </row>
    <row r="32">
      <c r="A32" s="5" t="inlineStr">
        <is>
          <t>Gross yield — all revenue</t>
        </is>
      </c>
      <c r="B32" s="13">
        <f>((C5+C8)+B6+B7+B9)*12/B25/B16</f>
        <v/>
      </c>
      <c r="C32" s="13">
        <f>((D5+D8)+C6+C7+C9)*12/C25/C16</f>
        <v/>
      </c>
      <c r="D32" s="13">
        <f>((E5+E8)+D6+D7+D9)*12/D25/D16</f>
        <v/>
      </c>
      <c r="E32" s="13">
        <f>((F5+F8)+E6+E7+E9)*12/E25/E16</f>
        <v/>
      </c>
      <c r="F32" s="13">
        <f>((G5+G8)+F6+F7+F9)*12/F25/F16</f>
        <v/>
      </c>
      <c r="G32" s="13">
        <f>((H11+H8)+G12+G7+G9)*12/G25/G16</f>
        <v/>
      </c>
      <c r="H32" s="13">
        <f>((I11+I8)+H12+H7+H9)*12/H25/H16</f>
        <v/>
      </c>
      <c r="I32" s="13">
        <f>((J11+J8)+I12+I7+I9)*12/I25/I16</f>
        <v/>
      </c>
    </row>
    <row r="33">
      <c r="A33" t="inlineStr">
        <is>
          <t>Principal turnover (annualized principal flow ÷ average receivables)</t>
        </is>
      </c>
      <c r="B33" s="11">
        <f>B22*12/B25/B16</f>
        <v/>
      </c>
      <c r="C33" s="11">
        <f>C22*12/C25/C16</f>
        <v/>
      </c>
      <c r="D33" s="11">
        <f>D22*12/D25/D16</f>
        <v/>
      </c>
      <c r="E33" s="11">
        <f>E22*12/E25/E16</f>
        <v/>
      </c>
      <c r="F33" s="11">
        <f>F22*12/F25/F16</f>
        <v/>
      </c>
      <c r="G33" s="11">
        <f>G22*12/G25/G16</f>
        <v/>
      </c>
      <c r="H33" s="11">
        <f>H22*12/H25/H16</f>
        <v/>
      </c>
      <c r="I33" s="11">
        <f>I22*12/I25/I16</f>
        <v/>
      </c>
    </row>
    <row r="34"/>
    <row r="35">
      <c r="A35" s="8" t="inlineStr">
        <is>
          <t>Reference — conventional basis: all of a month's revenue over that month's own average receivables</t>
        </is>
      </c>
      <c r="B35" s="9" t="n"/>
      <c r="C35" s="9" t="n"/>
      <c r="D35" s="9" t="n"/>
      <c r="E35" s="9" t="n"/>
      <c r="F35" s="9" t="n"/>
      <c r="G35" s="9" t="n"/>
      <c r="H35" s="9" t="n"/>
      <c r="I35" s="9" t="n"/>
      <c r="J35" s="9" t="n"/>
      <c r="K35" s="9" t="n"/>
    </row>
    <row r="36">
      <c r="A36" t="inlineStr">
        <is>
          <t>Interest and fees</t>
        </is>
      </c>
      <c r="B36" s="14">
        <f>SUM(B5:B8)*12/B25/B16</f>
        <v/>
      </c>
      <c r="C36" s="14">
        <f>SUM(C5:C8)*12/C25/C16</f>
        <v/>
      </c>
      <c r="D36" s="14">
        <f>SUM(D5:D8)*12/D25/D16</f>
        <v/>
      </c>
      <c r="E36" s="14">
        <f>SUM(E5:E8)*12/E25/E16</f>
        <v/>
      </c>
      <c r="F36" s="14">
        <f>SUM(F5:F8)*12/F25/F16</f>
        <v/>
      </c>
      <c r="G36" s="14">
        <f>SUM(G5:G8)*12/G25/G16</f>
        <v/>
      </c>
      <c r="H36" s="14">
        <f>(H11+H12+H7+H8)*12/H25/H16</f>
        <v/>
      </c>
      <c r="I36" s="14">
        <f>(I11+I12+I7+I8)*12/I25/I16</f>
        <v/>
      </c>
      <c r="J36" s="14">
        <f>(J11+J12+J7+J8)*12/J25/J16</f>
        <v/>
      </c>
      <c r="K36" s="14">
        <f>(K11+K12+K7+K8)*12/K25/K16</f>
        <v/>
      </c>
    </row>
    <row r="37">
      <c r="A37" t="inlineStr">
        <is>
          <t>Gross yield — all revenue</t>
        </is>
      </c>
      <c r="B37" s="14">
        <f>SUM(B5:B8)*12/B25/B16+B9*12/B25/B16</f>
        <v/>
      </c>
      <c r="C37" s="14">
        <f>SUM(C5:C8)*12/C25/C16+C9*12/C25/C16</f>
        <v/>
      </c>
      <c r="D37" s="14">
        <f>SUM(D5:D8)*12/D25/D16+D9*12/D25/D16</f>
        <v/>
      </c>
      <c r="E37" s="14">
        <f>SUM(E5:E8)*12/E25/E16+E9*12/E25/E16</f>
        <v/>
      </c>
      <c r="F37" s="14">
        <f>SUM(F5:F8)*12/F25/F16+F9*12/F25/F16</f>
        <v/>
      </c>
      <c r="G37" s="14">
        <f>SUM(G5:G8)*12/G25/G16+G9*12/G25/G16</f>
        <v/>
      </c>
      <c r="H37" s="14">
        <f>(H11+H12+H7+H8)*12/H25/H16+H9*12/H25/H16</f>
        <v/>
      </c>
      <c r="I37" s="14">
        <f>(I11+I12+I7+I8)*12/I25/I16+I9*12/I25/I16</f>
        <v/>
      </c>
      <c r="J37" s="14">
        <f>(J11+J12+J7+J8)*12/J25/J16+J9*12/J25/J16</f>
        <v/>
      </c>
      <c r="K37" s="14">
        <f>(K11+K12+K7+K8)*12/K25/K16+K9*12/K25/K16</f>
        <v/>
      </c>
    </row>
    <row r="38"/>
    <row r="39">
      <c r="A39" s="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3" t="inlineStr">
        <is>
          <t>Origination month</t>
        </is>
      </c>
      <c r="B4" s="3" t="inlineStr">
        <is>
          <t>Accounts</t>
        </is>
      </c>
      <c r="C4" s="3" t="inlineStr">
        <is>
          <t>Principal originated</t>
        </is>
      </c>
      <c r="D4" s="3" t="inlineStr">
        <is>
          <t>Seasoned principal (due ≥90 days ago)</t>
        </is>
      </c>
      <c r="E4" s="3" t="inlineStr">
        <is>
          <t>Excluded: FPD principal 90+ DPD</t>
        </is>
      </c>
      <c r="F4" s="3" t="inlineStr">
        <is>
          <t>Denominator: seasoned, ex-FPD</t>
        </is>
      </c>
      <c r="G4" s="3" t="inlineStr">
        <is>
          <t>Numerator: 90+ DPD, ex-FPD</t>
        </is>
      </c>
      <c r="H4" s="3" t="inlineStr">
        <is>
          <t>Loss rate</t>
        </is>
      </c>
    </row>
    <row r="5">
      <c r="A5" t="inlineStr">
        <is>
          <t>Jan 2026</t>
        </is>
      </c>
      <c r="B5" s="10" t="n">
        <v>3828</v>
      </c>
      <c r="C5" s="10" t="n">
        <v>69900973.84</v>
      </c>
      <c r="D5" s="10" t="n">
        <v>69900973.84</v>
      </c>
      <c r="E5" s="10" t="n">
        <v>195035.55</v>
      </c>
      <c r="F5" s="10" t="n">
        <v>69690793.31</v>
      </c>
      <c r="G5" s="10" t="n">
        <v>1577286.85</v>
      </c>
      <c r="H5" s="12">
        <f>IF(F5=0,"not yet seasoned",G5/F5)</f>
        <v/>
      </c>
    </row>
    <row r="6">
      <c r="A6" t="inlineStr">
        <is>
          <t>Feb 2026</t>
        </is>
      </c>
      <c r="B6" s="10" t="n">
        <v>4029</v>
      </c>
      <c r="C6" s="10" t="n">
        <v>60820771.28</v>
      </c>
      <c r="D6" s="10" t="n">
        <v>60820771.28</v>
      </c>
      <c r="E6" s="10" t="n">
        <v>31366.54</v>
      </c>
      <c r="F6" s="10" t="n">
        <v>60789404.74</v>
      </c>
      <c r="G6" s="10" t="n">
        <v>685527.14</v>
      </c>
      <c r="H6" s="12">
        <f>IF(F6=0,"not yet seasoned",G6/F6)</f>
        <v/>
      </c>
    </row>
    <row r="7">
      <c r="A7" t="inlineStr">
        <is>
          <t>Mar 2026</t>
        </is>
      </c>
      <c r="B7" s="10" t="n">
        <v>5113</v>
      </c>
      <c r="C7" s="10" t="n">
        <v>89743205.59</v>
      </c>
      <c r="D7" s="10" t="n">
        <v>89743205.59</v>
      </c>
      <c r="E7" s="10" t="n">
        <v>562712.45</v>
      </c>
      <c r="F7" s="10" t="n">
        <v>89089554.73999999</v>
      </c>
      <c r="G7" s="10" t="n">
        <v>1404938.62</v>
      </c>
      <c r="H7" s="12">
        <f>IF(F7=0,"not yet seasoned",G7/F7)</f>
        <v/>
      </c>
    </row>
    <row r="8">
      <c r="A8" t="inlineStr">
        <is>
          <t>Apr 2026</t>
        </is>
      </c>
      <c r="B8" s="10" t="n">
        <v>6505</v>
      </c>
      <c r="C8" s="10" t="n">
        <v>107115373.17</v>
      </c>
      <c r="D8" s="10" t="n">
        <v>107115373.17</v>
      </c>
      <c r="E8" s="10" t="n">
        <v>911016.11</v>
      </c>
      <c r="F8" s="10" t="n">
        <v>106123235.92</v>
      </c>
      <c r="G8" s="10" t="n">
        <v>1471002.56</v>
      </c>
      <c r="H8" s="12">
        <f>IF(F8=0,"not yet seasoned",G8/F8)</f>
        <v/>
      </c>
    </row>
    <row r="9">
      <c r="A9" t="inlineStr">
        <is>
          <t>May 2026</t>
        </is>
      </c>
      <c r="B9" s="10" t="n">
        <v>7564</v>
      </c>
      <c r="C9" s="10" t="n">
        <v>118184976.17</v>
      </c>
      <c r="D9" s="10" t="n">
        <v>118184976.17</v>
      </c>
      <c r="E9" s="10" t="n">
        <v>889165.96</v>
      </c>
      <c r="F9" s="10" t="n">
        <v>117226741.83</v>
      </c>
      <c r="G9" s="10" t="n">
        <v>1061583</v>
      </c>
      <c r="H9" s="12">
        <f>IF(F9=0,"not yet seasoned",G9/F9)</f>
        <v/>
      </c>
    </row>
    <row r="10">
      <c r="A10" t="inlineStr">
        <is>
          <t>Jun 2026</t>
        </is>
      </c>
      <c r="B10" s="10" t="n">
        <v>9024</v>
      </c>
      <c r="C10" s="10" t="n">
        <v>136417479.48</v>
      </c>
      <c r="D10" s="10" t="n">
        <v>136417479.48</v>
      </c>
      <c r="E10" s="10" t="n">
        <v>499873.5</v>
      </c>
      <c r="F10" s="10" t="n">
        <v>135917605.98</v>
      </c>
      <c r="G10" s="10" t="n">
        <v>459463.31</v>
      </c>
      <c r="H10" s="12">
        <f>IF(F10=0,"not yet seasoned",G10/F10)</f>
        <v/>
      </c>
    </row>
    <row r="11">
      <c r="A11" t="inlineStr">
        <is>
          <t>Jul 2026</t>
        </is>
      </c>
      <c r="B11" s="10" t="n">
        <v>11366</v>
      </c>
      <c r="C11" s="10" t="n">
        <v>140624271.71</v>
      </c>
      <c r="D11" s="10" t="n">
        <v>0</v>
      </c>
      <c r="E11" s="10" t="n">
        <v>29390.51</v>
      </c>
      <c r="F11" s="10" t="n">
        <v>0</v>
      </c>
      <c r="G11" s="10" t="n">
        <v>8828.190000000001</v>
      </c>
      <c r="H11" s="12">
        <f>IF(F11=0,"not yet seasoned",G11/F11)</f>
        <v/>
      </c>
    </row>
    <row r="12">
      <c r="A12" t="inlineStr">
        <is>
          <t>Aug 2026</t>
        </is>
      </c>
      <c r="B12" s="10" t="n">
        <v>12347</v>
      </c>
      <c r="C12" s="10" t="n">
        <v>141888335.14</v>
      </c>
      <c r="D12" s="10" t="n">
        <v>0</v>
      </c>
      <c r="E12" s="10" t="n">
        <v>0</v>
      </c>
      <c r="F12" s="10" t="n">
        <v>0</v>
      </c>
      <c r="G12" s="10" t="n">
        <v>0</v>
      </c>
      <c r="H12" s="12">
        <f>IF(F12=0,"not yet seasoned",G12/F12)</f>
        <v/>
      </c>
    </row>
    <row r="13">
      <c r="A13" t="inlineStr">
        <is>
          <t>Sep 2026</t>
        </is>
      </c>
      <c r="B13" s="10" t="n">
        <v>13196</v>
      </c>
      <c r="C13" s="10" t="n">
        <v>160221212.53</v>
      </c>
      <c r="D13" s="10" t="n">
        <v>0</v>
      </c>
      <c r="E13" s="10" t="n">
        <v>0</v>
      </c>
      <c r="F13" s="10" t="n">
        <v>0</v>
      </c>
      <c r="G13" s="10" t="n">
        <v>0</v>
      </c>
      <c r="H13" s="12">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7"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7"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7"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7" t="inlineStr">
        <is>
          <t>• Why January 2026. The current underwriting model (V2) was deployed in December 2025 and is the model that originates the portfolio today; earlier vintages were originated under the prior model.</t>
        </is>
      </c>
    </row>
    <row r="21"/>
    <row r="22">
      <c r="A22" s="8" t="inlineStr">
        <is>
          <t>Loss emergence — when a vintage's loss arrives (ex-FPD, same measure as the table above)</t>
        </is>
      </c>
      <c r="B22" s="9" t="n"/>
      <c r="C22" s="9" t="n"/>
      <c r="D22" s="9" t="n"/>
      <c r="E22" s="9" t="n"/>
      <c r="F22" s="9" t="n"/>
      <c r="G22" s="9" t="n"/>
      <c r="H22" s="9"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7"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7"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7"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7"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4" t="inlineStr">
        <is>
          <t>Book month (yield basis)</t>
        </is>
      </c>
      <c r="B5" s="7"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4" t="inlineStr">
        <is>
          <t>Annualization</t>
        </is>
      </c>
      <c r="B6" s="7" t="inlineStr">
        <is>
          <t>Simple: monthly amount ÷ the book month's average receivables × 12. No compounding.</t>
        </is>
      </c>
    </row>
    <row r="7" ht="105" customHeight="1">
      <c r="A7" s="24" t="inlineStr">
        <is>
          <t>Revolving interest</t>
        </is>
      </c>
      <c r="B7" s="7"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4" t="inlineStr">
        <is>
          <t>Installment interest and upfront fees</t>
        </is>
      </c>
      <c r="B8" s="7"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4" t="inlineStr">
        <is>
          <t>Late payment fees</t>
        </is>
      </c>
      <c r="B9" s="7" t="inlineStr">
        <is>
          <t>Fee billed when the minimum payment is not received by the due date.</t>
        </is>
      </c>
    </row>
    <row r="10" ht="90" customHeight="1">
      <c r="A10" s="24" t="inlineStr">
        <is>
          <t>Interchange</t>
        </is>
      </c>
      <c r="B10" s="7"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4" t="inlineStr">
        <is>
          <t>Turnover</t>
        </is>
      </c>
      <c r="B11" s="7"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4" t="inlineStr">
        <is>
          <t>Principal flow</t>
        </is>
      </c>
      <c r="B12" s="7"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4" t="inlineStr">
        <is>
          <t>Principal originated (Loss Rate tab)</t>
        </is>
      </c>
      <c r="B13" s="7"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4" t="inlineStr">
        <is>
          <t>Loss rate</t>
        </is>
      </c>
      <c r="B14" s="7"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4" t="inlineStr">
        <is>
          <t>Loss on receivables</t>
        </is>
      </c>
      <c r="B15" s="7"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4" t="inlineStr">
        <is>
          <t>Net yield</t>
        </is>
      </c>
      <c r="B16" s="7" t="inlineStr">
        <is>
          <t>Gross yield less loss on receivables. Before operating costs, servicing, processing and network costs, funding costs, taxes and FX.</t>
        </is>
      </c>
    </row>
    <row r="17" ht="75" customHeight="1">
      <c r="A17" s="24" t="inlineStr">
        <is>
          <t>Sources</t>
        </is>
      </c>
      <c r="B17" s="7"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4" t="inlineStr">
        <is>
          <t>Prepared</t>
        </is>
      </c>
      <c r="B18" s="7"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2026-10-28T21:51:06Z</dcterms:created>
  <dcterms:modified xmlns:dcterms="http://purl.org/dc/terms/" xmlns:xsi="http://www.w3.org/2001/XMLSchema-instance" xsi:type="dcterms:W3CDTF">2026-10-28T21:51:06Z</dcterms:modified>
</cp:coreProperties>
</file>