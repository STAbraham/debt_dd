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4" fillId="0" borderId="0" pivotButton="0" quotePrefix="0" xfId="0"/>
    <xf numFmtId="3" fontId="4" fillId="0" borderId="0" pivotButton="0" quotePrefix="0" xfId="0"/>
    <xf numFmtId="0" fontId="0" fillId="0" borderId="0" applyAlignment="1" pivotButton="0" quotePrefix="0" xfId="0">
      <alignment vertical="center"/>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0" fontId="0" fillId="0" borderId="0" applyAlignment="1" pivotButton="0" quotePrefix="0" xfId="0">
      <alignment indent="1"/>
    </xf>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center"/>
    </xf>
    <xf numFmtId="0" fontId="2" fillId="0" borderId="0" pivotButton="0" quotePrefix="0" xfId="0"/>
    <xf numFmtId="10" fontId="4" fillId="4"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110" customWidth="1" min="10" max="10"/>
  </cols>
  <sheetData>
    <row r="1">
      <c r="A1" s="1" t="inlineStr">
        <is>
          <t>Zed — Portfolio yield on receivables</t>
        </is>
      </c>
    </row>
    <row r="2" ht="60"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18" customHeight="1">
      <c r="A3" s="3" t="n"/>
      <c r="B3" s="4" t="inlineStr">
        <is>
          <t>Book — the month's receivables and what they earned (interest and late fees arrive the following month)</t>
        </is>
      </c>
      <c r="J3" s="3" t="n"/>
    </row>
    <row r="4" ht="20" customHeight="1">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ht="18" customHeight="1">
      <c r="A5" s="7" t="inlineStr">
        <is>
          <t>Average receivables of the book month (denominator)</t>
        </is>
      </c>
      <c r="B5" s="8">
        <f>'Monthly Detail'!G16</f>
        <v/>
      </c>
      <c r="C5" s="7" t="n"/>
      <c r="D5" s="8">
        <f>'Monthly Detail'!H16</f>
        <v/>
      </c>
      <c r="E5" s="7" t="n"/>
      <c r="F5" s="8">
        <f>'Monthly Detail'!I16</f>
        <v/>
      </c>
      <c r="G5" s="7" t="n"/>
      <c r="H5" s="8">
        <f>AVERAGE('Monthly Detail'!G16:I16)</f>
        <v/>
      </c>
      <c r="I5" s="7" t="n"/>
      <c r="J5" s="9" t="inlineStr">
        <is>
          <t>The capital employed; the quarter averages the three months.</t>
        </is>
      </c>
    </row>
    <row r="6" ht="18" customHeight="1">
      <c r="A6" s="10" t="inlineStr">
        <is>
          <t>Earned as the balance is created — the book month's purchases, conversions and statements</t>
        </is>
      </c>
      <c r="B6" s="11" t="n"/>
      <c r="C6" s="11" t="n"/>
      <c r="D6" s="11" t="n"/>
      <c r="E6" s="11" t="n"/>
      <c r="F6" s="11" t="n"/>
      <c r="G6" s="11" t="n"/>
      <c r="H6" s="11" t="n"/>
      <c r="I6" s="11" t="n"/>
      <c r="J6" s="11" t="n"/>
    </row>
    <row r="7" ht="18" customHeight="1">
      <c r="A7" t="inlineStr">
        <is>
          <t>Purchase volume settled</t>
        </is>
      </c>
      <c r="B7" s="12">
        <f>'Monthly Detail'!G20</f>
        <v/>
      </c>
      <c r="D7" s="12">
        <f>'Monthly Detail'!H20</f>
        <v/>
      </c>
      <c r="F7" s="12">
        <f>'Monthly Detail'!I20</f>
        <v/>
      </c>
      <c r="H7" s="12">
        <f>'Monthly Detail'!G20+'Monthly Detail'!H20+'Monthly Detail'!I20</f>
        <v/>
      </c>
      <c r="J7" s="9" t="inlineStr">
        <is>
          <t>Mastercard purchases in the month, net of returns.</t>
        </is>
      </c>
    </row>
    <row r="8" ht="18" customHeight="1">
      <c r="A8" t="inlineStr">
        <is>
          <t>Purchase turnover</t>
        </is>
      </c>
      <c r="C8" s="13">
        <f>B7*12/B$5</f>
        <v/>
      </c>
      <c r="E8" s="13">
        <f>D7*12/D$5</f>
        <v/>
      </c>
      <c r="G8" s="13">
        <f>F7*12/F$5</f>
        <v/>
      </c>
      <c r="I8" s="13">
        <f>H7*4/H$5</f>
        <v/>
      </c>
      <c r="J8" s="9" t="inlineStr">
        <is>
          <t>Annualized purchases ÷ receivables: how often the book is re-spent</t>
        </is>
      </c>
    </row>
    <row r="9" ht="18" customHeight="1">
      <c r="A9" t="inlineStr">
        <is>
          <t>Interchange rate on purchase volume</t>
        </is>
      </c>
      <c r="C9" s="14">
        <f>B10/B7</f>
        <v/>
      </c>
      <c r="E9" s="14">
        <f>D10/D7</f>
        <v/>
      </c>
      <c r="G9" s="14">
        <f>F10/F7</f>
        <v/>
      </c>
      <c r="I9" s="14">
        <f>H10/H7</f>
        <v/>
      </c>
      <c r="J9" s="9" t="inlineStr">
        <is>
          <t>Set by Mastercard by merchant category and domestic/foreign</t>
        </is>
      </c>
    </row>
    <row r="10" ht="18" customHeight="1">
      <c r="A10" s="7" t="inlineStr">
        <is>
          <t>Interchange income</t>
        </is>
      </c>
      <c r="B10" s="8">
        <f>'Monthly Detail'!G9</f>
        <v/>
      </c>
      <c r="C10" s="15">
        <f>C9*C8</f>
        <v/>
      </c>
      <c r="D10" s="8">
        <f>'Monthly Detail'!H9</f>
        <v/>
      </c>
      <c r="E10" s="15">
        <f>E9*E8</f>
        <v/>
      </c>
      <c r="F10" s="8">
        <f>'Monthly Detail'!I9</f>
        <v/>
      </c>
      <c r="G10" s="15">
        <f>G9*G8</f>
        <v/>
      </c>
      <c r="H10" s="8">
        <f>'Monthly Detail'!G9+'Monthly Detail'!H9+'Monthly Detail'!I9</f>
        <v/>
      </c>
      <c r="I10" s="15">
        <f>I9*I8</f>
        <v/>
      </c>
      <c r="J10" s="9" t="inlineStr">
        <is>
          <t>Rate × turnover</t>
        </is>
      </c>
    </row>
    <row r="11" ht="18" customHeight="1">
      <c r="A11" s="7" t="inlineStr">
        <is>
          <t>Installments</t>
        </is>
      </c>
      <c r="B11" s="8">
        <f>B12+B13</f>
        <v/>
      </c>
      <c r="C11" s="15">
        <f>B11*12/B$5</f>
        <v/>
      </c>
      <c r="D11" s="8">
        <f>D12+D13</f>
        <v/>
      </c>
      <c r="E11" s="15">
        <f>D11*12/D$5</f>
        <v/>
      </c>
      <c r="F11" s="8">
        <f>F12+F13</f>
        <v/>
      </c>
      <c r="G11" s="15">
        <f>F11*12/F$5</f>
        <v/>
      </c>
      <c r="H11" s="8">
        <f>H12+H13</f>
        <v/>
      </c>
      <c r="I11" s="15">
        <f>H11*4/H$5</f>
        <v/>
      </c>
      <c r="J11" s="9" t="inlineStr">
        <is>
          <t>Upfront fees + installment interest</t>
        </is>
      </c>
    </row>
    <row r="12" ht="18" customHeight="1">
      <c r="A12" s="16" t="inlineStr">
        <is>
          <t>Installment upfront fees</t>
        </is>
      </c>
      <c r="B12" s="12">
        <f>'Monthly Detail'!G7</f>
        <v/>
      </c>
      <c r="C12" s="17">
        <f>B12*12/B$5</f>
        <v/>
      </c>
      <c r="D12" s="12">
        <f>'Monthly Detail'!H7</f>
        <v/>
      </c>
      <c r="E12" s="17">
        <f>D12*12/D$5</f>
        <v/>
      </c>
      <c r="F12" s="12">
        <f>'Monthly Detail'!I7</f>
        <v/>
      </c>
      <c r="G12" s="17">
        <f>F12*12/F$5</f>
        <v/>
      </c>
      <c r="H12" s="12">
        <f>'Monthly Detail'!G7+'Monthly Detail'!H7+'Monthly Detail'!I7</f>
        <v/>
      </c>
      <c r="I12" s="17">
        <f>H12*4/H$5</f>
        <v/>
      </c>
      <c r="J12" s="9" t="inlineStr">
        <is>
          <t>0.5% × term in months, billed at conversion.</t>
        </is>
      </c>
    </row>
    <row r="13" ht="18" customHeight="1">
      <c r="A13" s="16" t="inlineStr">
        <is>
          <t>Installment interest</t>
        </is>
      </c>
      <c r="B13" s="12">
        <f>'Monthly Detail'!G12</f>
        <v/>
      </c>
      <c r="C13" s="17">
        <f>B13*12/B$5</f>
        <v/>
      </c>
      <c r="D13" s="12">
        <f>'Monthly Detail'!H12</f>
        <v/>
      </c>
      <c r="E13" s="17">
        <f>D13*12/D$5</f>
        <v/>
      </c>
      <c r="F13" s="12">
        <f>'Monthly Detail'!I12</f>
        <v/>
      </c>
      <c r="G13" s="17">
        <f>F13*12/F$5</f>
        <v/>
      </c>
      <c r="H13" s="12">
        <f>'Monthly Detail'!G12+'Monthly Detail'!H12+'Monthly Detail'!I12</f>
        <v/>
      </c>
      <c r="I13" s="17">
        <f>H13*4/H$5</f>
        <v/>
      </c>
      <c r="J13" s="9" t="inlineStr">
        <is>
          <t>1% of plan per month of term (3% on 3 months); one charge per statement, from the first after conversion</t>
        </is>
      </c>
    </row>
    <row r="14" ht="18" customHeight="1">
      <c r="A14" s="10" t="inlineStr">
        <is>
          <t>Earned the following month — charged on the balance billed at the end of the book month</t>
        </is>
      </c>
      <c r="B14" s="11" t="n"/>
      <c r="C14" s="11" t="n"/>
      <c r="D14" s="11" t="n"/>
      <c r="E14" s="11" t="n"/>
      <c r="F14" s="11" t="n"/>
      <c r="G14" s="11" t="n"/>
      <c r="H14" s="11" t="n"/>
      <c r="I14" s="11" t="n"/>
      <c r="J14" s="11" t="n"/>
    </row>
    <row r="15" ht="18" customHeight="1">
      <c r="A15" t="inlineStr">
        <is>
          <t>Revolving interest (accrued)</t>
        </is>
      </c>
      <c r="B15" s="12">
        <f>'Monthly Detail'!H11</f>
        <v/>
      </c>
      <c r="C15" s="17">
        <f>B15*12/B$5</f>
        <v/>
      </c>
      <c r="D15" s="12">
        <f>'Monthly Detail'!I11</f>
        <v/>
      </c>
      <c r="E15" s="17">
        <f>D15*12/D$5</f>
        <v/>
      </c>
      <c r="F15" s="12">
        <f>'Monthly Detail'!J11</f>
        <v/>
      </c>
      <c r="G15" s="17">
        <f>F15*12/F$5</f>
        <v/>
      </c>
      <c r="H15" s="12">
        <f>'Monthly Detail'!H11+'Monthly Detail'!I11+'Monthly Detail'!J11</f>
        <v/>
      </c>
      <c r="I15" s="17">
        <f>H15*4/H$5</f>
        <v/>
      </c>
      <c r="J15" s="9" t="inlineStr">
        <is>
          <t>3%/month (BSP cap) on billed balances unpaid past due date; no interest until a purchase is statemented</t>
        </is>
      </c>
    </row>
    <row r="16" ht="18" customHeight="1">
      <c r="A16" t="inlineStr">
        <is>
          <t>Late payment fees</t>
        </is>
      </c>
      <c r="B16" s="12">
        <f>'Monthly Detail'!H8</f>
        <v/>
      </c>
      <c r="C16" s="17">
        <f>B16*12/B$5</f>
        <v/>
      </c>
      <c r="D16" s="12">
        <f>'Monthly Detail'!I8</f>
        <v/>
      </c>
      <c r="E16" s="17">
        <f>D16*12/D$5</f>
        <v/>
      </c>
      <c r="F16" s="12">
        <f>'Monthly Detail'!J8</f>
        <v/>
      </c>
      <c r="G16" s="17">
        <f>F16*12/F$5</f>
        <v/>
      </c>
      <c r="H16" s="12">
        <f>'Monthly Detail'!H8+'Monthly Detail'!I8+'Monthly Detail'!J8</f>
        <v/>
      </c>
      <c r="I16" s="17">
        <f>H16*4/H$5</f>
        <v/>
      </c>
      <c r="J16" s="9" t="inlineStr">
        <is>
          <t>Charged when the book month's statement is not paid by its due date.</t>
        </is>
      </c>
    </row>
    <row r="17" ht="18" customHeight="1">
      <c r="A17" s="10" t="inlineStr">
        <is>
          <t>Gross yield</t>
        </is>
      </c>
      <c r="B17" s="11" t="n"/>
      <c r="C17" s="11" t="n"/>
      <c r="D17" s="11" t="n"/>
      <c r="E17" s="11" t="n"/>
      <c r="F17" s="11" t="n"/>
      <c r="G17" s="11" t="n"/>
      <c r="H17" s="11" t="n"/>
      <c r="I17" s="11" t="n"/>
      <c r="J17" s="11" t="n"/>
    </row>
    <row r="18" ht="18" customHeight="1">
      <c r="A18" t="inlineStr">
        <is>
          <t>Interchange</t>
        </is>
      </c>
      <c r="B18" s="12">
        <f>B10</f>
        <v/>
      </c>
      <c r="C18" s="17">
        <f>C10</f>
        <v/>
      </c>
      <c r="D18" s="12">
        <f>D10</f>
        <v/>
      </c>
      <c r="E18" s="17">
        <f>E10</f>
        <v/>
      </c>
      <c r="F18" s="12">
        <f>F10</f>
        <v/>
      </c>
      <c r="G18" s="17">
        <f>G10</f>
        <v/>
      </c>
      <c r="H18" s="12">
        <f>H10</f>
        <v/>
      </c>
      <c r="I18" s="17">
        <f>I10</f>
        <v/>
      </c>
    </row>
    <row r="19" ht="18" customHeight="1">
      <c r="A19" t="inlineStr">
        <is>
          <t>Interest and fees</t>
        </is>
      </c>
      <c r="B19" s="12">
        <f>B11+B15+B16</f>
        <v/>
      </c>
      <c r="C19" s="17">
        <f>B19*12/B$5</f>
        <v/>
      </c>
      <c r="D19" s="12">
        <f>D11+D15+D16</f>
        <v/>
      </c>
      <c r="E19" s="17">
        <f>D19*12/D$5</f>
        <v/>
      </c>
      <c r="F19" s="12">
        <f>F11+F15+F16</f>
        <v/>
      </c>
      <c r="G19" s="17">
        <f>F19*12/F$5</f>
        <v/>
      </c>
      <c r="H19" s="12">
        <f>H11+H15+H16</f>
        <v/>
      </c>
      <c r="I19" s="17">
        <f>H19*4/H$5</f>
        <v/>
      </c>
      <c r="J19" s="9" t="inlineStr">
        <is>
          <t>Installments + revolving interest + late fees</t>
        </is>
      </c>
    </row>
    <row r="20" ht="18" customHeight="1">
      <c r="A20" s="18" t="inlineStr">
        <is>
          <t>Gross yield — all revenue</t>
        </is>
      </c>
      <c r="B20" s="19">
        <f>B18+B19</f>
        <v/>
      </c>
      <c r="C20" s="20">
        <f>C18+C19</f>
        <v/>
      </c>
      <c r="D20" s="19">
        <f>D18+D19</f>
        <v/>
      </c>
      <c r="E20" s="20">
        <f>E18+E19</f>
        <v/>
      </c>
      <c r="F20" s="19">
        <f>F18+F19</f>
        <v/>
      </c>
      <c r="G20" s="20">
        <f>G18+G19</f>
        <v/>
      </c>
      <c r="H20" s="19">
        <f>H18+H19</f>
        <v/>
      </c>
      <c r="I20" s="20">
        <f>I18+I19</f>
        <v/>
      </c>
      <c r="J20" s="21" t="inlineStr">
        <is>
          <t>Amount: revenue attributable to the book.</t>
        </is>
      </c>
    </row>
    <row r="21" ht="18" customHeight="1">
      <c r="A21" s="10" t="inlineStr">
        <is>
          <t>Loss on the principal the book lent</t>
        </is>
      </c>
      <c r="B21" s="11" t="n"/>
      <c r="C21" s="11" t="n"/>
      <c r="D21" s="11" t="n"/>
      <c r="E21" s="11" t="n"/>
      <c r="F21" s="11" t="n"/>
      <c r="G21" s="11" t="n"/>
      <c r="H21" s="11" t="n"/>
      <c r="I21" s="11" t="n"/>
      <c r="J21" s="11" t="n"/>
    </row>
    <row r="22" ht="18" customHeight="1">
      <c r="A22" t="inlineStr">
        <is>
          <t>Principal flow (purchase volume + pay-a-friend transfers)</t>
        </is>
      </c>
      <c r="B22" s="12">
        <f>'Monthly Detail'!G22</f>
        <v/>
      </c>
      <c r="D22" s="12">
        <f>'Monthly Detail'!H22</f>
        <v/>
      </c>
      <c r="F22" s="12">
        <f>'Monthly Detail'!I22</f>
        <v/>
      </c>
      <c r="H22" s="12">
        <f>'Monthly Detail'!G22+'Monthly Detail'!H22+'Monthly Detail'!I22</f>
        <v/>
      </c>
      <c r="J22" s="9" t="inlineStr">
        <is>
          <t>Everything that became a receivable in the month; pay-a-friend transfers earn no interchange.</t>
        </is>
      </c>
    </row>
    <row r="23" ht="18" customHeight="1">
      <c r="A23" t="inlineStr">
        <is>
          <t>Principal turnover</t>
        </is>
      </c>
      <c r="C23" s="13">
        <f>B22*12/B$5</f>
        <v/>
      </c>
      <c r="E23" s="13">
        <f>D22*12/D$5</f>
        <v/>
      </c>
      <c r="G23" s="13">
        <f>F22*12/F$5</f>
        <v/>
      </c>
      <c r="I23" s="13">
        <f>H22*4/H$5</f>
        <v/>
      </c>
      <c r="J23" s="9" t="inlineStr">
        <is>
          <t>Annualized principal flow ÷ receivables</t>
        </is>
      </c>
    </row>
    <row r="24" ht="18" customHeight="1">
      <c r="A24" t="inlineStr">
        <is>
          <t>Loss rate on originated principal — ≥90 DPD, excluding first-payment defaults</t>
        </is>
      </c>
      <c r="C24" s="14">
        <f>loss_rate_xfpd</f>
        <v/>
      </c>
      <c r="E24" s="14">
        <f>loss_rate_xfpd</f>
        <v/>
      </c>
      <c r="G24" s="14">
        <f>loss_rate_xfpd</f>
        <v/>
      </c>
      <c r="I24" s="14">
        <f>loss_rate_xfpd</f>
        <v/>
      </c>
      <c r="J24" s="9" t="inlineStr">
        <is>
          <t>Loss Rate tab: 90+ DPD ÷ principal seasoned 90 days, vintages since Jan 2026, ex-FPD, before recoveries</t>
        </is>
      </c>
    </row>
    <row r="25" ht="18" customHeight="1">
      <c r="A25" s="7" t="inlineStr">
        <is>
          <t>Loss on receivables</t>
        </is>
      </c>
      <c r="B25" s="7" t="n"/>
      <c r="C25" s="15">
        <f>C24*C23</f>
        <v/>
      </c>
      <c r="D25" s="7" t="n"/>
      <c r="E25" s="15">
        <f>E24*E23</f>
        <v/>
      </c>
      <c r="F25" s="7" t="n"/>
      <c r="G25" s="15">
        <f>G24*G23</f>
        <v/>
      </c>
      <c r="H25" s="7" t="n"/>
      <c r="I25" s="15">
        <f>I24*I23</f>
        <v/>
      </c>
      <c r="J25" s="9" t="inlineStr">
        <is>
          <t>Loss rate × principal turnover</t>
        </is>
      </c>
    </row>
    <row r="26" ht="18" customHeight="1">
      <c r="A26" s="10" t="inlineStr">
        <is>
          <t>Net yield</t>
        </is>
      </c>
      <c r="B26" s="11" t="n"/>
      <c r="C26" s="11" t="n"/>
      <c r="D26" s="11" t="n"/>
      <c r="E26" s="11" t="n"/>
      <c r="F26" s="11" t="n"/>
      <c r="G26" s="11" t="n"/>
      <c r="H26" s="11" t="n"/>
      <c r="I26" s="11" t="n"/>
      <c r="J26" s="11" t="n"/>
    </row>
    <row r="27" ht="18" customHeight="1">
      <c r="A27" s="7" t="inlineStr">
        <is>
          <t>Net yield — all revenue less loss on receivables</t>
        </is>
      </c>
      <c r="B27" s="7" t="n"/>
      <c r="C27" s="15">
        <f>C20-C25</f>
        <v/>
      </c>
      <c r="D27" s="7" t="n"/>
      <c r="E27" s="15">
        <f>E20-E25</f>
        <v/>
      </c>
      <c r="F27" s="7" t="n"/>
      <c r="G27" s="15">
        <f>G20-G25</f>
        <v/>
      </c>
      <c r="H27" s="7" t="n"/>
      <c r="I27" s="15">
        <f>I20-I25</f>
        <v/>
      </c>
      <c r="J27" s="9" t="inlineStr">
        <is>
          <t>Before operating, servicing and funding costs.</t>
        </is>
      </c>
    </row>
    <row r="28" ht="18" customHeight="1">
      <c r="A28" s="10" t="inlineStr">
        <is>
          <t>Memo — USD at 55.8</t>
        </is>
      </c>
      <c r="B28" s="11" t="n"/>
      <c r="C28" s="11" t="n"/>
      <c r="D28" s="11" t="n"/>
      <c r="E28" s="11" t="n"/>
      <c r="F28" s="11" t="n"/>
      <c r="G28" s="11" t="n"/>
      <c r="H28" s="11" t="n"/>
      <c r="I28" s="11" t="n"/>
      <c r="J28" s="11" t="n"/>
    </row>
    <row r="29" ht="18" customHeight="1">
      <c r="A29" t="inlineStr">
        <is>
          <t>Average receivables of the book month (USD)</t>
        </is>
      </c>
      <c r="B29" s="12">
        <f>B5/55.8</f>
        <v/>
      </c>
      <c r="D29" s="12">
        <f>D5/55.8</f>
        <v/>
      </c>
      <c r="F29" s="12">
        <f>F5/55.8</f>
        <v/>
      </c>
      <c r="H29" s="12">
        <f>H5/55.8</f>
        <v/>
      </c>
    </row>
    <row r="30" ht="18" customHeight="1">
      <c r="A30" t="inlineStr">
        <is>
          <t>Revenue attributable to the book (USD)</t>
        </is>
      </c>
      <c r="B30" s="12">
        <f>B20/55.8</f>
        <v/>
      </c>
      <c r="D30" s="12">
        <f>D20/55.8</f>
        <v/>
      </c>
      <c r="F30" s="12">
        <f>F20/55.8</f>
        <v/>
      </c>
      <c r="H30" s="12">
        <f>H20/55.8</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2"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2" t="n">
        <v>0</v>
      </c>
      <c r="C5" s="12" t="n">
        <v>0</v>
      </c>
      <c r="D5" s="12" t="n">
        <v>0</v>
      </c>
      <c r="E5" s="12" t="n">
        <v>0</v>
      </c>
      <c r="F5" s="12" t="n">
        <v>0</v>
      </c>
      <c r="G5" s="12" t="n">
        <v>685463.409999999</v>
      </c>
      <c r="H5" s="12" t="n">
        <v>1501634.9</v>
      </c>
      <c r="I5" s="12" t="n">
        <v>1951592.03</v>
      </c>
      <c r="J5" s="12" t="n">
        <v>2229680.03</v>
      </c>
      <c r="K5" s="12">
        <f>SUM(H5:J5)</f>
        <v/>
      </c>
    </row>
    <row r="6">
      <c r="A6" t="inlineStr">
        <is>
          <t>Installment interest</t>
        </is>
      </c>
      <c r="B6" s="12" t="n">
        <v>1316.21</v>
      </c>
      <c r="C6" s="12" t="n">
        <v>47765.48</v>
      </c>
      <c r="D6" s="12" t="n">
        <v>134016.53</v>
      </c>
      <c r="E6" s="12" t="n">
        <v>220070.96</v>
      </c>
      <c r="F6" s="12" t="n">
        <v>257582.01</v>
      </c>
      <c r="G6" s="12" t="n">
        <v>340853.06</v>
      </c>
      <c r="H6" s="12" t="n">
        <v>403236.04</v>
      </c>
      <c r="I6" s="12" t="n">
        <v>445213.13</v>
      </c>
      <c r="J6" s="12" t="n">
        <v>486325.05</v>
      </c>
      <c r="K6" s="12">
        <f>SUM(H6:J6)</f>
        <v/>
      </c>
    </row>
    <row r="7">
      <c r="A7" t="inlineStr">
        <is>
          <t>Installment upfront fees</t>
        </is>
      </c>
      <c r="B7" s="12" t="n">
        <v>2185.69</v>
      </c>
      <c r="C7" s="12" t="n">
        <v>146390.53</v>
      </c>
      <c r="D7" s="12" t="n">
        <v>291311.38</v>
      </c>
      <c r="E7" s="12" t="n">
        <v>307856.48</v>
      </c>
      <c r="F7" s="12" t="n">
        <v>320397.94</v>
      </c>
      <c r="G7" s="12" t="n">
        <v>337749.34</v>
      </c>
      <c r="H7" s="12" t="n">
        <v>290513.47</v>
      </c>
      <c r="I7" s="12" t="n">
        <v>341458.41</v>
      </c>
      <c r="J7" s="12" t="n">
        <v>439733.93</v>
      </c>
      <c r="K7" s="12">
        <f>SUM(H7:J7)</f>
        <v/>
      </c>
    </row>
    <row r="8">
      <c r="A8" t="inlineStr">
        <is>
          <t>Late payment fees</t>
        </is>
      </c>
      <c r="B8" s="12" t="n">
        <v>64707.62</v>
      </c>
      <c r="C8" s="12" t="n">
        <v>71011.07000000001</v>
      </c>
      <c r="D8" s="12" t="n">
        <v>104805.31</v>
      </c>
      <c r="E8" s="12" t="n">
        <v>138112.4</v>
      </c>
      <c r="F8" s="12" t="n">
        <v>139049.93</v>
      </c>
      <c r="G8" s="12" t="n">
        <v>84871.59</v>
      </c>
      <c r="H8" s="12" t="n">
        <v>89421.49000000001</v>
      </c>
      <c r="I8" s="12" t="n">
        <v>108174.67</v>
      </c>
      <c r="J8" s="12" t="n">
        <v>126426.4</v>
      </c>
      <c r="K8" s="12">
        <f>SUM(H8:J8)</f>
        <v/>
      </c>
    </row>
    <row r="9">
      <c r="A9" t="inlineStr">
        <is>
          <t>Interchange</t>
        </is>
      </c>
      <c r="B9" s="12" t="n">
        <v>800466.96</v>
      </c>
      <c r="C9" s="12" t="n">
        <v>864632.9299999999</v>
      </c>
      <c r="D9" s="12" t="n">
        <v>1364620.690445234</v>
      </c>
      <c r="E9" s="12" t="n">
        <v>1521533.27</v>
      </c>
      <c r="F9" s="12" t="n">
        <v>1545608.623867449</v>
      </c>
      <c r="G9" s="12" t="n">
        <v>1963194.1105</v>
      </c>
      <c r="H9" s="12" t="n">
        <v>1811444.7469</v>
      </c>
      <c r="I9" s="12" t="n">
        <v>1892210.135992006</v>
      </c>
      <c r="J9" s="12" t="n">
        <v>2630889.798</v>
      </c>
      <c r="K9" s="12">
        <f>SUM(H9:J9)</f>
        <v/>
      </c>
    </row>
    <row r="10">
      <c r="A10" t="inlineStr">
        <is>
          <t>Total revenue — billed basis (ties to management reporting)</t>
        </is>
      </c>
      <c r="B10" s="12">
        <f>SUM(B5:B9)</f>
        <v/>
      </c>
      <c r="C10" s="12">
        <f>SUM(C5:C9)</f>
        <v/>
      </c>
      <c r="D10" s="12">
        <f>SUM(D5:D9)</f>
        <v/>
      </c>
      <c r="E10" s="12">
        <f>SUM(E5:E9)</f>
        <v/>
      </c>
      <c r="F10" s="12">
        <f>SUM(F5:F9)</f>
        <v/>
      </c>
      <c r="G10" s="12">
        <f>SUM(G5:G9)</f>
        <v/>
      </c>
      <c r="H10" s="12">
        <f>SUM(H5:H9)</f>
        <v/>
      </c>
      <c r="I10" s="12">
        <f>SUM(I5:I9)</f>
        <v/>
      </c>
      <c r="J10" s="12">
        <f>SUM(J5:J9)</f>
        <v/>
      </c>
      <c r="K10" s="12">
        <f>SUM(K5:K9)</f>
        <v/>
      </c>
    </row>
    <row r="11">
      <c r="A11" t="inlineStr">
        <is>
          <t>Revolving interest — accrued (calendar month)</t>
        </is>
      </c>
      <c r="H11" s="12" t="n">
        <v>1658171.4</v>
      </c>
      <c r="I11" s="12" t="n">
        <v>2023314.88</v>
      </c>
      <c r="J11" s="12" t="n">
        <v>2282599.61</v>
      </c>
      <c r="K11" s="12">
        <f>SUM(H11:J11)</f>
        <v/>
      </c>
    </row>
    <row r="12">
      <c r="A12" t="inlineStr">
        <is>
          <t>Installment interest — allocated across cycle days (calendar month)</t>
        </is>
      </c>
      <c r="G12" s="12" t="n">
        <v>380786.2</v>
      </c>
      <c r="H12" s="12" t="n">
        <v>430644.66</v>
      </c>
      <c r="I12" s="12" t="n">
        <v>467199.88</v>
      </c>
      <c r="J12" s="12" t="n">
        <v>517295.33</v>
      </c>
      <c r="K12" s="12">
        <f>SUM(H12:J12)</f>
        <v/>
      </c>
    </row>
    <row r="13">
      <c r="A13" s="7" t="inlineStr">
        <is>
          <t>Total revenue — accrual basis (used in Yield Summary)</t>
        </is>
      </c>
      <c r="H13" s="8">
        <f>H11+H12+H7+H8+H9</f>
        <v/>
      </c>
      <c r="I13" s="8">
        <f>I11+I12+I7+I8+I9</f>
        <v/>
      </c>
      <c r="J13" s="8">
        <f>J11+J12+J7+J8+J9</f>
        <v/>
      </c>
      <c r="K13" s="8">
        <f>K11+K12+K7+K8+K9</f>
        <v/>
      </c>
    </row>
    <row r="14"/>
    <row r="15">
      <c r="A15" s="10" t="inlineStr">
        <is>
          <t>Balances and volumes</t>
        </is>
      </c>
      <c r="B15" s="11" t="n"/>
      <c r="C15" s="11" t="n"/>
      <c r="D15" s="11" t="n"/>
      <c r="E15" s="11" t="n"/>
      <c r="F15" s="11" t="n"/>
      <c r="G15" s="11" t="n"/>
      <c r="H15" s="11" t="n"/>
      <c r="I15" s="11" t="n"/>
      <c r="J15" s="11" t="n"/>
      <c r="K15" s="11" t="n"/>
    </row>
    <row r="16">
      <c r="A16" t="inlineStr">
        <is>
          <t>Average receivables outstanding</t>
        </is>
      </c>
      <c r="B16" s="12" t="n">
        <v>60876935.09</v>
      </c>
      <c r="C16" s="12" t="n">
        <v>61287125.635</v>
      </c>
      <c r="D16" s="12" t="n">
        <v>78004357.58999999</v>
      </c>
      <c r="E16" s="12" t="n">
        <v>105226683.72</v>
      </c>
      <c r="F16" s="12" t="n">
        <v>126178365.54</v>
      </c>
      <c r="G16" s="12" t="n">
        <v>143946231.47</v>
      </c>
      <c r="H16" s="12" t="n">
        <v>158604610.965</v>
      </c>
      <c r="I16" s="12" t="n">
        <v>176625299.92</v>
      </c>
      <c r="J16" s="12" t="n">
        <v>211159156.895</v>
      </c>
      <c r="K16" s="12">
        <f>AVERAGE(H16:J16)</f>
        <v/>
      </c>
    </row>
    <row r="17">
      <c r="A17" t="inlineStr">
        <is>
          <t>Average receivables outstanding, prior month (reference)</t>
        </is>
      </c>
      <c r="C17" s="12">
        <f>B16</f>
        <v/>
      </c>
      <c r="D17" s="12">
        <f>C16</f>
        <v/>
      </c>
      <c r="E17" s="12">
        <f>D16</f>
        <v/>
      </c>
      <c r="F17" s="12">
        <f>E16</f>
        <v/>
      </c>
      <c r="G17" s="12">
        <f>F16</f>
        <v/>
      </c>
      <c r="H17" s="12">
        <f>G16</f>
        <v/>
      </c>
      <c r="I17" s="12">
        <f>H16</f>
        <v/>
      </c>
      <c r="J17" s="12">
        <f>I16</f>
        <v/>
      </c>
      <c r="K17" s="12">
        <f>AVERAGE(G16:I16)</f>
        <v/>
      </c>
    </row>
    <row r="18">
      <c r="A18" t="inlineStr">
        <is>
          <t>Receivables outstanding, end of month</t>
        </is>
      </c>
      <c r="B18" s="12" t="n">
        <v>59172827.04</v>
      </c>
      <c r="C18" s="12" t="n">
        <v>63401424.23</v>
      </c>
      <c r="D18" s="12" t="n">
        <v>92607290.94999999</v>
      </c>
      <c r="E18" s="12" t="n">
        <v>117846076.49</v>
      </c>
      <c r="F18" s="12" t="n">
        <v>134510654.59</v>
      </c>
      <c r="G18" s="12" t="n">
        <v>153381808.35</v>
      </c>
      <c r="H18" s="12" t="n">
        <v>163827413.58</v>
      </c>
      <c r="I18" s="12" t="n">
        <v>189423186.26</v>
      </c>
      <c r="J18" s="12" t="n">
        <v>232895127.53</v>
      </c>
      <c r="K18" s="12">
        <f>J18</f>
        <v/>
      </c>
    </row>
    <row r="19">
      <c r="A19" t="inlineStr">
        <is>
          <t>Principal originated, statement-month basis (base on which the loss rate is measured)</t>
        </is>
      </c>
      <c r="B19" s="12" t="n">
        <v>69900973.84</v>
      </c>
      <c r="C19" s="12" t="n">
        <v>60820771.28</v>
      </c>
      <c r="D19" s="12" t="n">
        <v>89743205.59</v>
      </c>
      <c r="E19" s="12" t="n">
        <v>107115373.17</v>
      </c>
      <c r="F19" s="12" t="n">
        <v>118184976.17</v>
      </c>
      <c r="G19" s="12" t="n">
        <v>136417479.48</v>
      </c>
      <c r="H19" s="12" t="n">
        <v>140624271.71</v>
      </c>
      <c r="I19" s="12" t="n">
        <v>141888335.14</v>
      </c>
      <c r="J19" s="12" t="n">
        <v>160221212.53</v>
      </c>
      <c r="K19" s="12">
        <f>SUM(H19:J19)</f>
        <v/>
      </c>
    </row>
    <row r="20">
      <c r="A20" t="inlineStr">
        <is>
          <t>Purchase volume settled (Mastercard, net of returns)</t>
        </is>
      </c>
      <c r="B20" s="12" t="n">
        <v>59671645.156</v>
      </c>
      <c r="C20" s="12" t="n">
        <v>60642780.726</v>
      </c>
      <c r="D20" s="12" t="n">
        <v>95344566</v>
      </c>
      <c r="E20" s="12" t="n">
        <v>105947213.036</v>
      </c>
      <c r="F20" s="12" t="n">
        <v>110400244.168</v>
      </c>
      <c r="G20" s="12" t="n">
        <v>137145988.384</v>
      </c>
      <c r="H20" s="12" t="n">
        <v>127249656.88</v>
      </c>
      <c r="I20" s="12" t="n">
        <v>130388896.484</v>
      </c>
      <c r="J20" s="12" t="n">
        <v>190860991.79</v>
      </c>
      <c r="K20" s="12">
        <f>SUM(H20:J20)</f>
        <v/>
      </c>
    </row>
    <row r="21">
      <c r="A21" t="inlineStr">
        <is>
          <t>Pay-a-friend transfers (cardholder-to-cardholder, charged to the card; no interchange)</t>
        </is>
      </c>
      <c r="B21" s="12" t="n">
        <v>1060000</v>
      </c>
      <c r="C21" s="12" t="n">
        <v>980000</v>
      </c>
      <c r="D21" s="12" t="n">
        <v>1900000</v>
      </c>
      <c r="E21" s="12" t="n">
        <v>1190000</v>
      </c>
      <c r="F21" s="12" t="n">
        <v>2250000</v>
      </c>
      <c r="G21" s="12" t="n">
        <v>2040000</v>
      </c>
      <c r="H21" s="12" t="n">
        <v>2730000</v>
      </c>
      <c r="I21" s="12" t="n">
        <v>2970000</v>
      </c>
      <c r="J21" s="12" t="n">
        <v>2650000</v>
      </c>
      <c r="K21" s="12">
        <f>SUM(H21:J21)</f>
        <v/>
      </c>
    </row>
    <row r="22">
      <c r="A22" s="7" t="inlineStr">
        <is>
          <t>Principal flow (purchase volume + pay-a-friend) — calendar-month loss base</t>
        </is>
      </c>
      <c r="B22" s="12">
        <f>B20+B21</f>
        <v/>
      </c>
      <c r="C22" s="12">
        <f>C20+C21</f>
        <v/>
      </c>
      <c r="D22" s="12">
        <f>D20+D21</f>
        <v/>
      </c>
      <c r="E22" s="12">
        <f>E20+E21</f>
        <v/>
      </c>
      <c r="F22" s="12">
        <f>F20+F21</f>
        <v/>
      </c>
      <c r="G22" s="12">
        <f>G20+G21</f>
        <v/>
      </c>
      <c r="H22" s="12">
        <f>H20+H21</f>
        <v/>
      </c>
      <c r="I22" s="12">
        <f>I20+I21</f>
        <v/>
      </c>
      <c r="J22" s="12">
        <f>J20+J21</f>
        <v/>
      </c>
      <c r="K22" s="12">
        <f>K20+K21</f>
        <v/>
      </c>
    </row>
    <row r="23"/>
    <row r="24">
      <c r="A24" s="10"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1" t="n"/>
      <c r="C24" s="11" t="n"/>
      <c r="D24" s="11" t="n"/>
      <c r="E24" s="11" t="n"/>
      <c r="F24" s="11" t="n"/>
      <c r="G24" s="11" t="n"/>
      <c r="H24" s="11" t="n"/>
      <c r="I24" s="11" t="n"/>
      <c r="J24" s="11" t="n"/>
      <c r="K24" s="11"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3">
        <f>B20*12/B25/B16</f>
        <v/>
      </c>
      <c r="C29" s="13">
        <f>C20*12/C25/C16</f>
        <v/>
      </c>
      <c r="D29" s="13">
        <f>D20*12/D25/D16</f>
        <v/>
      </c>
      <c r="E29" s="13">
        <f>E20*12/E25/E16</f>
        <v/>
      </c>
      <c r="F29" s="13">
        <f>F20*12/F25/F16</f>
        <v/>
      </c>
      <c r="G29" s="13">
        <f>G20*12/G25/G16</f>
        <v/>
      </c>
      <c r="H29" s="13">
        <f>H20*12/H25/H16</f>
        <v/>
      </c>
      <c r="I29" s="13">
        <f>I20*12/I25/I16</f>
        <v/>
      </c>
    </row>
    <row r="30">
      <c r="A30" t="inlineStr">
        <is>
          <t>Interchange rate on purchase volume</t>
        </is>
      </c>
      <c r="B30" s="14">
        <f>B9/B20</f>
        <v/>
      </c>
      <c r="C30" s="14">
        <f>C9/C20</f>
        <v/>
      </c>
      <c r="D30" s="14">
        <f>D9/D20</f>
        <v/>
      </c>
      <c r="E30" s="14">
        <f>E9/E20</f>
        <v/>
      </c>
      <c r="F30" s="14">
        <f>F9/F20</f>
        <v/>
      </c>
      <c r="G30" s="14">
        <f>G9/G20</f>
        <v/>
      </c>
      <c r="H30" s="14">
        <f>H9/H20</f>
        <v/>
      </c>
      <c r="I30" s="14">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7" t="inlineStr">
        <is>
          <t>Gross yield — all revenue</t>
        </is>
      </c>
      <c r="B32" s="15">
        <f>((C5+C8)+B6+B7+B9)*12/B25/B16</f>
        <v/>
      </c>
      <c r="C32" s="15">
        <f>((D5+D8)+C6+C7+C9)*12/C25/C16</f>
        <v/>
      </c>
      <c r="D32" s="15">
        <f>((E5+E8)+D6+D7+D9)*12/D25/D16</f>
        <v/>
      </c>
      <c r="E32" s="15">
        <f>((F5+F8)+E6+E7+E9)*12/E25/E16</f>
        <v/>
      </c>
      <c r="F32" s="15">
        <f>((G5+G8)+F6+F7+F9)*12/F25/F16</f>
        <v/>
      </c>
      <c r="G32" s="15">
        <f>((H11+H8)+G12+G7+G9)*12/G25/G16</f>
        <v/>
      </c>
      <c r="H32" s="15">
        <f>((I11+I8)+H12+H7+H9)*12/H25/H16</f>
        <v/>
      </c>
      <c r="I32" s="15">
        <f>((J11+J8)+I12+I7+I9)*12/I25/I16</f>
        <v/>
      </c>
    </row>
    <row r="33">
      <c r="A33" t="inlineStr">
        <is>
          <t>Principal turnover (annualized principal flow ÷ average receivables)</t>
        </is>
      </c>
      <c r="B33" s="13">
        <f>B22*12/B25/B16</f>
        <v/>
      </c>
      <c r="C33" s="13">
        <f>C22*12/C25/C16</f>
        <v/>
      </c>
      <c r="D33" s="13">
        <f>D22*12/D25/D16</f>
        <v/>
      </c>
      <c r="E33" s="13">
        <f>E22*12/E25/E16</f>
        <v/>
      </c>
      <c r="F33" s="13">
        <f>F22*12/F25/F16</f>
        <v/>
      </c>
      <c r="G33" s="13">
        <f>G22*12/G25/G16</f>
        <v/>
      </c>
      <c r="H33" s="13">
        <f>H22*12/H25/H16</f>
        <v/>
      </c>
      <c r="I33" s="13">
        <f>I22*12/I25/I16</f>
        <v/>
      </c>
    </row>
    <row r="34"/>
    <row r="35">
      <c r="A35" s="10" t="inlineStr">
        <is>
          <t>Reference — conventional basis: all of a month's revenue over that month's own average receivables</t>
        </is>
      </c>
      <c r="B35" s="11" t="n"/>
      <c r="C35" s="11" t="n"/>
      <c r="D35" s="11" t="n"/>
      <c r="E35" s="11" t="n"/>
      <c r="F35" s="11" t="n"/>
      <c r="G35" s="11" t="n"/>
      <c r="H35" s="11" t="n"/>
      <c r="I35" s="11" t="n"/>
      <c r="J35" s="11" t="n"/>
      <c r="K35" s="11"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5" t="inlineStr">
        <is>
          <t>Origination month</t>
        </is>
      </c>
      <c r="B4" s="6" t="inlineStr">
        <is>
          <t>Accounts</t>
        </is>
      </c>
      <c r="C4" s="6" t="inlineStr">
        <is>
          <t>Principal originated</t>
        </is>
      </c>
      <c r="D4" s="6" t="inlineStr">
        <is>
          <t>Seasoned principal (due ≥90 days ago)</t>
        </is>
      </c>
      <c r="E4" s="6" t="inlineStr">
        <is>
          <t>Excluded: FPD principal 90+ DPD</t>
        </is>
      </c>
      <c r="F4" s="6" t="inlineStr">
        <is>
          <t>Denominator: seasoned, ex-FPD</t>
        </is>
      </c>
      <c r="G4" s="6" t="inlineStr">
        <is>
          <t>Numerator: 90+ DPD, ex-FPD</t>
        </is>
      </c>
      <c r="H4" s="6" t="inlineStr">
        <is>
          <t>Loss rate</t>
        </is>
      </c>
    </row>
    <row r="5">
      <c r="A5" t="inlineStr">
        <is>
          <t>Jan 2026</t>
        </is>
      </c>
      <c r="B5" s="12" t="n">
        <v>3828</v>
      </c>
      <c r="C5" s="12" t="n">
        <v>69900973.84</v>
      </c>
      <c r="D5" s="12" t="n">
        <v>69900973.84</v>
      </c>
      <c r="E5" s="12" t="n">
        <v>195035.55</v>
      </c>
      <c r="F5" s="12" t="n">
        <v>69690793.31</v>
      </c>
      <c r="G5" s="12" t="n">
        <v>1577286.85</v>
      </c>
      <c r="H5" s="14">
        <f>IF(F5=0,"not yet seasoned",G5/F5)</f>
        <v/>
      </c>
    </row>
    <row r="6">
      <c r="A6" t="inlineStr">
        <is>
          <t>Feb 2026</t>
        </is>
      </c>
      <c r="B6" s="12" t="n">
        <v>4029</v>
      </c>
      <c r="C6" s="12" t="n">
        <v>60820771.28</v>
      </c>
      <c r="D6" s="12" t="n">
        <v>60820771.28</v>
      </c>
      <c r="E6" s="12" t="n">
        <v>31366.54</v>
      </c>
      <c r="F6" s="12" t="n">
        <v>60789404.74</v>
      </c>
      <c r="G6" s="12" t="n">
        <v>685527.14</v>
      </c>
      <c r="H6" s="14">
        <f>IF(F6=0,"not yet seasoned",G6/F6)</f>
        <v/>
      </c>
    </row>
    <row r="7">
      <c r="A7" t="inlineStr">
        <is>
          <t>Mar 2026</t>
        </is>
      </c>
      <c r="B7" s="12" t="n">
        <v>5113</v>
      </c>
      <c r="C7" s="12" t="n">
        <v>89743205.59</v>
      </c>
      <c r="D7" s="12" t="n">
        <v>89743205.59</v>
      </c>
      <c r="E7" s="12" t="n">
        <v>562712.45</v>
      </c>
      <c r="F7" s="12" t="n">
        <v>89089554.73999999</v>
      </c>
      <c r="G7" s="12" t="n">
        <v>1404938.62</v>
      </c>
      <c r="H7" s="14">
        <f>IF(F7=0,"not yet seasoned",G7/F7)</f>
        <v/>
      </c>
    </row>
    <row r="8">
      <c r="A8" t="inlineStr">
        <is>
          <t>Apr 2026</t>
        </is>
      </c>
      <c r="B8" s="12" t="n">
        <v>6505</v>
      </c>
      <c r="C8" s="12" t="n">
        <v>107115373.17</v>
      </c>
      <c r="D8" s="12" t="n">
        <v>107115373.17</v>
      </c>
      <c r="E8" s="12" t="n">
        <v>911016.11</v>
      </c>
      <c r="F8" s="12" t="n">
        <v>106123235.92</v>
      </c>
      <c r="G8" s="12" t="n">
        <v>1471002.56</v>
      </c>
      <c r="H8" s="14">
        <f>IF(F8=0,"not yet seasoned",G8/F8)</f>
        <v/>
      </c>
    </row>
    <row r="9">
      <c r="A9" t="inlineStr">
        <is>
          <t>May 2026</t>
        </is>
      </c>
      <c r="B9" s="12" t="n">
        <v>7564</v>
      </c>
      <c r="C9" s="12" t="n">
        <v>118184976.17</v>
      </c>
      <c r="D9" s="12" t="n">
        <v>118184976.17</v>
      </c>
      <c r="E9" s="12" t="n">
        <v>889165.96</v>
      </c>
      <c r="F9" s="12" t="n">
        <v>117226741.83</v>
      </c>
      <c r="G9" s="12" t="n">
        <v>1061583</v>
      </c>
      <c r="H9" s="14">
        <f>IF(F9=0,"not yet seasoned",G9/F9)</f>
        <v/>
      </c>
    </row>
    <row r="10">
      <c r="A10" t="inlineStr">
        <is>
          <t>Jun 2026</t>
        </is>
      </c>
      <c r="B10" s="12" t="n">
        <v>9024</v>
      </c>
      <c r="C10" s="12" t="n">
        <v>136417479.48</v>
      </c>
      <c r="D10" s="12" t="n">
        <v>136417479.48</v>
      </c>
      <c r="E10" s="12" t="n">
        <v>499873.5</v>
      </c>
      <c r="F10" s="12" t="n">
        <v>135917605.98</v>
      </c>
      <c r="G10" s="12" t="n">
        <v>459463.31</v>
      </c>
      <c r="H10" s="14">
        <f>IF(F10=0,"not yet seasoned",G10/F10)</f>
        <v/>
      </c>
    </row>
    <row r="11">
      <c r="A11" t="inlineStr">
        <is>
          <t>Jul 2026</t>
        </is>
      </c>
      <c r="B11" s="12" t="n">
        <v>11366</v>
      </c>
      <c r="C11" s="12" t="n">
        <v>140624271.71</v>
      </c>
      <c r="D11" s="12" t="n">
        <v>0</v>
      </c>
      <c r="E11" s="12" t="n">
        <v>29390.51</v>
      </c>
      <c r="F11" s="12" t="n">
        <v>0</v>
      </c>
      <c r="G11" s="12" t="n">
        <v>8828.190000000001</v>
      </c>
      <c r="H11" s="14">
        <f>IF(F11=0,"not yet seasoned",G11/F11)</f>
        <v/>
      </c>
    </row>
    <row r="12">
      <c r="A12" t="inlineStr">
        <is>
          <t>Aug 2026</t>
        </is>
      </c>
      <c r="B12" s="12" t="n">
        <v>12347</v>
      </c>
      <c r="C12" s="12" t="n">
        <v>141888335.14</v>
      </c>
      <c r="D12" s="12" t="n">
        <v>0</v>
      </c>
      <c r="E12" s="12" t="n">
        <v>0</v>
      </c>
      <c r="F12" s="12" t="n">
        <v>0</v>
      </c>
      <c r="G12" s="12" t="n">
        <v>0</v>
      </c>
      <c r="H12" s="14">
        <f>IF(F12=0,"not yet seasoned",G12/F12)</f>
        <v/>
      </c>
    </row>
    <row r="13">
      <c r="A13" t="inlineStr">
        <is>
          <t>Sep 2026</t>
        </is>
      </c>
      <c r="B13" s="12" t="n">
        <v>13196</v>
      </c>
      <c r="C13" s="12" t="n">
        <v>160221212.53</v>
      </c>
      <c r="D13" s="12" t="n">
        <v>0</v>
      </c>
      <c r="E13" s="12" t="n">
        <v>0</v>
      </c>
      <c r="F13" s="12" t="n">
        <v>0</v>
      </c>
      <c r="G13" s="12" t="n">
        <v>0</v>
      </c>
      <c r="H13" s="14">
        <f>IF(F13=0,"not yet seasoned",G13/F13)</f>
        <v/>
      </c>
    </row>
    <row r="14">
      <c r="A14" s="18" t="inlineStr">
        <is>
          <t>Since January 2026 (all vintages above)</t>
        </is>
      </c>
      <c r="B14" s="19">
        <f>SUM(B5:B13)</f>
        <v/>
      </c>
      <c r="C14" s="19">
        <f>SUM(C5:C13)</f>
        <v/>
      </c>
      <c r="D14" s="19">
        <f>SUM(D5:D13)</f>
        <v/>
      </c>
      <c r="E14" s="19">
        <f>SUM(E5:E13)</f>
        <v/>
      </c>
      <c r="F14" s="19">
        <f>SUM(F5:F13)</f>
        <v/>
      </c>
      <c r="G14" s="19">
        <f>SUM(G5:G13)</f>
        <v/>
      </c>
      <c r="H14" s="23">
        <f>G14/F14</f>
        <v/>
      </c>
    </row>
    <row r="15"/>
    <row r="16" ht="15" customHeight="1">
      <c r="A16" s="24" t="inlineStr">
        <is>
          <t>How to read this table</t>
        </is>
      </c>
    </row>
    <row r="17" ht="48" customHeight="1">
      <c r="A17" s="25"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25"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25" t="inlineStr">
        <is>
          <t>• First-payment defaults (FPD). An account whose first statement was never paid: the cardholder spent, was billed once and made no payment at all. These are fraud and identity cases rather than credit decisions that went wrong, and they are excluded from the loss rate; the principal excluded is shown in column E so the adjustment is visible. The reason for the exclusion is exposure: receivables arising from fraud or identity misrepresentation breach the originator's representations under a receivables facility and are repurchased by the originator at par, so losses of this kind would stay with Zed rather than the facility. First-payment default — billed once, never paid — is the observable proxy Zed uses for them. The rate therefore approximates what a facility pool would experience, subject to the facility's own eligibility definitions.</t>
        </is>
      </c>
    </row>
    <row r="20" ht="48" customHeight="1">
      <c r="A20" s="25" t="inlineStr">
        <is>
          <t>• Fraud controls and their timing. Basic duplicate-applicant checks have been part of decisioning since May 2026, and the credit model released on 5 May 2026 (v2.1) sharply reduced uncoordinated first-payment default on new accounts: first-payment defaults fell from 1.2–1.5% of cards issued in February–April 2026 to 0.4% of cards issued in May–August. On 24 October 2026 Zed deployed a full suite of fraud-signal policies, informed by its review of first-payment defaults: bank account numbers shared across applicants, repeated selfie or ID images, invite-name mismatches, business-owner income verification and past-due bureau tradelines.</t>
        </is>
      </c>
    </row>
    <row r="21" ht="48" customHeight="1">
      <c r="A21" s="25" t="inlineStr">
        <is>
          <t>• Why January 2026. The current underwriting model (V2) was deployed in December 2025 and is the model that originates the portfolio today; earlier vintages were originated under the prior model.</t>
        </is>
      </c>
    </row>
  </sheetData>
  <mergeCells count="6">
    <mergeCell ref="A18:H18"/>
    <mergeCell ref="A21:H21"/>
    <mergeCell ref="A20:H20"/>
    <mergeCell ref="A16:H16"/>
    <mergeCell ref="A19:H19"/>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6" t="inlineStr">
        <is>
          <t>Scope</t>
        </is>
      </c>
      <c r="B4" s="25"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6" t="inlineStr">
        <is>
          <t>Book month (yield basis)</t>
        </is>
      </c>
      <c r="B5" s="25"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6" t="inlineStr">
        <is>
          <t>Annualization</t>
        </is>
      </c>
      <c r="B6" s="25" t="inlineStr">
        <is>
          <t>Simple: monthly amount ÷ the book month's average receivables × 12. No compounding.</t>
        </is>
      </c>
    </row>
    <row r="7" ht="105" customHeight="1">
      <c r="A7" s="26" t="inlineStr">
        <is>
          <t>Revolving interest</t>
        </is>
      </c>
      <c r="B7" s="25"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6" t="inlineStr">
        <is>
          <t>Installment interest and upfront fees</t>
        </is>
      </c>
      <c r="B8" s="25"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6" t="inlineStr">
        <is>
          <t>Late payment fees</t>
        </is>
      </c>
      <c r="B9" s="25" t="inlineStr">
        <is>
          <t>Fee billed when the minimum payment is not received by the due date.</t>
        </is>
      </c>
    </row>
    <row r="10" ht="90" customHeight="1">
      <c r="A10" s="26" t="inlineStr">
        <is>
          <t>Interchange</t>
        </is>
      </c>
      <c r="B10" s="25"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6" t="inlineStr">
        <is>
          <t>Turnover</t>
        </is>
      </c>
      <c r="B11" s="25"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6" t="inlineStr">
        <is>
          <t>Principal flow</t>
        </is>
      </c>
      <c r="B12" s="25"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6" t="inlineStr">
        <is>
          <t>Principal originated (Loss Rate tab)</t>
        </is>
      </c>
      <c r="B13" s="25"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6" t="inlineStr">
        <is>
          <t>Loss rate</t>
        </is>
      </c>
      <c r="B14" s="25"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6" t="inlineStr">
        <is>
          <t>Loss on receivables</t>
        </is>
      </c>
      <c r="B15" s="25"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6" t="inlineStr">
        <is>
          <t>Net yield</t>
        </is>
      </c>
      <c r="B16" s="25" t="inlineStr">
        <is>
          <t>Gross yield less loss on receivables. Before operating costs, servicing, processing and network costs, funding costs, taxes and FX.</t>
        </is>
      </c>
    </row>
    <row r="17" ht="60" customHeight="1">
      <c r="A17" s="26" t="inlineStr">
        <is>
          <t>Sources</t>
        </is>
      </c>
      <c r="B17" s="25"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as of 27 October 2026). September 2026 is the latest complete month.</t>
        </is>
      </c>
    </row>
    <row r="18" ht="30" customHeight="1">
      <c r="A18" s="26" t="inlineStr">
        <is>
          <t>Prepared</t>
        </is>
      </c>
      <c r="B18" s="25" t="inlineStr">
        <is>
          <t>Zed Financial, October 2026, in connection with the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2026-10-29T01:04:47Z</dcterms:created>
  <dcterms:modified xmlns:dcterms="http://purl.org/dc/terms/" xmlns:xsi="http://www.w3.org/2001/XMLSchema-instance" xsi:type="dcterms:W3CDTF">2026-10-29T01:04:47Z</dcterms:modified>
</cp:coreProperties>
</file>