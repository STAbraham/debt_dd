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3">
    <numFmt numFmtId="164" formatCode="0.0%"/>
    <numFmt numFmtId="165" formatCode="0.0&quot;x&quot;"/>
    <numFmt numFmtId="166" formatCode="0.0"/>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1" fontId="0" fillId="0" borderId="0" pivotButton="0" quotePrefix="0" xfId="0"/>
    <xf numFmtId="0" fontId="4" fillId="0" borderId="0" pivotButton="0" quotePrefix="0" xfId="0"/>
    <xf numFmtId="3" fontId="4" fillId="0" borderId="0" pivotButton="0" quotePrefix="0" xfId="0"/>
    <xf numFmtId="0" fontId="0" fillId="0" borderId="0" applyAlignment="1" pivotButton="0" quotePrefix="0" xfId="0">
      <alignment vertical="top" wrapText="1"/>
    </xf>
    <xf numFmtId="3" fontId="0" fillId="0" borderId="0" pivotButton="0" quotePrefix="0" xfId="0"/>
    <xf numFmtId="0" fontId="4" fillId="3" borderId="0" pivotButton="0" quotePrefix="0" xfId="0"/>
    <xf numFmtId="0" fontId="0" fillId="3" borderId="0" pivotButton="0" quotePrefix="0" xfId="0"/>
    <xf numFmtId="164" fontId="0" fillId="0" borderId="0" pivotButton="0" quotePrefix="0" xfId="0"/>
    <xf numFmtId="164" fontId="4" fillId="0" borderId="0" pivotButton="0" quotePrefix="0" xfId="0"/>
    <xf numFmtId="165" fontId="0" fillId="0" borderId="0" pivotButton="0" quotePrefix="0" xfId="0"/>
    <xf numFmtId="10"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top" wrapText="1"/>
    </xf>
    <xf numFmtId="166" fontId="0" fillId="0" borderId="0" pivotButton="0" quotePrefix="0" xfId="0"/>
    <xf numFmtId="10" fontId="4" fillId="4" borderId="1" pivotButton="0" quotePrefix="0" xfId="0"/>
    <xf numFmtId="0" fontId="4" fillId="0" borderId="0" applyAlignment="1" pivotButton="0" quotePrefix="0" xfId="0">
      <alignment vertical="top" wrapText="1"/>
    </xf>
    <xf numFmtId="10" fontId="0" fillId="0" borderId="0" applyAlignment="1" pivotButton="0" quotePrefix="0" xfId="0">
      <alignment horizontal="right"/>
    </xf>
    <xf numFmtId="10" fontId="4" fillId="0" borderId="0"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66" customWidth="1" min="10" max="10"/>
  </cols>
  <sheetData>
    <row r="1">
      <c r="A1" s="1" t="inlineStr">
        <is>
          <t>Zed — Portfolio yield on receivables</t>
        </is>
      </c>
    </row>
    <row r="2">
      <c r="A2" s="2" t="inlineStr">
        <is>
          <t>Gross and net yield on opening receivables, annualized. July, August and September 2026 and the quarter together. PHP; before operating, servicing and funding costs.</t>
        </is>
      </c>
    </row>
    <row r="3"/>
    <row r="4">
      <c r="A4" s="3" t="inlineStr"/>
      <c r="B4" s="3" t="inlineStr">
        <is>
          <t>Jul 2026</t>
        </is>
      </c>
      <c r="C4" s="3" t="inlineStr">
        <is>
          <t>Annualized</t>
        </is>
      </c>
      <c r="D4" s="3" t="inlineStr">
        <is>
          <t>Aug 2026</t>
        </is>
      </c>
      <c r="E4" s="3" t="inlineStr">
        <is>
          <t>Annualized</t>
        </is>
      </c>
      <c r="F4" s="3" t="inlineStr">
        <is>
          <t>Sep 2026</t>
        </is>
      </c>
      <c r="G4" s="3" t="inlineStr">
        <is>
          <t>Annualized</t>
        </is>
      </c>
      <c r="H4" s="3" t="inlineStr">
        <is>
          <t>Jul–Sep 2026</t>
        </is>
      </c>
      <c r="I4" s="3" t="inlineStr">
        <is>
          <t>Annualized</t>
        </is>
      </c>
      <c r="J4" s="3" t="inlineStr">
        <is>
          <t>Notes</t>
        </is>
      </c>
    </row>
    <row r="5">
      <c r="A5" t="inlineStr">
        <is>
          <t>Months in period</t>
        </is>
      </c>
      <c r="B5" s="4" t="n">
        <v>1</v>
      </c>
      <c r="D5" s="4" t="n">
        <v>1</v>
      </c>
      <c r="F5" s="4" t="n">
        <v>1</v>
      </c>
      <c r="H5" s="4" t="n">
        <v>3</v>
      </c>
    </row>
    <row r="6" ht="64" customHeight="1">
      <c r="A6" s="5" t="inlineStr">
        <is>
          <t>Opening receivables — prior month's average balance (denominator for all yields)</t>
        </is>
      </c>
      <c r="B6" s="6">
        <f>'Monthly Detail'!H17</f>
        <v/>
      </c>
      <c r="C6" s="5" t="n"/>
      <c r="D6" s="6">
        <f>'Monthly Detail'!I17</f>
        <v/>
      </c>
      <c r="E6" s="5" t="n"/>
      <c r="F6" s="6">
        <f>'Monthly Detail'!J17</f>
        <v/>
      </c>
      <c r="G6" s="5" t="n"/>
      <c r="H6" s="6">
        <f>'Monthly Detail'!K17</f>
        <v/>
      </c>
      <c r="I6" s="5" t="n"/>
      <c r="J6" s="7" t="inlineStr">
        <is>
          <t>The balances on the books when the month began. Interest and fees in a month are charged on balances billed at the end of the prior month (net of payments); the month's purchases, interchange and losses are the turnover of that same capital. The quarter uses the average of the three prior months (Jun–Aug).</t>
        </is>
      </c>
    </row>
    <row r="7" ht="34" customHeight="1">
      <c r="A7" t="inlineStr">
        <is>
          <t>Average receivables during the month (reference)</t>
        </is>
      </c>
      <c r="B7" s="8">
        <f>'Monthly Detail'!H16</f>
        <v/>
      </c>
      <c r="D7" s="8">
        <f>'Monthly Detail'!I16</f>
        <v/>
      </c>
      <c r="F7" s="8">
        <f>'Monthly Detail'!J16</f>
        <v/>
      </c>
      <c r="H7" s="8">
        <f>'Monthly Detail'!K16</f>
        <v/>
      </c>
      <c r="J7" s="7" t="inlineStr">
        <is>
          <t>Includes the month's own purchases, which earn no interest until billed. Yields on this base are shown at the bottom for reference; the two bases coincide when the book is not growing.</t>
        </is>
      </c>
    </row>
    <row r="8">
      <c r="A8" s="9" t="inlineStr">
        <is>
          <t>Interest and fees — charged on the opening balances</t>
        </is>
      </c>
      <c r="B8" s="10" t="n"/>
      <c r="C8" s="10" t="n"/>
      <c r="D8" s="10" t="n"/>
      <c r="E8" s="10" t="n"/>
      <c r="F8" s="10" t="n"/>
      <c r="G8" s="10" t="n"/>
      <c r="H8" s="10" t="n"/>
      <c r="I8" s="10" t="n"/>
      <c r="J8" s="10" t="n"/>
    </row>
    <row r="9" ht="34" customHeight="1">
      <c r="A9" t="inlineStr">
        <is>
          <t>Revolving interest (accrued)</t>
        </is>
      </c>
      <c r="B9" s="8">
        <f>'Monthly Detail'!H11</f>
        <v/>
      </c>
      <c r="C9" s="11">
        <f>B9*12/B$5/B$6</f>
        <v/>
      </c>
      <c r="D9" s="8">
        <f>'Monthly Detail'!I11</f>
        <v/>
      </c>
      <c r="E9" s="11">
        <f>D9*12/D$5/D$6</f>
        <v/>
      </c>
      <c r="F9" s="8">
        <f>'Monthly Detail'!J11</f>
        <v/>
      </c>
      <c r="G9" s="11">
        <f>F9*12/F$5/F$6</f>
        <v/>
      </c>
      <c r="H9" s="8">
        <f>'Monthly Detail'!K11</f>
        <v/>
      </c>
      <c r="I9" s="11">
        <f>H9*12/H$5/H$6</f>
        <v/>
      </c>
      <c r="J9" s="7" t="inlineStr">
        <is>
          <t>3% per month (BSP cap) on billed balances not paid in full by the due date. Accrual basis: each statement cycle's interest allocated across the calendar days it covers.</t>
        </is>
      </c>
    </row>
    <row r="10">
      <c r="A10" t="inlineStr">
        <is>
          <t>Installment interest (accrued)</t>
        </is>
      </c>
      <c r="B10" s="8">
        <f>'Monthly Detail'!H12</f>
        <v/>
      </c>
      <c r="C10" s="11">
        <f>B10*12/B$5/B$6</f>
        <v/>
      </c>
      <c r="D10" s="8">
        <f>'Monthly Detail'!I12</f>
        <v/>
      </c>
      <c r="E10" s="11">
        <f>D10*12/D$5/D$6</f>
        <v/>
      </c>
      <c r="F10" s="8">
        <f>'Monthly Detail'!J12</f>
        <v/>
      </c>
      <c r="G10" s="11">
        <f>F10*12/F$5/F$6</f>
        <v/>
      </c>
      <c r="H10" s="8">
        <f>'Monthly Detail'!K12</f>
        <v/>
      </c>
      <c r="I10" s="11">
        <f>H10*12/H$5/H$6</f>
        <v/>
      </c>
      <c r="J10" s="7" t="inlineStr">
        <is>
          <t>1% per month on installment balances; accrual basis.</t>
        </is>
      </c>
    </row>
    <row r="11">
      <c r="A11" t="inlineStr">
        <is>
          <t>Installment upfront fees</t>
        </is>
      </c>
      <c r="B11" s="8">
        <f>'Monthly Detail'!H7</f>
        <v/>
      </c>
      <c r="C11" s="11">
        <f>B11*12/B$5/B$6</f>
        <v/>
      </c>
      <c r="D11" s="8">
        <f>'Monthly Detail'!I7</f>
        <v/>
      </c>
      <c r="E11" s="11">
        <f>D11*12/D$5/D$6</f>
        <v/>
      </c>
      <c r="F11" s="8">
        <f>'Monthly Detail'!J7</f>
        <v/>
      </c>
      <c r="G11" s="11">
        <f>F11*12/F$5/F$6</f>
        <v/>
      </c>
      <c r="H11" s="8">
        <f>'Monthly Detail'!K7</f>
        <v/>
      </c>
      <c r="I11" s="11">
        <f>H11*12/H$5/H$6</f>
        <v/>
      </c>
      <c r="J11" s="7" t="inlineStr">
        <is>
          <t>0.5% × term in months, billed at conversion.</t>
        </is>
      </c>
    </row>
    <row r="12">
      <c r="A12" t="inlineStr">
        <is>
          <t>Late payment fees</t>
        </is>
      </c>
      <c r="B12" s="8">
        <f>'Monthly Detail'!H8</f>
        <v/>
      </c>
      <c r="C12" s="11">
        <f>B12*12/B$5/B$6</f>
        <v/>
      </c>
      <c r="D12" s="8">
        <f>'Monthly Detail'!I8</f>
        <v/>
      </c>
      <c r="E12" s="11">
        <f>D12*12/D$5/D$6</f>
        <v/>
      </c>
      <c r="F12" s="8">
        <f>'Monthly Detail'!J8</f>
        <v/>
      </c>
      <c r="G12" s="11">
        <f>F12*12/F$5/F$6</f>
        <v/>
      </c>
      <c r="H12" s="8">
        <f>'Monthly Detail'!K8</f>
        <v/>
      </c>
      <c r="I12" s="11">
        <f>H12*12/H$5/H$6</f>
        <v/>
      </c>
      <c r="J12" s="7" t="inlineStr">
        <is>
          <t>Billed when the prior statement's minimum payment is missed.</t>
        </is>
      </c>
    </row>
    <row r="13">
      <c r="A13" s="5" t="inlineStr">
        <is>
          <t>Interest and fees</t>
        </is>
      </c>
      <c r="B13" s="6">
        <f>SUM(B9:B12)</f>
        <v/>
      </c>
      <c r="C13" s="12">
        <f>B13*12/B$5/B$6</f>
        <v/>
      </c>
      <c r="D13" s="6">
        <f>SUM(D9:D12)</f>
        <v/>
      </c>
      <c r="E13" s="12">
        <f>D13*12/D$5/D$6</f>
        <v/>
      </c>
      <c r="F13" s="6">
        <f>SUM(F9:F12)</f>
        <v/>
      </c>
      <c r="G13" s="12">
        <f>F13*12/F$5/F$6</f>
        <v/>
      </c>
      <c r="H13" s="6">
        <f>SUM(H9:H12)</f>
        <v/>
      </c>
      <c r="I13" s="12">
        <f>H13*12/H$5/H$6</f>
        <v/>
      </c>
    </row>
    <row r="14"/>
    <row r="15">
      <c r="A15" s="9" t="inlineStr">
        <is>
          <t>Interchange — earned on the month's purchases, a function of turnover</t>
        </is>
      </c>
      <c r="B15" s="10" t="n"/>
      <c r="C15" s="10" t="n"/>
      <c r="D15" s="10" t="n"/>
      <c r="E15" s="10" t="n"/>
      <c r="F15" s="10" t="n"/>
      <c r="G15" s="10" t="n"/>
      <c r="H15" s="10" t="n"/>
      <c r="I15" s="10" t="n"/>
      <c r="J15" s="10" t="n"/>
    </row>
    <row r="16" ht="34" customHeight="1">
      <c r="A16" t="inlineStr">
        <is>
          <t>Purchase volume settled</t>
        </is>
      </c>
      <c r="B16" s="8">
        <f>'Monthly Detail'!H20</f>
        <v/>
      </c>
      <c r="D16" s="8">
        <f>'Monthly Detail'!I20</f>
        <v/>
      </c>
      <c r="F16" s="8">
        <f>'Monthly Detail'!J20</f>
        <v/>
      </c>
      <c r="H16" s="8">
        <f>'Monthly Detail'!K20</f>
        <v/>
      </c>
      <c r="J16" s="7" t="inlineStr">
        <is>
          <t>Cardholder purchases settled through Mastercard, net of returns.</t>
        </is>
      </c>
    </row>
    <row r="17" ht="34" customHeight="1">
      <c r="A17" t="inlineStr">
        <is>
          <t>Purchase turnover (annualized purchase volume ÷ opening receivables)</t>
        </is>
      </c>
      <c r="C17" s="13">
        <f>B16*12/B$5/B$6</f>
        <v/>
      </c>
      <c r="E17" s="13">
        <f>D16*12/D$5/D$6</f>
        <v/>
      </c>
      <c r="G17" s="13">
        <f>F16*12/F$5/F$6</f>
        <v/>
      </c>
      <c r="I17" s="13">
        <f>H16*12/H$5/H$6</f>
        <v/>
      </c>
      <c r="J17" s="7" t="inlineStr">
        <is>
          <t>How many times a year the opening book is re-spent. Falls as more of the book revolves.</t>
        </is>
      </c>
    </row>
    <row r="18" ht="34" customHeight="1">
      <c r="A18" t="inlineStr">
        <is>
          <t>Interchange rate on purchase volume</t>
        </is>
      </c>
      <c r="C18" s="14">
        <f>B19/B16</f>
        <v/>
      </c>
      <c r="E18" s="14">
        <f>D19/D16</f>
        <v/>
      </c>
      <c r="G18" s="14">
        <f>F19/F16</f>
        <v/>
      </c>
      <c r="I18" s="14">
        <f>H19/H16</f>
        <v/>
      </c>
      <c r="J18" s="7" t="inlineStr">
        <is>
          <t>Set by Mastercard by merchant category and domestic/foreign; gross of network and processing costs.</t>
        </is>
      </c>
    </row>
    <row r="19" ht="64" customHeight="1">
      <c r="A19" s="5" t="inlineStr">
        <is>
          <t>Interchange income</t>
        </is>
      </c>
      <c r="B19" s="6">
        <f>'Monthly Detail'!H9</f>
        <v/>
      </c>
      <c r="C19" s="12">
        <f>C18*C17</f>
        <v/>
      </c>
      <c r="D19" s="6">
        <f>'Monthly Detail'!I9</f>
        <v/>
      </c>
      <c r="E19" s="12">
        <f>E18*E17</f>
        <v/>
      </c>
      <c r="F19" s="6">
        <f>'Monthly Detail'!J9</f>
        <v/>
      </c>
      <c r="G19" s="12">
        <f>G18*G17</f>
        <v/>
      </c>
      <c r="H19" s="6">
        <f>'Monthly Detail'!K9</f>
        <v/>
      </c>
      <c r="I19" s="12">
        <f>I18*I17</f>
        <v/>
      </c>
      <c r="J19" s="7" t="inlineStr">
        <is>
          <t>Yield = interchange rate × purchase turnover. Mastercard settles each purchase to the merchant net of interchange and the cardholder is billed the full amount, so interchange is collected through cardholder payments. Earned once, when the receivable is created; a balance that then revolves earns interest, not further interchange.</t>
        </is>
      </c>
    </row>
    <row r="20"/>
    <row r="21">
      <c r="A21" s="9" t="inlineStr">
        <is>
          <t>Gross yield (annualized, on opening receivables)</t>
        </is>
      </c>
      <c r="B21" s="10" t="n"/>
      <c r="C21" s="10" t="n"/>
      <c r="D21" s="10" t="n"/>
      <c r="E21" s="10" t="n"/>
      <c r="F21" s="10" t="n"/>
      <c r="G21" s="10" t="n"/>
      <c r="H21" s="10" t="n"/>
      <c r="I21" s="10" t="n"/>
      <c r="J21" s="10" t="n"/>
    </row>
    <row r="22">
      <c r="A22" t="inlineStr">
        <is>
          <t>Gross yield — interest and fees</t>
        </is>
      </c>
      <c r="C22" s="11">
        <f>C13</f>
        <v/>
      </c>
      <c r="E22" s="11">
        <f>E13</f>
        <v/>
      </c>
      <c r="G22" s="11">
        <f>G13</f>
        <v/>
      </c>
      <c r="I22" s="11">
        <f>I13</f>
        <v/>
      </c>
    </row>
    <row r="23" ht="34" customHeight="1">
      <c r="A23" s="15" t="inlineStr">
        <is>
          <t>Gross yield — all revenue, including interchange</t>
        </is>
      </c>
      <c r="B23" s="16">
        <f>B13+B19</f>
        <v/>
      </c>
      <c r="C23" s="17">
        <f>C13+C19</f>
        <v/>
      </c>
      <c r="D23" s="16">
        <f>D13+D19</f>
        <v/>
      </c>
      <c r="E23" s="17">
        <f>E13+E19</f>
        <v/>
      </c>
      <c r="F23" s="16">
        <f>F13+F19</f>
        <v/>
      </c>
      <c r="G23" s="17">
        <f>G13+G19</f>
        <v/>
      </c>
      <c r="H23" s="16">
        <f>H13+H19</f>
        <v/>
      </c>
      <c r="I23" s="17">
        <f>I13+I19</f>
        <v/>
      </c>
      <c r="J23" s="18" t="inlineStr">
        <is>
          <t>Amount column: total revenue for the period on the accrual basis (Monthly Detail).</t>
        </is>
      </c>
    </row>
    <row r="24"/>
    <row r="25">
      <c r="A25" s="9" t="inlineStr">
        <is>
          <t>Loss on receivables — a function of turnover</t>
        </is>
      </c>
      <c r="B25" s="10" t="n"/>
      <c r="C25" s="10" t="n"/>
      <c r="D25" s="10" t="n"/>
      <c r="E25" s="10" t="n"/>
      <c r="F25" s="10" t="n"/>
      <c r="G25" s="10" t="n"/>
      <c r="H25" s="10" t="n"/>
      <c r="I25" s="10" t="n"/>
      <c r="J25" s="10" t="n"/>
    </row>
    <row r="26" ht="34" customHeight="1">
      <c r="A26" t="inlineStr">
        <is>
          <t>Principal flow in period (purchase volume + pay-a-friend transfers)</t>
        </is>
      </c>
      <c r="B26" s="8">
        <f>'Monthly Detail'!H22</f>
        <v/>
      </c>
      <c r="D26" s="8">
        <f>'Monthly Detail'!I22</f>
        <v/>
      </c>
      <c r="F26" s="8">
        <f>'Monthly Detail'!J22</f>
        <v/>
      </c>
      <c r="H26" s="8">
        <f>'Monthly Detail'!K22</f>
        <v/>
      </c>
      <c r="J26" s="7" t="inlineStr">
        <is>
          <t>Everything that became a receivable in the month: Mastercard purchases net of returns plus pay-a-friend transfers (which earn no interchange).</t>
        </is>
      </c>
    </row>
    <row r="27" ht="64" customHeight="1">
      <c r="A27" t="inlineStr">
        <is>
          <t>Principal turnover (annualized principal flow ÷ opening receivables)</t>
        </is>
      </c>
      <c r="C27" s="13">
        <f>B26*12/B$5/B$6</f>
        <v/>
      </c>
      <c r="E27" s="13">
        <f>D26*12/D$5/D$6</f>
        <v/>
      </c>
      <c r="G27" s="13">
        <f>F26*12/F$5/F$6</f>
        <v/>
      </c>
      <c r="I27" s="13">
        <f>H26*12/H$5/H$6</f>
        <v/>
      </c>
      <c r="J27" s="7" t="inlineStr">
        <is>
          <t>Each peso of opening receivables is re-lent several times a year, so a loss rate on originations must be multiplied by turnover to compare it with a yield on balances. Differs from purchase turnover only by pay-a-friend.</t>
        </is>
      </c>
    </row>
    <row r="28" ht="80" customHeight="1">
      <c r="A28" t="inlineStr">
        <is>
          <t>Loss rate on originated principal — ≥90 DPD, excluding first-payment defaults</t>
        </is>
      </c>
      <c r="C28" s="14">
        <f>loss_rate_xfpd</f>
        <v/>
      </c>
      <c r="E28" s="14">
        <f>loss_rate_xfpd</f>
        <v/>
      </c>
      <c r="G28" s="14">
        <f>loss_rate_xfpd</f>
        <v/>
      </c>
      <c r="I28" s="14">
        <f>loss_rate_xfpd</f>
        <v/>
      </c>
      <c r="J28" s="7" t="inlineStr">
        <is>
          <t>See the Loss Rate tab. Principal 90+ days past due ÷ originated principal on statements whose due date is ≥90 days old, vintages since January 2026, gross of recoveries; first-payment-default accounts (never made a payment; fraud/identity rather than credit) excluded from numerator and denominator. The same rate is applied to every period.</t>
        </is>
      </c>
    </row>
    <row r="29">
      <c r="A29" s="5" t="inlineStr">
        <is>
          <t>Loss on receivables (loss rate × principal turnover)</t>
        </is>
      </c>
      <c r="B29" s="5" t="n"/>
      <c r="C29" s="12">
        <f>C28*C27</f>
        <v/>
      </c>
      <c r="D29" s="5" t="n"/>
      <c r="E29" s="12">
        <f>E28*E27</f>
        <v/>
      </c>
      <c r="F29" s="5" t="n"/>
      <c r="G29" s="12">
        <f>G28*G27</f>
        <v/>
      </c>
      <c r="H29" s="5" t="n"/>
      <c r="I29" s="12">
        <f>I28*I27</f>
        <v/>
      </c>
    </row>
    <row r="30"/>
    <row r="31">
      <c r="A31" s="9" t="inlineStr">
        <is>
          <t>Net yield</t>
        </is>
      </c>
      <c r="B31" s="10" t="n"/>
      <c r="C31" s="10" t="n"/>
      <c r="D31" s="10" t="n"/>
      <c r="E31" s="10" t="n"/>
      <c r="F31" s="10" t="n"/>
      <c r="G31" s="10" t="n"/>
      <c r="H31" s="10" t="n"/>
      <c r="I31" s="10" t="n"/>
      <c r="J31" s="10" t="n"/>
    </row>
    <row r="32">
      <c r="A32" s="5" t="inlineStr">
        <is>
          <t>Net yield — all revenue less loss on receivables</t>
        </is>
      </c>
      <c r="B32" s="5" t="n"/>
      <c r="C32" s="12">
        <f>C23-C29</f>
        <v/>
      </c>
      <c r="D32" s="5" t="n"/>
      <c r="E32" s="12">
        <f>E23-E29</f>
        <v/>
      </c>
      <c r="F32" s="5" t="n"/>
      <c r="G32" s="12">
        <f>G23-G29</f>
        <v/>
      </c>
      <c r="H32" s="5" t="n"/>
      <c r="I32" s="12">
        <f>I23-I29</f>
        <v/>
      </c>
      <c r="J32" s="7" t="inlineStr">
        <is>
          <t>Before operating, servicing and funding costs.</t>
        </is>
      </c>
    </row>
    <row r="33"/>
    <row r="34">
      <c r="A34" s="9" t="inlineStr">
        <is>
          <t>Reference</t>
        </is>
      </c>
      <c r="B34" s="10" t="n"/>
      <c r="C34" s="10" t="n"/>
      <c r="D34" s="10" t="n"/>
      <c r="E34" s="10" t="n"/>
      <c r="F34" s="10" t="n"/>
      <c r="G34" s="10" t="n"/>
      <c r="H34" s="10" t="n"/>
      <c r="I34" s="10" t="n"/>
      <c r="J34" s="10" t="n"/>
    </row>
    <row r="35" ht="34" customHeight="1">
      <c r="A35" t="inlineStr">
        <is>
          <t>Interest and fees, billed basis (statements closing in the month) ÷ opening receivables</t>
        </is>
      </c>
      <c r="B35" s="8">
        <f>'Monthly Detail'!H5+'Monthly Detail'!H6+'Monthly Detail'!H7+'Monthly Detail'!H8</f>
        <v/>
      </c>
      <c r="C35" s="11">
        <f>B35*12/B$5/B$6</f>
        <v/>
      </c>
      <c r="D35" s="8">
        <f>'Monthly Detail'!I5+'Monthly Detail'!I6+'Monthly Detail'!I7+'Monthly Detail'!I8</f>
        <v/>
      </c>
      <c r="E35" s="11">
        <f>D35*12/D$5/D$6</f>
        <v/>
      </c>
      <c r="F35" s="8">
        <f>'Monthly Detail'!J5+'Monthly Detail'!J6+'Monthly Detail'!J7+'Monthly Detail'!J8</f>
        <v/>
      </c>
      <c r="G35" s="11">
        <f>F35*12/F$5/F$6</f>
        <v/>
      </c>
      <c r="H35" s="8">
        <f>'Monthly Detail'!K5+'Monthly Detail'!K6+'Monthly Detail'!K7+'Monthly Detail'!K8</f>
        <v/>
      </c>
      <c r="I35" s="11">
        <f>H35*12/H$5/H$6</f>
        <v/>
      </c>
      <c r="J35" s="7" t="inlineStr">
        <is>
          <t>Management reporting basis for the same lines; lower than accrued in a growing book because the 14th-close cycles lag the calendar month by about two weeks.</t>
        </is>
      </c>
    </row>
    <row r="36" ht="34" customHeight="1">
      <c r="A36" t="inlineStr">
        <is>
          <t>Gross yield on the month's own average receivables</t>
        </is>
      </c>
      <c r="C36" s="11">
        <f>B23*12/B$5/B$7</f>
        <v/>
      </c>
      <c r="E36" s="11">
        <f>D23*12/D$5/D$7</f>
        <v/>
      </c>
      <c r="G36" s="11">
        <f>F23*12/F$5/F$7</f>
        <v/>
      </c>
      <c r="I36" s="11">
        <f>H23*12/H$5/H$7</f>
        <v/>
      </c>
      <c r="J36" s="7" t="inlineStr">
        <is>
          <t>Same revenue over the month's own average balance (row 7).</t>
        </is>
      </c>
    </row>
    <row r="37">
      <c r="A37" t="inlineStr">
        <is>
          <t>Net yield on the month's own average receivables</t>
        </is>
      </c>
      <c r="C37" s="11">
        <f>C36-C28*B26*12/B$5/B$7</f>
        <v/>
      </c>
      <c r="E37" s="11">
        <f>E36-E28*D26*12/D$5/D$7</f>
        <v/>
      </c>
      <c r="G37" s="11">
        <f>G36-G28*F26*12/F$5/F$7</f>
        <v/>
      </c>
      <c r="I37" s="11">
        <f>I36-I28*H26*12/H$5/H$7</f>
        <v/>
      </c>
    </row>
    <row r="38"/>
    <row r="39">
      <c r="A39" s="9" t="inlineStr">
        <is>
          <t>Memo — USD equivalents</t>
        </is>
      </c>
      <c r="B39" s="10" t="n"/>
      <c r="C39" s="10" t="n"/>
      <c r="D39" s="10" t="n"/>
      <c r="E39" s="10" t="n"/>
      <c r="F39" s="10" t="n"/>
      <c r="G39" s="10" t="n"/>
      <c r="H39" s="10" t="n"/>
      <c r="I39" s="10" t="n"/>
      <c r="J39" s="10" t="n"/>
    </row>
    <row r="40">
      <c r="A40" t="inlineStr">
        <is>
          <t>PHP per USD</t>
        </is>
      </c>
      <c r="B40" s="19" t="n">
        <v>55.8</v>
      </c>
      <c r="D40" s="19" t="n">
        <v>55.8</v>
      </c>
      <c r="F40" s="19" t="n">
        <v>55.8</v>
      </c>
      <c r="H40" s="19" t="n">
        <v>55.8</v>
      </c>
    </row>
    <row r="41">
      <c r="A41" t="inlineStr">
        <is>
          <t>Opening receivables (USD)</t>
        </is>
      </c>
      <c r="B41" s="8">
        <f>B6/B40</f>
        <v/>
      </c>
      <c r="D41" s="8">
        <f>D6/D40</f>
        <v/>
      </c>
      <c r="F41" s="8">
        <f>F6/F40</f>
        <v/>
      </c>
      <c r="H41" s="8">
        <f>H6/H40</f>
        <v/>
      </c>
    </row>
    <row r="42">
      <c r="A42" t="inlineStr">
        <is>
          <t>Total revenue (USD)</t>
        </is>
      </c>
      <c r="B42" s="8">
        <f>B23/B40</f>
        <v/>
      </c>
      <c r="D42" s="8">
        <f>D23/D40</f>
        <v/>
      </c>
      <c r="F42" s="8">
        <f>F23/F40</f>
        <v/>
      </c>
      <c r="H42" s="8">
        <f>H23/H40</f>
        <v/>
      </c>
    </row>
    <row r="43">
      <c r="A43" t="inlineStr">
        <is>
          <t>Principal flow (USD)</t>
        </is>
      </c>
      <c r="B43" s="8">
        <f>B26/B40</f>
        <v/>
      </c>
      <c r="D43" s="8">
        <f>D26/D40</f>
        <v/>
      </c>
      <c r="F43" s="8">
        <f>F26/F40</f>
        <v/>
      </c>
      <c r="H43" s="8">
        <f>H26/H40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 t="inlineStr">
        <is>
          <t>PHP. Revenue is recognised in the month billed (interest and fees) or settled (interchange). Yields are annualized simply: month ÷ average receivables × 12.</t>
        </is>
      </c>
    </row>
    <row r="3"/>
    <row r="4">
      <c r="A4" s="3" t="inlineStr">
        <is>
          <t>Line</t>
        </is>
      </c>
      <c r="B4" s="3" t="inlineStr">
        <is>
          <t>Jan 2026</t>
        </is>
      </c>
      <c r="C4" s="3" t="inlineStr">
        <is>
          <t>Feb 2026</t>
        </is>
      </c>
      <c r="D4" s="3" t="inlineStr">
        <is>
          <t>Mar 2026</t>
        </is>
      </c>
      <c r="E4" s="3" t="inlineStr">
        <is>
          <t>Apr 2026</t>
        </is>
      </c>
      <c r="F4" s="3" t="inlineStr">
        <is>
          <t>May 2026</t>
        </is>
      </c>
      <c r="G4" s="3" t="inlineStr">
        <is>
          <t>Jun 2026</t>
        </is>
      </c>
      <c r="H4" s="3" t="inlineStr">
        <is>
          <t>Jul 2026</t>
        </is>
      </c>
      <c r="I4" s="3" t="inlineStr">
        <is>
          <t>Aug 2026</t>
        </is>
      </c>
      <c r="J4" s="3" t="inlineStr">
        <is>
          <t>Sep 2026</t>
        </is>
      </c>
      <c r="K4" s="3" t="inlineStr">
        <is>
          <t>Jul–Sep 2026</t>
        </is>
      </c>
    </row>
    <row r="5">
      <c r="A5" t="inlineStr">
        <is>
          <t>Revolving interest</t>
        </is>
      </c>
      <c r="B5" s="8" t="n">
        <v>0</v>
      </c>
      <c r="C5" s="8" t="n">
        <v>0</v>
      </c>
      <c r="D5" s="8" t="n">
        <v>0</v>
      </c>
      <c r="E5" s="8" t="n">
        <v>0</v>
      </c>
      <c r="F5" s="8" t="n">
        <v>0</v>
      </c>
      <c r="G5" s="8" t="n">
        <v>685463.409999999</v>
      </c>
      <c r="H5" s="8" t="n">
        <v>1501634.9</v>
      </c>
      <c r="I5" s="8" t="n">
        <v>1951592.03</v>
      </c>
      <c r="J5" s="8" t="n">
        <v>2229680.03</v>
      </c>
      <c r="K5" s="8">
        <f>SUM(H5:J5)</f>
        <v/>
      </c>
    </row>
    <row r="6">
      <c r="A6" t="inlineStr">
        <is>
          <t>Installment interest</t>
        </is>
      </c>
      <c r="B6" s="8" t="n">
        <v>1316.21</v>
      </c>
      <c r="C6" s="8" t="n">
        <v>47765.48</v>
      </c>
      <c r="D6" s="8" t="n">
        <v>134016.53</v>
      </c>
      <c r="E6" s="8" t="n">
        <v>220070.96</v>
      </c>
      <c r="F6" s="8" t="n">
        <v>257582.01</v>
      </c>
      <c r="G6" s="8" t="n">
        <v>340853.06</v>
      </c>
      <c r="H6" s="8" t="n">
        <v>403236.04</v>
      </c>
      <c r="I6" s="8" t="n">
        <v>445213.13</v>
      </c>
      <c r="J6" s="8" t="n">
        <v>486325.05</v>
      </c>
      <c r="K6" s="8">
        <f>SUM(H6:J6)</f>
        <v/>
      </c>
    </row>
    <row r="7">
      <c r="A7" t="inlineStr">
        <is>
          <t>Installment upfront fees</t>
        </is>
      </c>
      <c r="B7" s="8" t="n">
        <v>2185.69</v>
      </c>
      <c r="C7" s="8" t="n">
        <v>146390.53</v>
      </c>
      <c r="D7" s="8" t="n">
        <v>291311.38</v>
      </c>
      <c r="E7" s="8" t="n">
        <v>307856.48</v>
      </c>
      <c r="F7" s="8" t="n">
        <v>320397.94</v>
      </c>
      <c r="G7" s="8" t="n">
        <v>337749.34</v>
      </c>
      <c r="H7" s="8" t="n">
        <v>290513.47</v>
      </c>
      <c r="I7" s="8" t="n">
        <v>341458.41</v>
      </c>
      <c r="J7" s="8" t="n">
        <v>439733.93</v>
      </c>
      <c r="K7" s="8">
        <f>SUM(H7:J7)</f>
        <v/>
      </c>
    </row>
    <row r="8">
      <c r="A8" t="inlineStr">
        <is>
          <t>Late payment fees</t>
        </is>
      </c>
      <c r="B8" s="8" t="n">
        <v>64707.62</v>
      </c>
      <c r="C8" s="8" t="n">
        <v>71011.07000000001</v>
      </c>
      <c r="D8" s="8" t="n">
        <v>104805.31</v>
      </c>
      <c r="E8" s="8" t="n">
        <v>138112.4</v>
      </c>
      <c r="F8" s="8" t="n">
        <v>139049.93</v>
      </c>
      <c r="G8" s="8" t="n">
        <v>84871.59</v>
      </c>
      <c r="H8" s="8" t="n">
        <v>89421.49000000001</v>
      </c>
      <c r="I8" s="8" t="n">
        <v>108174.67</v>
      </c>
      <c r="J8" s="8" t="n">
        <v>126426.4</v>
      </c>
      <c r="K8" s="8">
        <f>SUM(H8:J8)</f>
        <v/>
      </c>
    </row>
    <row r="9">
      <c r="A9" t="inlineStr">
        <is>
          <t>Interchange</t>
        </is>
      </c>
      <c r="B9" s="8" t="n">
        <v>800466.96</v>
      </c>
      <c r="C9" s="8" t="n">
        <v>864632.9299999999</v>
      </c>
      <c r="D9" s="8" t="n">
        <v>1364620.690445234</v>
      </c>
      <c r="E9" s="8" t="n">
        <v>1521533.27</v>
      </c>
      <c r="F9" s="8" t="n">
        <v>1545608.623867449</v>
      </c>
      <c r="G9" s="8" t="n">
        <v>1963194.1105</v>
      </c>
      <c r="H9" s="8" t="n">
        <v>1811444.7469</v>
      </c>
      <c r="I9" s="8" t="n">
        <v>1892210.135992006</v>
      </c>
      <c r="J9" s="8" t="n">
        <v>2630889.798</v>
      </c>
      <c r="K9" s="8">
        <f>SUM(H9:J9)</f>
        <v/>
      </c>
    </row>
    <row r="10">
      <c r="A10" t="inlineStr">
        <is>
          <t>Total revenue — billed basis (ties to management reporting)</t>
        </is>
      </c>
      <c r="B10" s="8">
        <f>SUM(B5:B9)</f>
        <v/>
      </c>
      <c r="C10" s="8">
        <f>SUM(C5:C9)</f>
        <v/>
      </c>
      <c r="D10" s="8">
        <f>SUM(D5:D9)</f>
        <v/>
      </c>
      <c r="E10" s="8">
        <f>SUM(E5:E9)</f>
        <v/>
      </c>
      <c r="F10" s="8">
        <f>SUM(F5:F9)</f>
        <v/>
      </c>
      <c r="G10" s="8">
        <f>SUM(G5:G9)</f>
        <v/>
      </c>
      <c r="H10" s="8">
        <f>SUM(H5:H9)</f>
        <v/>
      </c>
      <c r="I10" s="8">
        <f>SUM(I5:I9)</f>
        <v/>
      </c>
      <c r="J10" s="8">
        <f>SUM(J5:J9)</f>
        <v/>
      </c>
      <c r="K10" s="8">
        <f>SUM(K5:K9)</f>
        <v/>
      </c>
    </row>
    <row r="11">
      <c r="A11" t="inlineStr">
        <is>
          <t>Revolving interest — accrued (calendar month)</t>
        </is>
      </c>
      <c r="H11" s="8" t="n">
        <v>1658171.4</v>
      </c>
      <c r="I11" s="8" t="n">
        <v>2023314.88</v>
      </c>
      <c r="J11" s="8" t="n">
        <v>2282599.61</v>
      </c>
      <c r="K11" s="8">
        <f>SUM(H11:J11)</f>
        <v/>
      </c>
    </row>
    <row r="12">
      <c r="A12" t="inlineStr">
        <is>
          <t>Installment interest — accrued (calendar month)</t>
        </is>
      </c>
      <c r="H12" s="8" t="n">
        <v>430644.66</v>
      </c>
      <c r="I12" s="8" t="n">
        <v>467199.88</v>
      </c>
      <c r="J12" s="8" t="n">
        <v>517295.33</v>
      </c>
      <c r="K12" s="8">
        <f>SUM(H12:J12)</f>
        <v/>
      </c>
    </row>
    <row r="13">
      <c r="A13" s="5" t="inlineStr">
        <is>
          <t>Total revenue — accrual basis (used in Yield Summary)</t>
        </is>
      </c>
      <c r="H13" s="6">
        <f>H11+H12+H7+H8+H9</f>
        <v/>
      </c>
      <c r="I13" s="6">
        <f>I11+I12+I7+I8+I9</f>
        <v/>
      </c>
      <c r="J13" s="6">
        <f>J11+J12+J7+J8+J9</f>
        <v/>
      </c>
      <c r="K13" s="6">
        <f>K11+K12+K7+K8+K9</f>
        <v/>
      </c>
    </row>
    <row r="14"/>
    <row r="15">
      <c r="A15" s="9" t="inlineStr">
        <is>
          <t>Balances and volumes</t>
        </is>
      </c>
      <c r="B15" s="10" t="n"/>
      <c r="C15" s="10" t="n"/>
      <c r="D15" s="10" t="n"/>
      <c r="E15" s="10" t="n"/>
      <c r="F15" s="10" t="n"/>
      <c r="G15" s="10" t="n"/>
      <c r="H15" s="10" t="n"/>
      <c r="I15" s="10" t="n"/>
      <c r="J15" s="10" t="n"/>
      <c r="K15" s="10" t="n"/>
    </row>
    <row r="16">
      <c r="A16" t="inlineStr">
        <is>
          <t>Average receivables outstanding</t>
        </is>
      </c>
      <c r="B16" s="8" t="n">
        <v>60876935.09</v>
      </c>
      <c r="C16" s="8" t="n">
        <v>61287125.635</v>
      </c>
      <c r="D16" s="8" t="n">
        <v>78004357.58999999</v>
      </c>
      <c r="E16" s="8" t="n">
        <v>105226683.72</v>
      </c>
      <c r="F16" s="8" t="n">
        <v>126178365.54</v>
      </c>
      <c r="G16" s="8" t="n">
        <v>143946231.47</v>
      </c>
      <c r="H16" s="8" t="n">
        <v>158604610.965</v>
      </c>
      <c r="I16" s="8" t="n">
        <v>176625299.92</v>
      </c>
      <c r="J16" s="8" t="n">
        <v>211159156.895</v>
      </c>
      <c r="K16" s="8">
        <f>AVERAGE(H16:J16)</f>
        <v/>
      </c>
    </row>
    <row r="17">
      <c r="A17" s="5" t="inlineStr">
        <is>
          <t>Opening receivables — prior month's average balance (the balances on the books when the month began; denominator for all yields)</t>
        </is>
      </c>
      <c r="C17" s="8">
        <f>B16</f>
        <v/>
      </c>
      <c r="D17" s="8">
        <f>C16</f>
        <v/>
      </c>
      <c r="E17" s="8">
        <f>D16</f>
        <v/>
      </c>
      <c r="F17" s="8">
        <f>E16</f>
        <v/>
      </c>
      <c r="G17" s="8">
        <f>F16</f>
        <v/>
      </c>
      <c r="H17" s="8">
        <f>G16</f>
        <v/>
      </c>
      <c r="I17" s="8">
        <f>H16</f>
        <v/>
      </c>
      <c r="J17" s="8">
        <f>I16</f>
        <v/>
      </c>
      <c r="K17" s="8">
        <f>AVERAGE(G16:I16)</f>
        <v/>
      </c>
    </row>
    <row r="18">
      <c r="A18" t="inlineStr">
        <is>
          <t>Receivables outstanding, end of month</t>
        </is>
      </c>
      <c r="B18" s="8" t="n">
        <v>59172827.04</v>
      </c>
      <c r="C18" s="8" t="n">
        <v>63401424.23</v>
      </c>
      <c r="D18" s="8" t="n">
        <v>92607290.94999999</v>
      </c>
      <c r="E18" s="8" t="n">
        <v>117846076.49</v>
      </c>
      <c r="F18" s="8" t="n">
        <v>134510654.59</v>
      </c>
      <c r="G18" s="8" t="n">
        <v>153381808.35</v>
      </c>
      <c r="H18" s="8" t="n">
        <v>163827413.58</v>
      </c>
      <c r="I18" s="8" t="n">
        <v>189423186.26</v>
      </c>
      <c r="J18" s="8" t="n">
        <v>232895127.53</v>
      </c>
      <c r="K18" s="8">
        <f>J18</f>
        <v/>
      </c>
    </row>
    <row r="19">
      <c r="A19" t="inlineStr">
        <is>
          <t>Principal originated, statement-month basis (base on which the loss rate is measured)</t>
        </is>
      </c>
      <c r="B19" s="8" t="n">
        <v>69900973.84</v>
      </c>
      <c r="C19" s="8" t="n">
        <v>60820771.28</v>
      </c>
      <c r="D19" s="8" t="n">
        <v>89743205.59</v>
      </c>
      <c r="E19" s="8" t="n">
        <v>107115373.17</v>
      </c>
      <c r="F19" s="8" t="n">
        <v>118184976.17</v>
      </c>
      <c r="G19" s="8" t="n">
        <v>136417479.48</v>
      </c>
      <c r="H19" s="8" t="n">
        <v>140624271.71</v>
      </c>
      <c r="I19" s="8" t="n">
        <v>141888335.14</v>
      </c>
      <c r="J19" s="8" t="n">
        <v>160221212.53</v>
      </c>
      <c r="K19" s="8">
        <f>SUM(H19:J19)</f>
        <v/>
      </c>
    </row>
    <row r="20">
      <c r="A20" t="inlineStr">
        <is>
          <t>Purchase volume settled (Mastercard, net of returns)</t>
        </is>
      </c>
      <c r="B20" s="8" t="n">
        <v>59671645.156</v>
      </c>
      <c r="C20" s="8" t="n">
        <v>60642780.726</v>
      </c>
      <c r="D20" s="8" t="n">
        <v>95344566</v>
      </c>
      <c r="E20" s="8" t="n">
        <v>105947213.036</v>
      </c>
      <c r="F20" s="8" t="n">
        <v>110400244.168</v>
      </c>
      <c r="G20" s="8" t="n">
        <v>137145988.384</v>
      </c>
      <c r="H20" s="8" t="n">
        <v>127249656.88</v>
      </c>
      <c r="I20" s="8" t="n">
        <v>130388896.484</v>
      </c>
      <c r="J20" s="8" t="n">
        <v>190860991.79</v>
      </c>
      <c r="K20" s="8">
        <f>SUM(H20:J20)</f>
        <v/>
      </c>
    </row>
    <row r="21">
      <c r="A21" t="inlineStr">
        <is>
          <t>Pay-a-friend transfers (cardholder-to-cardholder, charged to the card; no interchange)</t>
        </is>
      </c>
      <c r="B21" s="8" t="n">
        <v>1060000</v>
      </c>
      <c r="C21" s="8" t="n">
        <v>980000</v>
      </c>
      <c r="D21" s="8" t="n">
        <v>1900000</v>
      </c>
      <c r="E21" s="8" t="n">
        <v>1190000</v>
      </c>
      <c r="F21" s="8" t="n">
        <v>2250000</v>
      </c>
      <c r="G21" s="8" t="n">
        <v>2040000</v>
      </c>
      <c r="H21" s="8" t="n">
        <v>2730000</v>
      </c>
      <c r="I21" s="8" t="n">
        <v>2970000</v>
      </c>
      <c r="J21" s="8" t="n">
        <v>2650000</v>
      </c>
      <c r="K21" s="8">
        <f>SUM(H21:J21)</f>
        <v/>
      </c>
    </row>
    <row r="22">
      <c r="A22" s="5" t="inlineStr">
        <is>
          <t>Principal flow (purchase volume + pay-a-friend) — calendar-month loss base</t>
        </is>
      </c>
      <c r="B22" s="8">
        <f>B20+B21</f>
        <v/>
      </c>
      <c r="C22" s="8">
        <f>C20+C21</f>
        <v/>
      </c>
      <c r="D22" s="8">
        <f>D20+D21</f>
        <v/>
      </c>
      <c r="E22" s="8">
        <f>E20+E21</f>
        <v/>
      </c>
      <c r="F22" s="8">
        <f>F20+F21</f>
        <v/>
      </c>
      <c r="G22" s="8">
        <f>G20+G21</f>
        <v/>
      </c>
      <c r="H22" s="8">
        <f>H20+H21</f>
        <v/>
      </c>
      <c r="I22" s="8">
        <f>I20+I21</f>
        <v/>
      </c>
      <c r="J22" s="8">
        <f>J20+J21</f>
        <v/>
      </c>
      <c r="K22" s="8">
        <f>K20+K21</f>
        <v/>
      </c>
    </row>
    <row r="23"/>
    <row r="24">
      <c r="A24" s="9" t="inlineStr">
        <is>
          <t>Annualized yields on opening receivables (prior month's average balance)</t>
        </is>
      </c>
      <c r="B24" s="10" t="n"/>
      <c r="C24" s="10" t="n"/>
      <c r="D24" s="10" t="n"/>
      <c r="E24" s="10" t="n"/>
      <c r="F24" s="10" t="n"/>
      <c r="G24" s="10" t="n"/>
      <c r="H24" s="10" t="n"/>
      <c r="I24" s="10" t="n"/>
      <c r="J24" s="10" t="n"/>
      <c r="K24" s="10" t="n"/>
    </row>
    <row r="25">
      <c r="A25" t="inlineStr">
        <is>
          <t>Months in period</t>
        </is>
      </c>
      <c r="B25" t="n">
        <v>1</v>
      </c>
      <c r="C25" t="n">
        <v>1</v>
      </c>
      <c r="D25" t="n">
        <v>1</v>
      </c>
      <c r="E25" t="n">
        <v>1</v>
      </c>
      <c r="F25" t="n">
        <v>1</v>
      </c>
      <c r="G25" t="n">
        <v>1</v>
      </c>
      <c r="H25" t="n">
        <v>1</v>
      </c>
      <c r="I25" t="n">
        <v>1</v>
      </c>
      <c r="J25" t="n">
        <v>1</v>
      </c>
      <c r="K25" t="n">
        <v>3</v>
      </c>
    </row>
    <row r="26">
      <c r="A26" t="inlineStr">
        <is>
          <t>Interest and fees (accrual basis Jul–Sep, billed before)</t>
        </is>
      </c>
      <c r="C26" s="11">
        <f>SUM(C5:C8)*12/C25/C17</f>
        <v/>
      </c>
      <c r="D26" s="11">
        <f>SUM(D5:D8)*12/D25/D17</f>
        <v/>
      </c>
      <c r="E26" s="11">
        <f>SUM(E5:E8)*12/E25/E17</f>
        <v/>
      </c>
      <c r="F26" s="11">
        <f>SUM(F5:F8)*12/F25/F17</f>
        <v/>
      </c>
      <c r="G26" s="11">
        <f>SUM(G5:G8)*12/G25/G17</f>
        <v/>
      </c>
      <c r="H26" s="11">
        <f>(H11+H12+H7+H8)*12/H25/H17</f>
        <v/>
      </c>
      <c r="I26" s="11">
        <f>(I11+I12+I7+I8)*12/I25/I17</f>
        <v/>
      </c>
      <c r="J26" s="11">
        <f>(J11+J12+J7+J8)*12/J25/J17</f>
        <v/>
      </c>
      <c r="K26" s="11">
        <f>(K11+K12+K7+K8)*12/K25/K17</f>
        <v/>
      </c>
    </row>
    <row r="27">
      <c r="A27" t="inlineStr">
        <is>
          <t>Purchase turnover (annualized purchase volume ÷ opening receivables)</t>
        </is>
      </c>
      <c r="C27" s="13">
        <f>C20*12/C25/C17</f>
        <v/>
      </c>
      <c r="D27" s="13">
        <f>D20*12/D25/D17</f>
        <v/>
      </c>
      <c r="E27" s="13">
        <f>E20*12/E25/E17</f>
        <v/>
      </c>
      <c r="F27" s="13">
        <f>F20*12/F25/F17</f>
        <v/>
      </c>
      <c r="G27" s="13">
        <f>G20*12/G25/G17</f>
        <v/>
      </c>
      <c r="H27" s="13">
        <f>H20*12/H25/H17</f>
        <v/>
      </c>
      <c r="I27" s="13">
        <f>I20*12/I25/I17</f>
        <v/>
      </c>
      <c r="J27" s="13">
        <f>J20*12/J25/J17</f>
        <v/>
      </c>
      <c r="K27" s="13">
        <f>K20*12/K25/K17</f>
        <v/>
      </c>
    </row>
    <row r="28">
      <c r="A28" t="inlineStr">
        <is>
          <t>Interchange rate on purchase volume</t>
        </is>
      </c>
      <c r="C28" s="14">
        <f>C9/C20</f>
        <v/>
      </c>
      <c r="D28" s="14">
        <f>D9/D20</f>
        <v/>
      </c>
      <c r="E28" s="14">
        <f>E9/E20</f>
        <v/>
      </c>
      <c r="F28" s="14">
        <f>F9/F20</f>
        <v/>
      </c>
      <c r="G28" s="14">
        <f>G9/G20</f>
        <v/>
      </c>
      <c r="H28" s="14">
        <f>H9/H20</f>
        <v/>
      </c>
      <c r="I28" s="14">
        <f>I9/I20</f>
        <v/>
      </c>
      <c r="J28" s="14">
        <f>J9/J20</f>
        <v/>
      </c>
      <c r="K28" s="14">
        <f>K9/K20</f>
        <v/>
      </c>
    </row>
    <row r="29">
      <c r="A29" t="inlineStr">
        <is>
          <t>Interchange (rate × purchase turnover)</t>
        </is>
      </c>
      <c r="C29" s="11">
        <f>C9*12/C25/C17</f>
        <v/>
      </c>
      <c r="D29" s="11">
        <f>D9*12/D25/D17</f>
        <v/>
      </c>
      <c r="E29" s="11">
        <f>E9*12/E25/E17</f>
        <v/>
      </c>
      <c r="F29" s="11">
        <f>F9*12/F25/F17</f>
        <v/>
      </c>
      <c r="G29" s="11">
        <f>G9*12/G25/G17</f>
        <v/>
      </c>
      <c r="H29" s="11">
        <f>H9*12/H25/H17</f>
        <v/>
      </c>
      <c r="I29" s="11">
        <f>I9*12/I25/I17</f>
        <v/>
      </c>
      <c r="J29" s="11">
        <f>J9*12/J25/J17</f>
        <v/>
      </c>
      <c r="K29" s="11">
        <f>K9*12/K25/K17</f>
        <v/>
      </c>
    </row>
    <row r="30">
      <c r="A30" s="5" t="inlineStr">
        <is>
          <t>Gross yield — all revenue</t>
        </is>
      </c>
      <c r="C30" s="12">
        <f>SUM(C5:C8)*12/C25/C17+C9*12/C25/C17</f>
        <v/>
      </c>
      <c r="D30" s="12">
        <f>SUM(D5:D8)*12/D25/D17+D9*12/D25/D17</f>
        <v/>
      </c>
      <c r="E30" s="12">
        <f>SUM(E5:E8)*12/E25/E17+E9*12/E25/E17</f>
        <v/>
      </c>
      <c r="F30" s="12">
        <f>SUM(F5:F8)*12/F25/F17+F9*12/F25/F17</f>
        <v/>
      </c>
      <c r="G30" s="12">
        <f>SUM(G5:G8)*12/G25/G17+G9*12/G25/G17</f>
        <v/>
      </c>
      <c r="H30" s="12">
        <f>(H11+H12+H7+H8)*12/H25/H17+H9*12/H25/H17</f>
        <v/>
      </c>
      <c r="I30" s="12">
        <f>(I11+I12+I7+I8)*12/I25/I17+I9*12/I25/I17</f>
        <v/>
      </c>
      <c r="J30" s="12">
        <f>(J11+J12+J7+J8)*12/J25/J17+J9*12/J25/J17</f>
        <v/>
      </c>
      <c r="K30" s="12">
        <f>(K11+K12+K7+K8)*12/K25/K17+K9*12/K25/K17</f>
        <v/>
      </c>
    </row>
    <row r="31">
      <c r="A31" t="inlineStr">
        <is>
          <t>Principal turnover (annualized principal flow ÷ opening receivables)</t>
        </is>
      </c>
      <c r="C31" s="13">
        <f>C22*12/C25/C17</f>
        <v/>
      </c>
      <c r="D31" s="13">
        <f>D22*12/D25/D17</f>
        <v/>
      </c>
      <c r="E31" s="13">
        <f>E22*12/E25/E17</f>
        <v/>
      </c>
      <c r="F31" s="13">
        <f>F22*12/F25/F17</f>
        <v/>
      </c>
      <c r="G31" s="13">
        <f>G22*12/G25/G17</f>
        <v/>
      </c>
      <c r="H31" s="13">
        <f>H22*12/H25/H17</f>
        <v/>
      </c>
      <c r="I31" s="13">
        <f>I22*12/I25/I17</f>
        <v/>
      </c>
      <c r="J31" s="13">
        <f>J22*12/J25/J17</f>
        <v/>
      </c>
      <c r="K31" s="13">
        <f>K22*12/K25/K17</f>
        <v/>
      </c>
    </row>
    <row r="32"/>
    <row r="33">
      <c r="A33" s="9" t="inlineStr">
        <is>
          <t>Reference — the same yields on the month's own average receivables</t>
        </is>
      </c>
      <c r="B33" s="10" t="n"/>
      <c r="C33" s="10" t="n"/>
      <c r="D33" s="10" t="n"/>
      <c r="E33" s="10" t="n"/>
      <c r="F33" s="10" t="n"/>
      <c r="G33" s="10" t="n"/>
      <c r="H33" s="10" t="n"/>
      <c r="I33" s="10" t="n"/>
      <c r="J33" s="10" t="n"/>
      <c r="K33" s="10" t="n"/>
    </row>
    <row r="34">
      <c r="A34" t="inlineStr">
        <is>
          <t>Interest and fees</t>
        </is>
      </c>
      <c r="B34" s="11">
        <f>SUM(B5:B8)*12/B25/B16</f>
        <v/>
      </c>
      <c r="C34" s="11">
        <f>SUM(C5:C8)*12/C25/C16</f>
        <v/>
      </c>
      <c r="D34" s="11">
        <f>SUM(D5:D8)*12/D25/D16</f>
        <v/>
      </c>
      <c r="E34" s="11">
        <f>SUM(E5:E8)*12/E25/E16</f>
        <v/>
      </c>
      <c r="F34" s="11">
        <f>SUM(F5:F8)*12/F25/F16</f>
        <v/>
      </c>
      <c r="G34" s="11">
        <f>SUM(G5:G8)*12/G25/G16</f>
        <v/>
      </c>
      <c r="H34" s="11">
        <f>(H11+H12+H7+H8)*12/H25/H16</f>
        <v/>
      </c>
      <c r="I34" s="11">
        <f>(I11+I12+I7+I8)*12/I25/I16</f>
        <v/>
      </c>
      <c r="J34" s="11">
        <f>(J11+J12+J7+J8)*12/J25/J16</f>
        <v/>
      </c>
      <c r="K34" s="11">
        <f>(K11+K12+K7+K8)*12/K25/K16</f>
        <v/>
      </c>
    </row>
    <row r="35">
      <c r="A35" t="inlineStr">
        <is>
          <t>Gross yield — all revenue</t>
        </is>
      </c>
      <c r="B35" s="11">
        <f>SUM(B5:B8)*12/B25/B16+B9*12/B25/B16</f>
        <v/>
      </c>
      <c r="C35" s="11">
        <f>SUM(C5:C8)*12/C25/C16+C9*12/C25/C16</f>
        <v/>
      </c>
      <c r="D35" s="11">
        <f>SUM(D5:D8)*12/D25/D16+D9*12/D25/D16</f>
        <v/>
      </c>
      <c r="E35" s="11">
        <f>SUM(E5:E8)*12/E25/E16+E9*12/E25/E16</f>
        <v/>
      </c>
      <c r="F35" s="11">
        <f>SUM(F5:F8)*12/F25/F16+F9*12/F25/F16</f>
        <v/>
      </c>
      <c r="G35" s="11">
        <f>SUM(G5:G8)*12/G25/G16+G9*12/G25/G16</f>
        <v/>
      </c>
      <c r="H35" s="11">
        <f>(H11+H12+H7+H8)*12/H25/H16+H9*12/H25/H16</f>
        <v/>
      </c>
      <c r="I35" s="11">
        <f>(I11+I12+I7+I8)*12/I25/I16+I9*12/I25/I16</f>
        <v/>
      </c>
      <c r="J35" s="11">
        <f>(J11+J12+J7+J8)*12/J25/J16+J9*12/J25/J16</f>
        <v/>
      </c>
      <c r="K35" s="11">
        <f>(K11+K12+K7+K8)*12/K25/K16+K9*12/K25/K16</f>
        <v/>
      </c>
    </row>
    <row r="36"/>
    <row r="37">
      <c r="A37" s="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on opening receivables — the prior month's average balance — because a month's interest and fees are charged on balances billed at the end of the prior month (net of payments), and the month's purchases, interchange and losses are the turnover of that same capital; the month's own average receivables are shown for reference and the two bases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3" t="inlineStr">
        <is>
          <t>Origination month</t>
        </is>
      </c>
      <c r="B4" s="3" t="inlineStr">
        <is>
          <t>Accounts</t>
        </is>
      </c>
      <c r="C4" s="3" t="inlineStr">
        <is>
          <t>Principal originated</t>
        </is>
      </c>
      <c r="D4" s="3" t="inlineStr">
        <is>
          <t>Seasoned principal (due ≥90 days ago)</t>
        </is>
      </c>
      <c r="E4" s="3" t="inlineStr">
        <is>
          <t>Excluded: FPD principal 90+ DPD</t>
        </is>
      </c>
      <c r="F4" s="3" t="inlineStr">
        <is>
          <t>Denominator: seasoned, ex-FPD</t>
        </is>
      </c>
      <c r="G4" s="3" t="inlineStr">
        <is>
          <t>Numerator: 90+ DPD, ex-FPD</t>
        </is>
      </c>
      <c r="H4" s="3" t="inlineStr">
        <is>
          <t>Loss rate</t>
        </is>
      </c>
    </row>
    <row r="5">
      <c r="A5" t="inlineStr">
        <is>
          <t>Jan 2026</t>
        </is>
      </c>
      <c r="B5" s="8" t="n">
        <v>3828</v>
      </c>
      <c r="C5" s="8" t="n">
        <v>69900973.84</v>
      </c>
      <c r="D5" s="8" t="n">
        <v>69900973.84</v>
      </c>
      <c r="E5" s="8" t="n">
        <v>195035.55</v>
      </c>
      <c r="F5" s="8" t="n">
        <v>69690793.31</v>
      </c>
      <c r="G5" s="8" t="n">
        <v>1577286.85</v>
      </c>
      <c r="H5" s="14">
        <f>IF(F5=0,"not yet seasoned",G5/F5)</f>
        <v/>
      </c>
    </row>
    <row r="6">
      <c r="A6" t="inlineStr">
        <is>
          <t>Feb 2026</t>
        </is>
      </c>
      <c r="B6" s="8" t="n">
        <v>4029</v>
      </c>
      <c r="C6" s="8" t="n">
        <v>60820771.28</v>
      </c>
      <c r="D6" s="8" t="n">
        <v>60820771.28</v>
      </c>
      <c r="E6" s="8" t="n">
        <v>31366.54</v>
      </c>
      <c r="F6" s="8" t="n">
        <v>60789404.74</v>
      </c>
      <c r="G6" s="8" t="n">
        <v>685527.14</v>
      </c>
      <c r="H6" s="14">
        <f>IF(F6=0,"not yet seasoned",G6/F6)</f>
        <v/>
      </c>
    </row>
    <row r="7">
      <c r="A7" t="inlineStr">
        <is>
          <t>Mar 2026</t>
        </is>
      </c>
      <c r="B7" s="8" t="n">
        <v>5113</v>
      </c>
      <c r="C7" s="8" t="n">
        <v>89743205.59</v>
      </c>
      <c r="D7" s="8" t="n">
        <v>89743205.59</v>
      </c>
      <c r="E7" s="8" t="n">
        <v>562712.45</v>
      </c>
      <c r="F7" s="8" t="n">
        <v>89089554.73999999</v>
      </c>
      <c r="G7" s="8" t="n">
        <v>1404938.62</v>
      </c>
      <c r="H7" s="14">
        <f>IF(F7=0,"not yet seasoned",G7/F7)</f>
        <v/>
      </c>
    </row>
    <row r="8">
      <c r="A8" t="inlineStr">
        <is>
          <t>Apr 2026</t>
        </is>
      </c>
      <c r="B8" s="8" t="n">
        <v>6505</v>
      </c>
      <c r="C8" s="8" t="n">
        <v>107115373.17</v>
      </c>
      <c r="D8" s="8" t="n">
        <v>107115373.17</v>
      </c>
      <c r="E8" s="8" t="n">
        <v>911016.11</v>
      </c>
      <c r="F8" s="8" t="n">
        <v>106123235.92</v>
      </c>
      <c r="G8" s="8" t="n">
        <v>1471002.56</v>
      </c>
      <c r="H8" s="14">
        <f>IF(F8=0,"not yet seasoned",G8/F8)</f>
        <v/>
      </c>
    </row>
    <row r="9">
      <c r="A9" t="inlineStr">
        <is>
          <t>May 2026</t>
        </is>
      </c>
      <c r="B9" s="8" t="n">
        <v>7564</v>
      </c>
      <c r="C9" s="8" t="n">
        <v>118184976.17</v>
      </c>
      <c r="D9" s="8" t="n">
        <v>118184976.17</v>
      </c>
      <c r="E9" s="8" t="n">
        <v>889165.96</v>
      </c>
      <c r="F9" s="8" t="n">
        <v>117226741.83</v>
      </c>
      <c r="G9" s="8" t="n">
        <v>1061583</v>
      </c>
      <c r="H9" s="14">
        <f>IF(F9=0,"not yet seasoned",G9/F9)</f>
        <v/>
      </c>
    </row>
    <row r="10">
      <c r="A10" t="inlineStr">
        <is>
          <t>Jun 2026</t>
        </is>
      </c>
      <c r="B10" s="8" t="n">
        <v>9024</v>
      </c>
      <c r="C10" s="8" t="n">
        <v>136417479.48</v>
      </c>
      <c r="D10" s="8" t="n">
        <v>136417479.48</v>
      </c>
      <c r="E10" s="8" t="n">
        <v>499873.5</v>
      </c>
      <c r="F10" s="8" t="n">
        <v>135917605.98</v>
      </c>
      <c r="G10" s="8" t="n">
        <v>459463.31</v>
      </c>
      <c r="H10" s="14">
        <f>IF(F10=0,"not yet seasoned",G10/F10)</f>
        <v/>
      </c>
    </row>
    <row r="11">
      <c r="A11" t="inlineStr">
        <is>
          <t>Jul 2026</t>
        </is>
      </c>
      <c r="B11" s="8" t="n">
        <v>11366</v>
      </c>
      <c r="C11" s="8" t="n">
        <v>140624271.71</v>
      </c>
      <c r="D11" s="8" t="n">
        <v>0</v>
      </c>
      <c r="E11" s="8" t="n">
        <v>29390.51</v>
      </c>
      <c r="F11" s="8" t="n">
        <v>0</v>
      </c>
      <c r="G11" s="8" t="n">
        <v>8828.190000000001</v>
      </c>
      <c r="H11" s="14">
        <f>IF(F11=0,"not yet seasoned",G11/F11)</f>
        <v/>
      </c>
    </row>
    <row r="12">
      <c r="A12" t="inlineStr">
        <is>
          <t>Aug 2026</t>
        </is>
      </c>
      <c r="B12" s="8" t="n">
        <v>12347</v>
      </c>
      <c r="C12" s="8" t="n">
        <v>141888335.14</v>
      </c>
      <c r="D12" s="8" t="n">
        <v>0</v>
      </c>
      <c r="E12" s="8" t="n">
        <v>0</v>
      </c>
      <c r="F12" s="8" t="n">
        <v>0</v>
      </c>
      <c r="G12" s="8" t="n">
        <v>0</v>
      </c>
      <c r="H12" s="14">
        <f>IF(F12=0,"not yet seasoned",G12/F12)</f>
        <v/>
      </c>
    </row>
    <row r="13">
      <c r="A13" t="inlineStr">
        <is>
          <t>Sep 2026</t>
        </is>
      </c>
      <c r="B13" s="8" t="n">
        <v>13196</v>
      </c>
      <c r="C13" s="8" t="n">
        <v>160221212.53</v>
      </c>
      <c r="D13" s="8" t="n">
        <v>0</v>
      </c>
      <c r="E13" s="8" t="n">
        <v>0</v>
      </c>
      <c r="F13" s="8" t="n">
        <v>0</v>
      </c>
      <c r="G13" s="8" t="n">
        <v>0</v>
      </c>
      <c r="H13" s="14">
        <f>IF(F13=0,"not yet seasoned",G13/F13)</f>
        <v/>
      </c>
    </row>
    <row r="14">
      <c r="A14" s="15" t="inlineStr">
        <is>
          <t>Since January 2026 (all vintages above)</t>
        </is>
      </c>
      <c r="B14" s="16">
        <f>SUM(B5:B13)</f>
        <v/>
      </c>
      <c r="C14" s="16">
        <f>SUM(C5:C13)</f>
        <v/>
      </c>
      <c r="D14" s="16">
        <f>SUM(D5:D13)</f>
        <v/>
      </c>
      <c r="E14" s="16">
        <f>SUM(E5:E13)</f>
        <v/>
      </c>
      <c r="F14" s="16">
        <f>SUM(F5:F13)</f>
        <v/>
      </c>
      <c r="G14" s="16">
        <f>SUM(G5:G13)</f>
        <v/>
      </c>
      <c r="H14" s="20">
        <f>G14/F14</f>
        <v/>
      </c>
    </row>
    <row r="15"/>
    <row r="16" ht="15" customHeight="1">
      <c r="A16" s="21" t="inlineStr">
        <is>
          <t>How to read this table</t>
        </is>
      </c>
    </row>
    <row r="17" ht="48" customHeight="1">
      <c r="A17" s="7"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7"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7" t="inlineStr">
        <is>
          <t>• First-payment defaults (FPD). An account whose first-ever statement was the one missed, i.e. a cardholder who never made a payment. These are fraud or identity cases rather than credit losses and are excluded from the loss rate; the principal excluded is shown in column E so the adjustment is visible. Receivables of this kind would ordinarily fall outside facility eligibility criteria. First-payment default is managed separately from credit underwriting: duplicate-applicant checks (exact name and date of birth, ID number) have been in place since 1 October 2026, and from the 24 October 2026 decisioning run every application is screened for bank account numbers shared with another applicant, repeated selfie or ID images, invite-name mismatches and past-due bureau tradelines, with business-owner limits set on half of declared income pending documents.</t>
        </is>
      </c>
    </row>
    <row r="20" ht="48" customHeight="1">
      <c r="A20" s="7" t="inlineStr">
        <is>
          <t>• Why January 2026. The current underwriting model (V2) was deployed in December 2025 and is the model that originates the portfolio today; earlier vintages were originated under the prior model.</t>
        </is>
      </c>
    </row>
    <row r="21"/>
    <row r="22">
      <c r="A22" s="9" t="inlineStr">
        <is>
          <t>Loss emergence — when a vintage's loss arrives (ex-FPD, same measure as the table above)</t>
        </is>
      </c>
      <c r="B22" s="10" t="n"/>
      <c r="C22" s="10" t="n"/>
      <c r="D22" s="10" t="n"/>
      <c r="E22" s="10" t="n"/>
      <c r="F22" s="10" t="n"/>
      <c r="G22" s="10" t="n"/>
      <c r="H22" s="10" t="n"/>
    </row>
    <row r="23" ht="32" customHeight="1">
      <c r="A23" s="3" t="inlineStr">
        <is>
          <t>Origination month</t>
        </is>
      </c>
      <c r="B23" s="3" t="inlineStr">
        <is>
          <t>By month 3 on book</t>
        </is>
      </c>
      <c r="C23" s="3" t="inlineStr">
        <is>
          <t>By month 4</t>
        </is>
      </c>
      <c r="D23" s="3" t="inlineStr">
        <is>
          <t>By month 5</t>
        </is>
      </c>
      <c r="E23" s="3" t="inlineStr">
        <is>
          <t>By month 6</t>
        </is>
      </c>
      <c r="F23" s="3" t="inlineStr">
        <is>
          <t>By month 8</t>
        </is>
      </c>
      <c r="G23" s="3" t="inlineStr">
        <is>
          <t>Today</t>
        </is>
      </c>
      <c r="H23" s="3" t="inlineStr">
        <is>
          <t>Months on book today</t>
        </is>
      </c>
    </row>
    <row r="24">
      <c r="A24" t="inlineStr">
        <is>
          <t>Jan 2026</t>
        </is>
      </c>
      <c r="B24" s="22" t="n">
        <v>0.00675</v>
      </c>
      <c r="C24" s="22" t="n">
        <v>0.02263</v>
      </c>
      <c r="D24" s="22" t="n">
        <v>0.02263</v>
      </c>
      <c r="E24" s="22" t="n">
        <v>0.02263</v>
      </c>
      <c r="F24" s="22" t="n">
        <v>0.02263</v>
      </c>
      <c r="G24" s="23" t="n">
        <v>0.02263</v>
      </c>
      <c r="H24" t="n">
        <v>9</v>
      </c>
    </row>
    <row r="25">
      <c r="A25" t="inlineStr">
        <is>
          <t>Feb 2026</t>
        </is>
      </c>
      <c r="B25" s="22" t="n">
        <v>0.00851</v>
      </c>
      <c r="C25" s="22" t="n">
        <v>0.01028</v>
      </c>
      <c r="D25" s="22" t="n">
        <v>0.01118</v>
      </c>
      <c r="E25" s="22" t="n">
        <v>0.01128</v>
      </c>
      <c r="F25" s="22" t="inlineStr">
        <is>
          <t>—</t>
        </is>
      </c>
      <c r="G25" s="23" t="n">
        <v>0.01128</v>
      </c>
      <c r="H25" t="n">
        <v>8</v>
      </c>
    </row>
    <row r="26">
      <c r="A26" t="inlineStr">
        <is>
          <t>Mar 2026</t>
        </is>
      </c>
      <c r="B26" s="22" t="n">
        <v>0.00455</v>
      </c>
      <c r="C26" s="22" t="n">
        <v>0.01469</v>
      </c>
      <c r="D26" s="22" t="n">
        <v>0.01577</v>
      </c>
      <c r="E26" s="22" t="n">
        <v>0.01577</v>
      </c>
      <c r="F26" s="22" t="inlineStr">
        <is>
          <t>—</t>
        </is>
      </c>
      <c r="G26" s="23" t="n">
        <v>0.01577</v>
      </c>
      <c r="H26" t="n">
        <v>7</v>
      </c>
    </row>
    <row r="27">
      <c r="A27" t="inlineStr">
        <is>
          <t>Apr 2026</t>
        </is>
      </c>
      <c r="B27" s="22" t="n">
        <v>0.00773</v>
      </c>
      <c r="C27" s="22" t="n">
        <v>0.01313</v>
      </c>
      <c r="D27" s="22" t="n">
        <v>0.01366</v>
      </c>
      <c r="E27" s="22" t="inlineStr">
        <is>
          <t>—</t>
        </is>
      </c>
      <c r="F27" s="22" t="inlineStr">
        <is>
          <t>—</t>
        </is>
      </c>
      <c r="G27" s="23" t="n">
        <v>0.01386</v>
      </c>
      <c r="H27" t="n">
        <v>6</v>
      </c>
    </row>
    <row r="28">
      <c r="A28" t="inlineStr">
        <is>
          <t>May 2026</t>
        </is>
      </c>
      <c r="B28" s="22" t="n">
        <v>0.00494</v>
      </c>
      <c r="C28" s="22" t="n">
        <v>0.00758</v>
      </c>
      <c r="D28" s="22" t="inlineStr">
        <is>
          <t>—</t>
        </is>
      </c>
      <c r="E28" s="22" t="inlineStr">
        <is>
          <t>—</t>
        </is>
      </c>
      <c r="F28" s="22" t="inlineStr">
        <is>
          <t>—</t>
        </is>
      </c>
      <c r="G28" s="23" t="n">
        <v>0.00906</v>
      </c>
      <c r="H28" t="n">
        <v>5</v>
      </c>
    </row>
    <row r="29">
      <c r="A29" t="inlineStr">
        <is>
          <t>Jun 2026</t>
        </is>
      </c>
      <c r="B29" s="22" t="n">
        <v>0.00215</v>
      </c>
      <c r="C29" s="22" t="inlineStr">
        <is>
          <t>—</t>
        </is>
      </c>
      <c r="D29" s="22" t="inlineStr">
        <is>
          <t>—</t>
        </is>
      </c>
      <c r="E29" s="22" t="inlineStr">
        <is>
          <t>—</t>
        </is>
      </c>
      <c r="F29" s="22" t="inlineStr">
        <is>
          <t>—</t>
        </is>
      </c>
      <c r="G29" s="23" t="n">
        <v>0.00338</v>
      </c>
      <c r="H29" t="n">
        <v>4</v>
      </c>
    </row>
    <row r="30" ht="15" customHeight="1">
      <c r="A30" s="21" t="inlineStr">
        <is>
          <t>How to read this table</t>
        </is>
      </c>
    </row>
    <row r="31" ht="44" customHeight="1">
      <c r="A31" s="7" t="inlineStr">
        <is>
          <t>• Each cell is the part of the vintage's loss rate (principal ≥90 DPD today ÷ seasoned principal, ex-FPD — the same measure as the table above) that comes from accounts which had reached 90 days past due by the end of month n after the origination month. 'Today' is the full current loss rate. Cells are blank where month n has not yet ended.</t>
        </is>
      </c>
    </row>
    <row r="32" ht="44" customHeight="1">
      <c r="A32" s="7" t="inlineStr">
        <is>
          <t>• The loss on a vintage is essentially complete by month 4 on book: January–March 2026 show no further movement from month 4 to month 6–8. Because cash is applied to the oldest balances first, an account that defaults later has already repaid its earlier months' purchases, so late defaults fall on later vintages rather than reopening old ones.</t>
        </is>
      </c>
    </row>
    <row r="33" ht="44" customHeight="1">
      <c r="A33" s="7" t="inlineStr">
        <is>
          <t>• Read across the 'Today' column for the trend in fully emerged vintages: 2.26% (Jan), 1.13% (Feb), 1.58% (Mar), 1.39% (Apr), 0.91% (May, at month 5 — effectively final). June is at month 4 with one month of emergence still to come.</t>
        </is>
      </c>
    </row>
  </sheetData>
  <mergeCells count="9">
    <mergeCell ref="A18:H18"/>
    <mergeCell ref="A30:H30"/>
    <mergeCell ref="A20:H20"/>
    <mergeCell ref="A16:H16"/>
    <mergeCell ref="A19:H19"/>
    <mergeCell ref="A33:H33"/>
    <mergeCell ref="A32:H32"/>
    <mergeCell ref="A31:H3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3" t="inlineStr">
        <is>
          <t>Item</t>
        </is>
      </c>
      <c r="B3" s="3" t="inlineStr">
        <is>
          <t>Definition</t>
        </is>
      </c>
    </row>
    <row r="4" ht="75" customHeight="1">
      <c r="A4" s="24" t="inlineStr">
        <is>
          <t>Scope</t>
        </is>
      </c>
      <c r="B4" s="7" t="inlineStr">
        <is>
          <t>Zed's Philippine credit card receivables, all cardholders. Yield Summary covers July, August and September 2026 and the quarter together —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35" customHeight="1">
      <c r="A5" s="24" t="inlineStr">
        <is>
          <t>Opening receivables (yield basis)</t>
        </is>
      </c>
      <c r="B5" s="7" t="inlineStr">
        <is>
          <t>All yields are on opening receivables: the prior month's average receivables outstanding (principal, interest and fees billed to cardholders, plus installment principal not yet billed). A month's interest and fees are charged on balances billed at the end of the prior month, net of payments received (adjusted daily balance), and the month's purchases — and so its interchange and losses — are the turnover of that same capital, so every line is measured against the balances that produced it. For the quarter the base is the average of June–August. The month's own average receivables, which include purchases that cannot yet bear interest, are shown for reference; the two bases coincide when the book is not growing and differ by roughly the monthly growth rate while it is.</t>
        </is>
      </c>
    </row>
    <row r="6" ht="30" customHeight="1">
      <c r="A6" s="24" t="inlineStr">
        <is>
          <t>Annualization</t>
        </is>
      </c>
      <c r="B6" s="7" t="inlineStr">
        <is>
          <t>Simple: monthly amount ÷ opening receivables × 12. No compounding.</t>
        </is>
      </c>
    </row>
    <row r="7" ht="105" customHeight="1">
      <c r="A7" s="24" t="inlineStr">
        <is>
          <t>Revolving interest</t>
        </is>
      </c>
      <c r="B7" s="7"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the billed basis is shown under Reference and ties to management reporting.</t>
        </is>
      </c>
    </row>
    <row r="8" ht="45" customHeight="1">
      <c r="A8" s="24" t="inlineStr">
        <is>
          <t>Installment interest and upfront fees</t>
        </is>
      </c>
      <c r="B8" s="7" t="inlineStr">
        <is>
          <t>Interest of 1% per month billed on installment plan balances (accrual basis in the Yield Summary, as for revolving interest), and an upfront conversion fee of 0.5% per month of term billed when a purchase is converted to installments.</t>
        </is>
      </c>
    </row>
    <row r="9" ht="30" customHeight="1">
      <c r="A9" s="24" t="inlineStr">
        <is>
          <t>Late payment fees</t>
        </is>
      </c>
      <c r="B9" s="7" t="inlineStr">
        <is>
          <t>Fee billed when the minimum payment is not received by the due date.</t>
        </is>
      </c>
    </row>
    <row r="10" ht="90" customHeight="1">
      <c r="A10" s="24" t="inlineStr">
        <is>
          <t>Interchange</t>
        </is>
      </c>
      <c r="B10" s="7"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opening receivables) — the same construction as the loss line. Mastercard settles the merchant net of interchange and the cardholder is billed the full purchase amount, so the interchange margin is collected as part of the cardholder's payment.</t>
        </is>
      </c>
    </row>
    <row r="11" ht="45" customHeight="1">
      <c r="A11" s="24" t="inlineStr">
        <is>
          <t>Turnover</t>
        </is>
      </c>
      <c r="B11" s="7" t="inlineStr">
        <is>
          <t>Annualized flow ÷ opening receivables. Purchase turnover uses Mastercard purchase volume (the interchange base); principal turnover uses principal flow (the loss base). They differ only by pay-a-friend transfers.</t>
        </is>
      </c>
    </row>
    <row r="12" ht="45" customHeight="1">
      <c r="A12" s="24" t="inlineStr">
        <is>
          <t>Principal flow</t>
        </is>
      </c>
      <c r="B12" s="7"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4" t="inlineStr">
        <is>
          <t>Principal originated (Loss Rate tab)</t>
        </is>
      </c>
      <c r="B13" s="7"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4" t="inlineStr">
        <is>
          <t>Loss rate</t>
        </is>
      </c>
      <c r="B14" s="7"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4" t="inlineStr">
        <is>
          <t>Loss on receivables</t>
        </is>
      </c>
      <c r="B15" s="7" t="inlineStr">
        <is>
          <t>Loss rate on originated principal × principal turnover (annualized principal flow ÷ opening receivables). Expresses a loss on amounts lent as an annual charge against the receivables balance, on the same basis as the yields.</t>
        </is>
      </c>
    </row>
    <row r="16" ht="30" customHeight="1">
      <c r="A16" s="24" t="inlineStr">
        <is>
          <t>Net yield</t>
        </is>
      </c>
      <c r="B16" s="7" t="inlineStr">
        <is>
          <t>Gross yield less loss on receivables. Before operating costs, servicing, processing and network costs, funding costs, taxes and FX.</t>
        </is>
      </c>
    </row>
    <row r="17" ht="75" customHeight="1">
      <c r="A17" s="24" t="inlineStr">
        <is>
          <t>Sources</t>
        </is>
      </c>
      <c r="B17" s="7"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and delinquency history for the emergence table; as of 27 October 2026). September 2026 is the latest complete month.</t>
        </is>
      </c>
    </row>
    <row r="18" ht="30" customHeight="1">
      <c r="A18" s="24" t="inlineStr">
        <is>
          <t>Prepared</t>
        </is>
      </c>
      <c r="B18" s="7" t="inlineStr">
        <is>
          <t>Zed Financial, October 2026. Prepared for Accial Capital in connection with its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2026-10-28T20:05:42Z</dcterms:created>
  <dcterms:modified xmlns:dcterms="http://purl.org/dc/terms/" xmlns:xsi="http://www.w3.org/2001/XMLSchema-instance" xsi:type="dcterms:W3CDTF">2026-10-28T20:05:42Z</dcterms:modified>
</cp:coreProperties>
</file>