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first-payment defaults</t>
        </is>
      </c>
      <c r="C24" s="14">
        <f>loss_rate_xfpd</f>
        <v/>
      </c>
      <c r="E24" s="14">
        <f>loss_rate_xfpd</f>
        <v/>
      </c>
      <c r="G24" s="14">
        <f>loss_rate_xfpd</f>
        <v/>
      </c>
      <c r="I24" s="14">
        <f>loss_rate_xfpd</f>
        <v/>
      </c>
      <c r="J24" s="9" t="inlineStr">
        <is>
          <t>Loss Rate tab: 90+ DPD ÷ principal seasoned 90 days, vintages since Jan 2026, ex-FPD,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5" t="inlineStr">
        <is>
          <t>Origination month</t>
        </is>
      </c>
      <c r="B4" s="6" t="inlineStr">
        <is>
          <t>Accounts</t>
        </is>
      </c>
      <c r="C4" s="6" t="inlineStr">
        <is>
          <t>Principal originated</t>
        </is>
      </c>
      <c r="D4" s="6" t="inlineStr">
        <is>
          <t>Seasoned principal (due ≥90 days ago)</t>
        </is>
      </c>
      <c r="E4" s="6" t="inlineStr">
        <is>
          <t>Excluded: FPD principal 90+ DPD</t>
        </is>
      </c>
      <c r="F4" s="6" t="inlineStr">
        <is>
          <t>Denominator: seasoned, ex-FPD</t>
        </is>
      </c>
      <c r="G4" s="6" t="inlineStr">
        <is>
          <t>Numerator: 90+ DPD, ex-FPD</t>
        </is>
      </c>
      <c r="H4" s="6" t="inlineStr">
        <is>
          <t>Loss rate</t>
        </is>
      </c>
    </row>
    <row r="5">
      <c r="A5" t="inlineStr">
        <is>
          <t>Jan 2026</t>
        </is>
      </c>
      <c r="B5" s="12" t="n">
        <v>3828</v>
      </c>
      <c r="C5" s="12" t="n">
        <v>69900973.84</v>
      </c>
      <c r="D5" s="12" t="n">
        <v>69900973.84</v>
      </c>
      <c r="E5" s="12" t="n">
        <v>195035.55</v>
      </c>
      <c r="F5" s="12" t="n">
        <v>69690793.31</v>
      </c>
      <c r="G5" s="12" t="n">
        <v>1577286.85</v>
      </c>
      <c r="H5" s="14">
        <f>IF(F5=0,"not yet seasoned",G5/F5)</f>
        <v/>
      </c>
    </row>
    <row r="6">
      <c r="A6" t="inlineStr">
        <is>
          <t>Feb 2026</t>
        </is>
      </c>
      <c r="B6" s="12" t="n">
        <v>4029</v>
      </c>
      <c r="C6" s="12" t="n">
        <v>60820771.28</v>
      </c>
      <c r="D6" s="12" t="n">
        <v>60820771.28</v>
      </c>
      <c r="E6" s="12" t="n">
        <v>31366.54</v>
      </c>
      <c r="F6" s="12" t="n">
        <v>60789404.74</v>
      </c>
      <c r="G6" s="12" t="n">
        <v>685527.14</v>
      </c>
      <c r="H6" s="14">
        <f>IF(F6=0,"not yet seasoned",G6/F6)</f>
        <v/>
      </c>
    </row>
    <row r="7">
      <c r="A7" t="inlineStr">
        <is>
          <t>Mar 2026</t>
        </is>
      </c>
      <c r="B7" s="12" t="n">
        <v>5113</v>
      </c>
      <c r="C7" s="12" t="n">
        <v>89743205.59</v>
      </c>
      <c r="D7" s="12" t="n">
        <v>89743205.59</v>
      </c>
      <c r="E7" s="12" t="n">
        <v>562712.45</v>
      </c>
      <c r="F7" s="12" t="n">
        <v>89089554.73999999</v>
      </c>
      <c r="G7" s="12" t="n">
        <v>1404938.62</v>
      </c>
      <c r="H7" s="14">
        <f>IF(F7=0,"not yet seasoned",G7/F7)</f>
        <v/>
      </c>
    </row>
    <row r="8">
      <c r="A8" t="inlineStr">
        <is>
          <t>Apr 2026</t>
        </is>
      </c>
      <c r="B8" s="12" t="n">
        <v>6505</v>
      </c>
      <c r="C8" s="12" t="n">
        <v>107115373.17</v>
      </c>
      <c r="D8" s="12" t="n">
        <v>107115373.17</v>
      </c>
      <c r="E8" s="12" t="n">
        <v>911016.11</v>
      </c>
      <c r="F8" s="12" t="n">
        <v>106123235.92</v>
      </c>
      <c r="G8" s="12" t="n">
        <v>1471002.56</v>
      </c>
      <c r="H8" s="14">
        <f>IF(F8=0,"not yet seasoned",G8/F8)</f>
        <v/>
      </c>
    </row>
    <row r="9">
      <c r="A9" t="inlineStr">
        <is>
          <t>May 2026</t>
        </is>
      </c>
      <c r="B9" s="12" t="n">
        <v>7564</v>
      </c>
      <c r="C9" s="12" t="n">
        <v>118184976.17</v>
      </c>
      <c r="D9" s="12" t="n">
        <v>118184976.17</v>
      </c>
      <c r="E9" s="12" t="n">
        <v>889165.96</v>
      </c>
      <c r="F9" s="12" t="n">
        <v>117226741.83</v>
      </c>
      <c r="G9" s="12" t="n">
        <v>1061583</v>
      </c>
      <c r="H9" s="14">
        <f>IF(F9=0,"not yet seasoned",G9/F9)</f>
        <v/>
      </c>
    </row>
    <row r="10">
      <c r="A10" t="inlineStr">
        <is>
          <t>Jun 2026</t>
        </is>
      </c>
      <c r="B10" s="12" t="n">
        <v>9024</v>
      </c>
      <c r="C10" s="12" t="n">
        <v>136417479.48</v>
      </c>
      <c r="D10" s="12" t="n">
        <v>136417479.48</v>
      </c>
      <c r="E10" s="12" t="n">
        <v>499873.5</v>
      </c>
      <c r="F10" s="12" t="n">
        <v>135917605.98</v>
      </c>
      <c r="G10" s="12" t="n">
        <v>459463.31</v>
      </c>
      <c r="H10" s="14">
        <f>IF(F10=0,"not yet seasoned",G10/F10)</f>
        <v/>
      </c>
    </row>
    <row r="11">
      <c r="A11" t="inlineStr">
        <is>
          <t>Jul 2026</t>
        </is>
      </c>
      <c r="B11" s="12" t="n">
        <v>11366</v>
      </c>
      <c r="C11" s="12" t="n">
        <v>140624271.71</v>
      </c>
      <c r="D11" s="12" t="n">
        <v>0</v>
      </c>
      <c r="E11" s="12" t="n">
        <v>29390.51</v>
      </c>
      <c r="F11" s="12" t="n">
        <v>0</v>
      </c>
      <c r="G11" s="12" t="n">
        <v>8828.190000000001</v>
      </c>
      <c r="H11" s="14">
        <f>IF(F11=0,"not yet seasoned",G11/F11)</f>
        <v/>
      </c>
    </row>
    <row r="12">
      <c r="A12" t="inlineStr">
        <is>
          <t>Aug 2026</t>
        </is>
      </c>
      <c r="B12" s="12" t="n">
        <v>12347</v>
      </c>
      <c r="C12" s="12" t="n">
        <v>141888335.14</v>
      </c>
      <c r="D12" s="12" t="n">
        <v>0</v>
      </c>
      <c r="E12" s="12" t="n">
        <v>0</v>
      </c>
      <c r="F12" s="12" t="n">
        <v>0</v>
      </c>
      <c r="G12" s="12" t="n">
        <v>0</v>
      </c>
      <c r="H12" s="14">
        <f>IF(F12=0,"not yet seasoned",G12/F12)</f>
        <v/>
      </c>
    </row>
    <row r="13">
      <c r="A13" t="inlineStr">
        <is>
          <t>Sep 2026</t>
        </is>
      </c>
      <c r="B13" s="12" t="n">
        <v>13196</v>
      </c>
      <c r="C13" s="12" t="n">
        <v>160221212.53</v>
      </c>
      <c r="D13" s="12" t="n">
        <v>0</v>
      </c>
      <c r="E13" s="12" t="n">
        <v>0</v>
      </c>
      <c r="F13" s="12" t="n">
        <v>0</v>
      </c>
      <c r="G13" s="12" t="n">
        <v>0</v>
      </c>
      <c r="H13" s="14">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3">
        <f>G14/F14</f>
        <v/>
      </c>
    </row>
    <row r="15"/>
    <row r="16" ht="15" customHeight="1">
      <c r="A16" s="24" t="inlineStr">
        <is>
          <t>How to read this table</t>
        </is>
      </c>
    </row>
    <row r="17" ht="48" customHeight="1">
      <c r="A17" s="25"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25"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25" t="inlineStr">
        <is>
          <t>• First-payment defaults (FPD). An account whose first statement was never paid: billed once, no payment at all. Zed treats these as fraud and identity losses for its own account rather than credit losses, and excludes them here on that basis — Zed expects fraud receivables to be ineligible under a facility and to repurchase them, so the rate shown is the credit loss a pledged pool would bear. The principal excluded is shown in column E.</t>
        </is>
      </c>
    </row>
    <row r="20" ht="48" customHeight="1">
      <c r="A20" s="25" t="inlineStr">
        <is>
          <t>• Fraud controls and their timing. Basic duplicate-applicant checks have been part of decisioning since May 2026 and the first set of major improvements to our second generation credit model were released on 5 May 2026 (v2.1). Version 2.1 sharply reduced uncoordinated first-payment default on new accounts: first-payment defaults fell from 1.2–1.5% of cards issued in February–April 2026 to 0.4% of cards issued in May–August. On 24 October 2026 Zed deployed a full suite of fraud-signal policies, informed by its review of first-payment defaults: bank account numbers shared across applicants, repeated selfie or ID images, invite-name mismatches, business-owner income verification and past-due bureau tradelines.</t>
        </is>
      </c>
    </row>
    <row r="21" ht="48" customHeight="1">
      <c r="A21" s="25" t="inlineStr">
        <is>
          <t>• Why January 2026. The current underwriting model (V2) was deployed in December 2025 and is the model that originates the portfolio today; earlier vintages were originated under the prior model.</t>
        </is>
      </c>
    </row>
  </sheetData>
  <mergeCells count="6">
    <mergeCell ref="A18:H18"/>
    <mergeCell ref="A21:H21"/>
    <mergeCell ref="A20:H20"/>
    <mergeCell ref="A16:H16"/>
    <mergeCell ref="A19:H19"/>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6" t="inlineStr">
        <is>
          <t>Scope</t>
        </is>
      </c>
      <c r="B4" s="25"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6" t="inlineStr">
        <is>
          <t>Book month (yield basis)</t>
        </is>
      </c>
      <c r="B5" s="25"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6" t="inlineStr">
        <is>
          <t>Annualization</t>
        </is>
      </c>
      <c r="B6" s="25" t="inlineStr">
        <is>
          <t>Simple: monthly amount ÷ the book month's average receivables × 12. No compounding.</t>
        </is>
      </c>
    </row>
    <row r="7" ht="105" customHeight="1">
      <c r="A7" s="26" t="inlineStr">
        <is>
          <t>Revolving interest</t>
        </is>
      </c>
      <c r="B7" s="25"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6" t="inlineStr">
        <is>
          <t>Installment interest and upfront fees</t>
        </is>
      </c>
      <c r="B8" s="25"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6" t="inlineStr">
        <is>
          <t>Late payment fees</t>
        </is>
      </c>
      <c r="B9" s="25" t="inlineStr">
        <is>
          <t>Fee billed when the minimum payment is not received by the due date.</t>
        </is>
      </c>
    </row>
    <row r="10" ht="90" customHeight="1">
      <c r="A10" s="26" t="inlineStr">
        <is>
          <t>Interchange</t>
        </is>
      </c>
      <c r="B10" s="25"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6" t="inlineStr">
        <is>
          <t>Turnover</t>
        </is>
      </c>
      <c r="B11" s="25"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6" t="inlineStr">
        <is>
          <t>Principal flow</t>
        </is>
      </c>
      <c r="B12" s="25"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6" t="inlineStr">
        <is>
          <t>Principal originated (Loss Rate tab)</t>
        </is>
      </c>
      <c r="B13" s="25"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6" t="inlineStr">
        <is>
          <t>Loss rate</t>
        </is>
      </c>
      <c r="B14" s="25"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6" t="inlineStr">
        <is>
          <t>Loss on receivables</t>
        </is>
      </c>
      <c r="B15" s="25"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6" t="inlineStr">
        <is>
          <t>Net yield</t>
        </is>
      </c>
      <c r="B16" s="25" t="inlineStr">
        <is>
          <t>Gross yield less loss on receivables. Before operating costs, servicing, processing and network costs, funding costs, taxes and FX.</t>
        </is>
      </c>
    </row>
    <row r="17" ht="60" customHeight="1">
      <c r="A17" s="26" t="inlineStr">
        <is>
          <t>Sources</t>
        </is>
      </c>
      <c r="B17" s="25"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as of 27 October 2026). September 2026 is the latest complete month.</t>
        </is>
      </c>
    </row>
    <row r="18" ht="30" customHeight="1">
      <c r="A18" s="26" t="inlineStr">
        <is>
          <t>Prepared</t>
        </is>
      </c>
      <c r="B18" s="25" t="inlineStr">
        <is>
          <t>Zed Financial, October 2026, in connection with the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2026-10-29T01:33:20Z</dcterms:created>
  <dcterms:modified xmlns:dcterms="http://purl.org/dc/terms/" xmlns:xsi="http://www.w3.org/2001/XMLSchema-instance" xsi:type="dcterms:W3CDTF">2026-10-29T01:33:20Z</dcterms:modified>
</cp:coreProperties>
</file>