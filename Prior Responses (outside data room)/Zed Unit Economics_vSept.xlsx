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0" yWindow="600" windowWidth="25520" windowHeight="19660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rgb="FF0070C0"/>
      <sz val="10"/>
    </font>
    <font>
      <name val="Arial"/>
      <family val="2"/>
      <i val="1"/>
      <sz val="10"/>
    </font>
    <font>
      <name val="Arial"/>
      <family val="2"/>
      <color rgb="FF0070C0"/>
      <sz val="10"/>
    </font>
    <font>
      <i val="1"/>
      <color rgb="009C5700"/>
    </font>
    <font>
      <i val="1"/>
      <color rgb="006B728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2">
    <xf numFmtId="0" fontId="6" fillId="0" borderId="2"/>
    <xf numFmtId="9" fontId="6" fillId="0" borderId="2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top" wrapText="1"/>
    </xf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0" fontId="3" fillId="2" borderId="1" pivotButton="0" quotePrefix="0" xfId="0"/>
    <xf numFmtId="0" fontId="0" fillId="2" borderId="1" pivotButton="0" quotePrefix="0" xfId="0"/>
    <xf numFmtId="0" fontId="2" fillId="0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right"/>
    </xf>
    <xf numFmtId="165" fontId="7" fillId="3" borderId="1" applyAlignment="1" pivotButton="0" quotePrefix="0" xfId="0">
      <alignment horizontal="right"/>
    </xf>
    <xf numFmtId="9" fontId="7" fillId="3" borderId="1" applyAlignment="1" pivotButton="0" quotePrefix="0" xfId="0">
      <alignment horizontal="right"/>
    </xf>
    <xf numFmtId="0" fontId="8" fillId="0" borderId="2" pivotButton="0" quotePrefix="0" xfId="0"/>
    <xf numFmtId="9" fontId="8" fillId="0" borderId="2" applyAlignment="1" pivotButton="0" quotePrefix="0" xfId="1">
      <alignment horizontal="right"/>
    </xf>
    <xf numFmtId="164" fontId="9" fillId="0" borderId="1" applyAlignment="1" pivotButton="0" quotePrefix="0" xfId="0">
      <alignment horizontal="right"/>
    </xf>
    <xf numFmtId="0" fontId="4" fillId="0" borderId="1" applyAlignment="1" pivotButton="0" quotePrefix="0" xfId="0">
      <alignment wrapText="1"/>
    </xf>
    <xf numFmtId="164" fontId="9" fillId="5" borderId="1" applyAlignment="1" pivotButton="0" quotePrefix="0" xfId="0">
      <alignment horizontal="right"/>
    </xf>
    <xf numFmtId="0" fontId="10" fillId="0" borderId="1" applyAlignment="1" pivotButton="0" quotePrefix="0" xfId="0">
      <alignment horizontal="left" vertical="top" wrapText="1"/>
    </xf>
    <xf numFmtId="9" fontId="7" fillId="5" borderId="1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166" fontId="7" fillId="0" borderId="1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tabSelected="1" topLeftCell="A2" zoomScale="120" zoomScaleNormal="120" workbookViewId="0">
      <selection activeCell="A2" sqref="A2"/>
    </sheetView>
  </sheetViews>
  <sheetFormatPr baseColWidth="10" defaultColWidth="8.83203125" defaultRowHeight="15"/>
  <cols>
    <col width="2.5" customWidth="1" min="1" max="1"/>
    <col width="33.5" customWidth="1" min="2" max="2"/>
    <col width="14" customWidth="1" min="3" max="4"/>
    <col width="52" customWidth="1" min="5" max="5"/>
  </cols>
  <sheetData>
    <row r="2" ht="18" customHeight="1">
      <c r="B2" s="1" t="inlineStr">
        <is>
          <t>Contribution Margin per Active Account (monthly, USD)</t>
        </is>
      </c>
    </row>
    <row r="4">
      <c r="B4" s="2" t="inlineStr">
        <is>
          <t>Line</t>
        </is>
      </c>
      <c r="C4" s="2" t="inlineStr">
        <is>
          <t>Today (September)</t>
        </is>
      </c>
      <c r="D4" s="2" t="inlineStr">
        <is>
          <t>Pro forma</t>
        </is>
      </c>
      <c r="E4" s="2" t="inlineStr">
        <is>
          <t>Note</t>
        </is>
      </c>
    </row>
    <row r="5">
      <c r="B5" s="3" t="inlineStr">
        <is>
          <t>Revolving interest income</t>
        </is>
      </c>
      <c r="C5" s="4">
        <f>$C$17/$C$16</f>
        <v/>
      </c>
      <c r="D5" s="4">
        <f>($C$17/$C$16)*($C$21/$C$18)*($C$22/$C$19)</f>
        <v/>
      </c>
      <c r="E5" s="5" t="inlineStr">
        <is>
          <t>Pro forma scales with revolving share × accrual coverage.</t>
        </is>
      </c>
    </row>
    <row r="6" ht="29" customHeight="1">
      <c r="B6" s="17" t="inlineStr">
        <is>
          <t>Interchange + installment interest + fee income</t>
        </is>
      </c>
      <c r="C6" s="16">
        <f>(C23-C17)/C16</f>
        <v/>
      </c>
      <c r="D6" s="4">
        <f>C6</f>
        <v/>
      </c>
      <c r="E6" s="5" t="inlineStr">
        <is>
          <t>Residual of ARPAC (interchange, installment interest, fees) held flat — Sep 2026: (total revenue − revolving interest) ÷ active accounts</t>
        </is>
      </c>
    </row>
    <row r="7">
      <c r="B7" s="6" t="inlineStr">
        <is>
          <t>Gross Revenue (ARPAC)</t>
        </is>
      </c>
      <c r="C7" s="7">
        <f>C5+C6</f>
        <v/>
      </c>
      <c r="D7" s="7">
        <f>D5+D6</f>
        <v/>
      </c>
      <c r="E7" s="5" t="n"/>
    </row>
    <row r="8">
      <c r="B8" s="3" t="inlineStr">
        <is>
          <t>(-) Interest Expense</t>
        </is>
      </c>
      <c r="C8" s="16" t="n">
        <v>0</v>
      </c>
      <c r="D8" s="4">
        <f>C8</f>
        <v/>
      </c>
      <c r="E8" s="5" t="inlineStr">
        <is>
          <t>No debt today</t>
        </is>
      </c>
    </row>
    <row r="9">
      <c r="B9" s="6" t="inlineStr">
        <is>
          <t>Net Revenue</t>
        </is>
      </c>
      <c r="C9" s="7">
        <f>C7+C8</f>
        <v/>
      </c>
      <c r="D9" s="7">
        <f>D7+D8</f>
        <v/>
      </c>
      <c r="E9" s="5" t="n"/>
    </row>
    <row r="10">
      <c r="B10" s="3" t="inlineStr">
        <is>
          <t>(-) Loan Loss Provision</t>
        </is>
      </c>
      <c r="C10" s="18" t="n">
        <v>-3.923595980962454</v>
      </c>
      <c r="D10" s="4">
        <f>C10</f>
        <v/>
      </c>
      <c r="E10" s="19" t="inlineStr">
        <is>
          <t>[Steve/Auvrey: September loan-loss provision (USD) ÷ 11,608 — June value shown; not in KPI Dashboard]</t>
        </is>
      </c>
    </row>
    <row r="11">
      <c r="B11" s="3" t="inlineStr">
        <is>
          <t>(-) MC + Processor Fee</t>
        </is>
      </c>
      <c r="C11" s="18" t="n">
        <v>-2.120308196721311</v>
      </c>
      <c r="D11" s="4">
        <f>C11</f>
        <v/>
      </c>
      <c r="E11" s="19" t="inlineStr">
        <is>
          <t>[Steve: September i2c variable cost (Signature + PIN POS/ATM invoice lines) ÷ 11,608 — June value shown; Sep invoice not on file]</t>
        </is>
      </c>
    </row>
    <row r="12">
      <c r="B12" s="6" t="inlineStr">
        <is>
          <t>Gross Margin</t>
        </is>
      </c>
      <c r="C12" s="7">
        <f>C9+C10+C11</f>
        <v/>
      </c>
      <c r="D12" s="7">
        <f>D9+D10+D11</f>
        <v/>
      </c>
      <c r="E12" s="5" t="n"/>
    </row>
    <row r="13">
      <c r="B13" s="14" t="inlineStr">
        <is>
          <t>% Margin</t>
        </is>
      </c>
      <c r="C13" s="15">
        <f>C12/C9</f>
        <v/>
      </c>
      <c r="D13" s="15">
        <f>D12/D9</f>
        <v/>
      </c>
      <c r="E13" s="10" t="n"/>
    </row>
    <row r="15">
      <c r="B15" s="8" t="inlineStr">
        <is>
          <t>Actuals</t>
        </is>
      </c>
      <c r="C15" s="9" t="n"/>
    </row>
    <row r="16">
      <c r="B16" s="3" t="inlineStr">
        <is>
          <t>September active accounts</t>
        </is>
      </c>
      <c r="C16" s="11" t="n">
        <v>11608</v>
      </c>
      <c r="E16" t="inlineStr">
        <is>
          <t>KPI Dashboard (Monthly) r7, Sep 2026</t>
        </is>
      </c>
    </row>
    <row r="17">
      <c r="B17" s="3" t="inlineStr">
        <is>
          <t>Revolving Interest Revenue (September, USD)</t>
        </is>
      </c>
      <c r="C17" s="12" t="n">
        <v>39958</v>
      </c>
      <c r="E17" t="inlineStr">
        <is>
          <t>KPI Dashboard r38, Sep 2026</t>
        </is>
      </c>
    </row>
    <row r="18">
      <c r="B18" s="3" t="inlineStr">
        <is>
          <t>Revolvers (% of active accounts, September)</t>
        </is>
      </c>
      <c r="C18" s="23" t="n">
        <v>0.2688</v>
      </c>
      <c r="E18" s="22" t="inlineStr">
        <is>
          <t>Warehouse revolver-transactor report (run 2026-10-26): users with revolving interest charged ÷ qualifying users, Sep 2026 = 2,591 / 9,640. Same definition gives June = 12.98% (the 13% in vF).</t>
        </is>
      </c>
    </row>
    <row r="19">
      <c r="B19" s="3" t="inlineStr">
        <is>
          <t>Accounts able to accrue (September)</t>
        </is>
      </c>
      <c r="C19" s="13" t="n">
        <v>1</v>
      </c>
      <c r="E19" t="inlineStr">
        <is>
          <t>Entire base on revolving since 15 Jun 2026 (1.0 vs 0.55 in June)</t>
        </is>
      </c>
    </row>
    <row r="20">
      <c r="B20" s="8" t="inlineStr">
        <is>
          <t>Pro-forma (revolving ramp)</t>
        </is>
      </c>
      <c r="C20" s="9" t="n"/>
    </row>
    <row r="21">
      <c r="B21" s="3" t="inlineStr">
        <is>
          <t>Target accounts revolving</t>
        </is>
      </c>
      <c r="C21" s="13" t="n">
        <v>0.3</v>
      </c>
      <c r="E21" s="21" t="inlineStr">
        <is>
          <t>[Steve: 30% target now sits just above the Sep actual of 26.9%; the pro forma uplift is small. Parked alternative: 50% (stated to Raymond 9/18).]</t>
        </is>
      </c>
    </row>
    <row r="22">
      <c r="B22" s="3" t="inlineStr">
        <is>
          <t>Accounts able to accrue</t>
        </is>
      </c>
      <c r="C22" s="13" t="n">
        <v>1</v>
      </c>
    </row>
    <row r="23">
      <c r="B23" t="inlineStr">
        <is>
          <t>September total revenue (USD)</t>
        </is>
      </c>
      <c r="C23" t="n">
        <v>105969</v>
      </c>
      <c r="E23" t="inlineStr">
        <is>
          <t>KPI Dashboard r27; components r28 / r34 / r32</t>
        </is>
      </c>
    </row>
    <row r="24">
      <c r="B24" t="inlineStr">
        <is>
          <t xml:space="preserve">  of which interchange fee income</t>
        </is>
      </c>
      <c r="C24" t="n">
        <v>47149</v>
      </c>
    </row>
    <row r="25">
      <c r="B25" t="inlineStr">
        <is>
          <t xml:space="preserve">  of which installments revenue (interest + upfront fees)</t>
        </is>
      </c>
      <c r="C25" t="n">
        <v>16596</v>
      </c>
    </row>
    <row r="26">
      <c r="B26" t="inlineStr">
        <is>
          <t xml:space="preserve">  of which late payment fees</t>
        </is>
      </c>
      <c r="C26" t="n">
        <v>2266</v>
      </c>
    </row>
    <row r="28">
      <c r="B28" s="22" t="inlineStr">
        <is>
          <t>Source for September actuals: Zed KPI Dashboard_v2026 (Monthly tab), snapshot 2026-10-26. June column of the sent vF file is preserved in git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2026-07-31T21:02:59Z</dcterms:created>
  <dcterms:modified xmlns:dcterms="http://purl.org/dc/terms/" xmlns:xsi="http://www.w3.org/2001/XMLSchema-instance" xsi:type="dcterms:W3CDTF">2026-10-27T03:48:57Z</dcterms:modified>
  <cp:lastModifiedBy>Willis, Savannah</cp:lastModifiedBy>
</cp:coreProperties>
</file>