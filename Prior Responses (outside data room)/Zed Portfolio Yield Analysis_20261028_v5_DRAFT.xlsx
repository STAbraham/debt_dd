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Yield Summary" sheetId="1" state="visible" r:id="rId1"/>
    <sheet xmlns:r="http://schemas.openxmlformats.org/officeDocument/2006/relationships" name="Monthly Detail" sheetId="2" state="visible" r:id="rId2"/>
    <sheet xmlns:r="http://schemas.openxmlformats.org/officeDocument/2006/relationships" name="Loss Rate" sheetId="3" state="visible" r:id="rId3"/>
    <sheet xmlns:r="http://schemas.openxmlformats.org/officeDocument/2006/relationships" name="Notes" sheetId="4" state="visible" r:id="rId4"/>
  </sheets>
  <definedNames>
    <definedName name="loss_rate_xfpd">'Loss Rate'!$H$14</definedName>
  </definedNames>
  <calcPr calcId="124519" fullCalcOnLoad="1"/>
</workbook>
</file>

<file path=xl/styles.xml><?xml version="1.0" encoding="utf-8"?>
<styleSheet xmlns="http://schemas.openxmlformats.org/spreadsheetml/2006/main">
  <numFmts count="3">
    <numFmt numFmtId="164" formatCode="0.0%"/>
    <numFmt numFmtId="165" formatCode="0.0&quot;x&quot;"/>
    <numFmt numFmtId="166" formatCode="0.0"/>
  </numFmts>
  <fonts count="5">
    <font>
      <name val="Calibri"/>
      <family val="2"/>
      <color theme="1"/>
      <sz val="11"/>
      <scheme val="minor"/>
    </font>
    <font>
      <b val="1"/>
      <sz val="14"/>
    </font>
    <font>
      <i val="1"/>
      <color rgb="00555555"/>
    </font>
    <font>
      <b val="1"/>
      <color rgb="00FFFFFF"/>
    </font>
    <font>
      <b val="1"/>
    </font>
  </fonts>
  <fills count="5">
    <fill>
      <patternFill/>
    </fill>
    <fill>
      <patternFill patternType="gray125"/>
    </fill>
    <fill>
      <patternFill patternType="solid">
        <fgColor rgb="001F3A5F"/>
      </patternFill>
    </fill>
    <fill>
      <patternFill patternType="solid">
        <fgColor rgb="00E8EEF5"/>
      </patternFill>
    </fill>
    <fill>
      <patternFill patternType="solid">
        <fgColor rgb="00FFF4CC"/>
      </patternFill>
    </fill>
  </fills>
  <borders count="2">
    <border>
      <left/>
      <right/>
      <top/>
      <bottom/>
      <diagonal/>
    </border>
    <border>
      <top style="thin">
        <color rgb="00BBBBBB"/>
      </top>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1" fontId="0" fillId="0" borderId="0" pivotButton="0" quotePrefix="0" xfId="0"/>
    <xf numFmtId="0" fontId="4" fillId="0" borderId="0" pivotButton="0" quotePrefix="0" xfId="0"/>
    <xf numFmtId="3" fontId="4" fillId="0" borderId="0" pivotButton="0" quotePrefix="0" xfId="0"/>
    <xf numFmtId="0" fontId="0" fillId="0" borderId="0" applyAlignment="1" pivotButton="0" quotePrefix="0" xfId="0">
      <alignment vertical="top" wrapText="1"/>
    </xf>
    <xf numFmtId="0" fontId="4" fillId="3" borderId="0" pivotButton="0" quotePrefix="0" xfId="0"/>
    <xf numFmtId="0" fontId="0" fillId="3" borderId="0" pivotButton="0" quotePrefix="0" xfId="0"/>
    <xf numFmtId="3" fontId="0" fillId="0" borderId="0" pivotButton="0" quotePrefix="0" xfId="0"/>
    <xf numFmtId="165" fontId="0" fillId="0" borderId="0" pivotButton="0" quotePrefix="0" xfId="0"/>
    <xf numFmtId="10" fontId="0" fillId="0" borderId="0" pivotButton="0" quotePrefix="0" xfId="0"/>
    <xf numFmtId="164" fontId="4" fillId="0" borderId="0" pivotButton="0" quotePrefix="0" xfId="0"/>
    <xf numFmtId="164" fontId="0" fillId="0" borderId="0" pivotButton="0" quotePrefix="0" xfId="0"/>
    <xf numFmtId="0" fontId="4" fillId="0" borderId="1" pivotButton="0" quotePrefix="0" xfId="0"/>
    <xf numFmtId="3" fontId="4" fillId="0" borderId="1" pivotButton="0" quotePrefix="0" xfId="0"/>
    <xf numFmtId="164" fontId="4" fillId="0" borderId="1" pivotButton="0" quotePrefix="0" xfId="0"/>
    <xf numFmtId="0" fontId="0" fillId="0" borderId="1" applyAlignment="1" pivotButton="0" quotePrefix="0" xfId="0">
      <alignment vertical="top" wrapText="1"/>
    </xf>
    <xf numFmtId="166" fontId="0" fillId="0" borderId="0" pivotButton="0" quotePrefix="0" xfId="0"/>
    <xf numFmtId="10" fontId="4" fillId="4" borderId="1" pivotButton="0" quotePrefix="0" xfId="0"/>
    <xf numFmtId="0" fontId="4" fillId="0" borderId="0" applyAlignment="1" pivotButton="0" quotePrefix="0" xfId="0">
      <alignment vertical="top" wrapText="1"/>
    </xf>
    <xf numFmtId="10" fontId="0" fillId="0" borderId="0" applyAlignment="1" pivotButton="0" quotePrefix="0" xfId="0">
      <alignment horizontal="right"/>
    </xf>
    <xf numFmtId="10" fontId="4" fillId="0" borderId="0" pivotButton="0" quotePrefix="0" xfId="0"/>
    <xf numFmtId="0" fontId="4"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1"/>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60" customWidth="1" min="1" max="1"/>
    <col width="15" customWidth="1" min="2" max="2"/>
    <col width="12" customWidth="1" min="3" max="3"/>
    <col width="15" customWidth="1" min="4" max="4"/>
    <col width="12" customWidth="1" min="5" max="5"/>
    <col width="15" customWidth="1" min="6" max="6"/>
    <col width="12" customWidth="1" min="7" max="7"/>
    <col width="15" customWidth="1" min="8" max="8"/>
    <col width="12" customWidth="1" min="9" max="9"/>
    <col width="66" customWidth="1" min="10" max="10"/>
  </cols>
  <sheetData>
    <row r="1">
      <c r="A1" s="1" t="inlineStr">
        <is>
          <t>Zed — Portfolio yield on receivables</t>
        </is>
      </c>
    </row>
    <row r="2">
      <c r="A2" s="2" t="inlineStr">
        <is>
          <t>Gross and net yield by book month, annualized: the June, July and August 2026 books — whose interest was earned in July–September — and the three together. PHP; before operating, servicing and funding costs.</t>
        </is>
      </c>
    </row>
    <row r="3"/>
    <row r="4">
      <c r="A4" s="3" t="inlineStr"/>
      <c r="B4" s="3" t="inlineStr">
        <is>
          <t>Jun 2026 book</t>
        </is>
      </c>
      <c r="C4" s="3" t="inlineStr">
        <is>
          <t>Annualized</t>
        </is>
      </c>
      <c r="D4" s="3" t="inlineStr">
        <is>
          <t>Jul 2026 book</t>
        </is>
      </c>
      <c r="E4" s="3" t="inlineStr">
        <is>
          <t>Annualized</t>
        </is>
      </c>
      <c r="F4" s="3" t="inlineStr">
        <is>
          <t>Aug 2026 book</t>
        </is>
      </c>
      <c r="G4" s="3" t="inlineStr">
        <is>
          <t>Annualized</t>
        </is>
      </c>
      <c r="H4" s="3" t="inlineStr">
        <is>
          <t>Jun–Aug 2026</t>
        </is>
      </c>
      <c r="I4" s="3" t="inlineStr">
        <is>
          <t>Annualized</t>
        </is>
      </c>
      <c r="J4" s="3" t="inlineStr">
        <is>
          <t>Notes</t>
        </is>
      </c>
    </row>
    <row r="5">
      <c r="A5" t="inlineStr">
        <is>
          <t>Months in period</t>
        </is>
      </c>
      <c r="B5" s="4" t="n">
        <v>1</v>
      </c>
      <c r="D5" s="4" t="n">
        <v>1</v>
      </c>
      <c r="F5" s="4" t="n">
        <v>1</v>
      </c>
      <c r="H5" s="4" t="n">
        <v>3</v>
      </c>
    </row>
    <row r="6" ht="64" customHeight="1">
      <c r="A6" s="5" t="inlineStr">
        <is>
          <t>Average receivables of the book month (denominator for all yields)</t>
        </is>
      </c>
      <c r="B6" s="6">
        <f>'Monthly Detail'!G16</f>
        <v/>
      </c>
      <c r="C6" s="5" t="n"/>
      <c r="D6" s="6">
        <f>'Monthly Detail'!H16</f>
        <v/>
      </c>
      <c r="E6" s="5" t="n"/>
      <c r="F6" s="6">
        <f>'Monthly Detail'!I16</f>
        <v/>
      </c>
      <c r="G6" s="5" t="n"/>
      <c r="H6" s="6">
        <f>AVERAGE('Monthly Detail'!G16:I16)</f>
        <v/>
      </c>
      <c r="I6" s="5" t="n"/>
      <c r="J6" s="7" t="inlineStr">
        <is>
          <t>The capital employed in the month. Everything below is what that capital earned and lost: interchange and upfront fees when it was created, interest and late fees the following month, losses on the principal it lent.</t>
        </is>
      </c>
    </row>
    <row r="7">
      <c r="A7" s="8" t="inlineStr">
        <is>
          <t>Earned when the balance is created — the book month's purchases and conversions</t>
        </is>
      </c>
      <c r="B7" s="9" t="n"/>
      <c r="C7" s="9" t="n"/>
      <c r="D7" s="9" t="n"/>
      <c r="E7" s="9" t="n"/>
      <c r="F7" s="9" t="n"/>
      <c r="G7" s="9" t="n"/>
      <c r="H7" s="9" t="n"/>
      <c r="I7" s="9" t="n"/>
      <c r="J7" s="9" t="n"/>
    </row>
    <row r="8" ht="34" customHeight="1">
      <c r="A8" t="inlineStr">
        <is>
          <t>Purchase volume settled</t>
        </is>
      </c>
      <c r="B8" s="10">
        <f>'Monthly Detail'!G20</f>
        <v/>
      </c>
      <c r="D8" s="10">
        <f>'Monthly Detail'!H20</f>
        <v/>
      </c>
      <c r="F8" s="10">
        <f>'Monthly Detail'!I20</f>
        <v/>
      </c>
      <c r="H8" s="10">
        <f>'Monthly Detail'!G20+'Monthly Detail'!H20+'Monthly Detail'!I20</f>
        <v/>
      </c>
      <c r="J8" s="7" t="inlineStr">
        <is>
          <t>Cardholder purchases settled through Mastercard in the book month, net of returns.</t>
        </is>
      </c>
    </row>
    <row r="9" ht="34" customHeight="1">
      <c r="A9" t="inlineStr">
        <is>
          <t>Purchase turnover (annualized purchase volume ÷ average receivables)</t>
        </is>
      </c>
      <c r="C9" s="11">
        <f>B8*12/B$5/B$6</f>
        <v/>
      </c>
      <c r="E9" s="11">
        <f>D8*12/D$5/D$6</f>
        <v/>
      </c>
      <c r="G9" s="11">
        <f>F8*12/F$5/F$6</f>
        <v/>
      </c>
      <c r="I9" s="11">
        <f>H8*12/H$5/H$6</f>
        <v/>
      </c>
      <c r="J9" s="7" t="inlineStr">
        <is>
          <t>How many times a year the book is re-spent. Falls as more of the book revolves.</t>
        </is>
      </c>
    </row>
    <row r="10" ht="34" customHeight="1">
      <c r="A10" t="inlineStr">
        <is>
          <t>Interchange rate on purchase volume</t>
        </is>
      </c>
      <c r="C10" s="12">
        <f>B11/B8</f>
        <v/>
      </c>
      <c r="E10" s="12">
        <f>D11/D8</f>
        <v/>
      </c>
      <c r="G10" s="12">
        <f>F11/F8</f>
        <v/>
      </c>
      <c r="I10" s="12">
        <f>H11/H8</f>
        <v/>
      </c>
      <c r="J10" s="7" t="inlineStr">
        <is>
          <t>Set by Mastercard by merchant category and domestic/foreign; gross of network and processing costs.</t>
        </is>
      </c>
    </row>
    <row r="11" ht="64" customHeight="1">
      <c r="A11" s="5" t="inlineStr">
        <is>
          <t>Interchange income</t>
        </is>
      </c>
      <c r="B11" s="6">
        <f>'Monthly Detail'!G9</f>
        <v/>
      </c>
      <c r="C11" s="13">
        <f>C10*C9</f>
        <v/>
      </c>
      <c r="D11" s="6">
        <f>'Monthly Detail'!H9</f>
        <v/>
      </c>
      <c r="E11" s="13">
        <f>E10*E9</f>
        <v/>
      </c>
      <c r="F11" s="6">
        <f>'Monthly Detail'!I9</f>
        <v/>
      </c>
      <c r="G11" s="13">
        <f>G10*G9</f>
        <v/>
      </c>
      <c r="H11" s="6">
        <f>'Monthly Detail'!G9+'Monthly Detail'!H9+'Monthly Detail'!I9</f>
        <v/>
      </c>
      <c r="I11" s="13">
        <f>I10*I9</f>
        <v/>
      </c>
      <c r="J11" s="7" t="inlineStr">
        <is>
          <t>Yield = interchange rate × purchase turnover. Mastercard settles each purchase to the merchant net of interchange and the cardholder is billed the full amount, so interchange is collected through cardholder payments. Earned once, when the receivable is created.</t>
        </is>
      </c>
    </row>
    <row r="12" ht="34" customHeight="1">
      <c r="A12" t="inlineStr">
        <is>
          <t>Installment upfront fees</t>
        </is>
      </c>
      <c r="B12" s="10">
        <f>'Monthly Detail'!G7</f>
        <v/>
      </c>
      <c r="C12" s="14">
        <f>B12*12/B$5/B$6</f>
        <v/>
      </c>
      <c r="D12" s="10">
        <f>'Monthly Detail'!H7</f>
        <v/>
      </c>
      <c r="E12" s="14">
        <f>D12*12/D$5/D$6</f>
        <v/>
      </c>
      <c r="F12" s="10">
        <f>'Monthly Detail'!I7</f>
        <v/>
      </c>
      <c r="G12" s="14">
        <f>F12*12/F$5/F$6</f>
        <v/>
      </c>
      <c r="H12" s="10">
        <f>'Monthly Detail'!G7+'Monthly Detail'!H7+'Monthly Detail'!I7</f>
        <v/>
      </c>
      <c r="I12" s="14">
        <f>H12*12/H$5/H$6</f>
        <v/>
      </c>
      <c r="J12" s="7" t="inlineStr">
        <is>
          <t>0.5% × term in months, billed when a purchase is converted to installments (within the purchase's statement cycle).</t>
        </is>
      </c>
    </row>
    <row r="13">
      <c r="A13" s="8" t="inlineStr">
        <is>
          <t>Earned the following month — charged on the balance billed at the end of the book month</t>
        </is>
      </c>
      <c r="B13" s="9" t="n"/>
      <c r="C13" s="9" t="n"/>
      <c r="D13" s="9" t="n"/>
      <c r="E13" s="9" t="n"/>
      <c r="F13" s="9" t="n"/>
      <c r="G13" s="9" t="n"/>
      <c r="H13" s="9" t="n"/>
      <c r="I13" s="9" t="n"/>
      <c r="J13" s="9" t="n"/>
    </row>
    <row r="14" ht="64" customHeight="1">
      <c r="A14" t="inlineStr">
        <is>
          <t>Revolving interest (accrued)</t>
        </is>
      </c>
      <c r="B14" s="10">
        <f>'Monthly Detail'!H11</f>
        <v/>
      </c>
      <c r="C14" s="14">
        <f>B14*12/B$5/B$6</f>
        <v/>
      </c>
      <c r="D14" s="10">
        <f>'Monthly Detail'!I11</f>
        <v/>
      </c>
      <c r="E14" s="14">
        <f>D14*12/D$5/D$6</f>
        <v/>
      </c>
      <c r="F14" s="10">
        <f>'Monthly Detail'!J11</f>
        <v/>
      </c>
      <c r="G14" s="14">
        <f>F14*12/F$5/F$6</f>
        <v/>
      </c>
      <c r="H14" s="10">
        <f>'Monthly Detail'!H11+'Monthly Detail'!I11+'Monthly Detail'!J11</f>
        <v/>
      </c>
      <c r="I14" s="14">
        <f>H14*12/H$5/H$6</f>
        <v/>
      </c>
      <c r="J14" s="7" t="inlineStr">
        <is>
          <t>3% per month (BSP cap) on billed balances not paid in full by the due date; a purchase earns no interest until it has been statemented. Accrual basis: each statement cycle's interest allocated across the calendar days it covers. For the June book this is July's interest, and so on.</t>
        </is>
      </c>
    </row>
    <row r="15" ht="34" customHeight="1">
      <c r="A15" t="inlineStr">
        <is>
          <t>Installment interest (accrued)</t>
        </is>
      </c>
      <c r="B15" s="10">
        <f>'Monthly Detail'!H12</f>
        <v/>
      </c>
      <c r="C15" s="14">
        <f>B15*12/B$5/B$6</f>
        <v/>
      </c>
      <c r="D15" s="10">
        <f>'Monthly Detail'!I12</f>
        <v/>
      </c>
      <c r="E15" s="14">
        <f>D15*12/D$5/D$6</f>
        <v/>
      </c>
      <c r="F15" s="10">
        <f>'Monthly Detail'!J12</f>
        <v/>
      </c>
      <c r="G15" s="14">
        <f>F15*12/F$5/F$6</f>
        <v/>
      </c>
      <c r="H15" s="10">
        <f>'Monthly Detail'!H12+'Monthly Detail'!I12+'Monthly Detail'!J12</f>
        <v/>
      </c>
      <c r="I15" s="14">
        <f>H15*12/H$5/H$6</f>
        <v/>
      </c>
      <c r="J15" s="7" t="inlineStr">
        <is>
          <t>1% per month on installment balances; accrual basis; following month.</t>
        </is>
      </c>
    </row>
    <row r="16" ht="34" customHeight="1">
      <c r="A16" t="inlineStr">
        <is>
          <t>Late payment fees</t>
        </is>
      </c>
      <c r="B16" s="10">
        <f>'Monthly Detail'!H8</f>
        <v/>
      </c>
      <c r="C16" s="14">
        <f>B16*12/B$5/B$6</f>
        <v/>
      </c>
      <c r="D16" s="10">
        <f>'Monthly Detail'!I8</f>
        <v/>
      </c>
      <c r="E16" s="14">
        <f>D16*12/D$5/D$6</f>
        <v/>
      </c>
      <c r="F16" s="10">
        <f>'Monthly Detail'!J8</f>
        <v/>
      </c>
      <c r="G16" s="14">
        <f>F16*12/F$5/F$6</f>
        <v/>
      </c>
      <c r="H16" s="10">
        <f>'Monthly Detail'!H8+'Monthly Detail'!I8+'Monthly Detail'!J8</f>
        <v/>
      </c>
      <c r="I16" s="14">
        <f>H16*12/H$5/H$6</f>
        <v/>
      </c>
      <c r="J16" s="7" t="inlineStr">
        <is>
          <t>Billed when the book month's statement is not paid by its due date; following month.</t>
        </is>
      </c>
    </row>
    <row r="17">
      <c r="A17" s="5" t="inlineStr">
        <is>
          <t>Interest and fees (rows 12, 14–16)</t>
        </is>
      </c>
      <c r="B17" s="6">
        <f>B12+B14+B15+B16</f>
        <v/>
      </c>
      <c r="C17" s="13">
        <f>B17*12/B$5/B$6</f>
        <v/>
      </c>
      <c r="D17" s="6">
        <f>D12+D14+D15+D16</f>
        <v/>
      </c>
      <c r="E17" s="13">
        <f>D17*12/D$5/D$6</f>
        <v/>
      </c>
      <c r="F17" s="6">
        <f>F12+F14+F15+F16</f>
        <v/>
      </c>
      <c r="G17" s="13">
        <f>F17*12/F$5/F$6</f>
        <v/>
      </c>
      <c r="H17" s="6">
        <f>H12+H14+H15+H16</f>
        <v/>
      </c>
      <c r="I17" s="13">
        <f>H17*12/H$5/H$6</f>
        <v/>
      </c>
    </row>
    <row r="18"/>
    <row r="19">
      <c r="A19" s="8" t="inlineStr">
        <is>
          <t>Gross yield (annualized, on the book month's average receivables)</t>
        </is>
      </c>
      <c r="B19" s="9" t="n"/>
      <c r="C19" s="9" t="n"/>
      <c r="D19" s="9" t="n"/>
      <c r="E19" s="9" t="n"/>
      <c r="F19" s="9" t="n"/>
      <c r="G19" s="9" t="n"/>
      <c r="H19" s="9" t="n"/>
      <c r="I19" s="9" t="n"/>
      <c r="J19" s="9" t="n"/>
    </row>
    <row r="20">
      <c r="A20" t="inlineStr">
        <is>
          <t>Gross yield — interest and fees</t>
        </is>
      </c>
      <c r="C20" s="14">
        <f>C17</f>
        <v/>
      </c>
      <c r="E20" s="14">
        <f>E17</f>
        <v/>
      </c>
      <c r="G20" s="14">
        <f>G17</f>
        <v/>
      </c>
      <c r="I20" s="14">
        <f>I17</f>
        <v/>
      </c>
    </row>
    <row r="21">
      <c r="A21" s="15" t="inlineStr">
        <is>
          <t>Gross yield — all revenue, including interchange</t>
        </is>
      </c>
      <c r="B21" s="16">
        <f>B11+B17</f>
        <v/>
      </c>
      <c r="C21" s="17">
        <f>C11+C17</f>
        <v/>
      </c>
      <c r="D21" s="16">
        <f>D11+D17</f>
        <v/>
      </c>
      <c r="E21" s="17">
        <f>E11+E17</f>
        <v/>
      </c>
      <c r="F21" s="16">
        <f>F11+F17</f>
        <v/>
      </c>
      <c r="G21" s="17">
        <f>G11+G17</f>
        <v/>
      </c>
      <c r="H21" s="16">
        <f>H11+H17</f>
        <v/>
      </c>
      <c r="I21" s="17">
        <f>I11+I17</f>
        <v/>
      </c>
      <c r="J21" s="18" t="inlineStr">
        <is>
          <t>Amount column: the revenue attributable to the book month.</t>
        </is>
      </c>
    </row>
    <row r="22"/>
    <row r="23">
      <c r="A23" s="8" t="inlineStr">
        <is>
          <t>Loss on the principal the book month lent — a function of turnover</t>
        </is>
      </c>
      <c r="B23" s="9" t="n"/>
      <c r="C23" s="9" t="n"/>
      <c r="D23" s="9" t="n"/>
      <c r="E23" s="9" t="n"/>
      <c r="F23" s="9" t="n"/>
      <c r="G23" s="9" t="n"/>
      <c r="H23" s="9" t="n"/>
      <c r="I23" s="9" t="n"/>
      <c r="J23" s="9" t="n"/>
    </row>
    <row r="24" ht="34" customHeight="1">
      <c r="A24" t="inlineStr">
        <is>
          <t>Principal flow in the book month (purchase volume + pay-a-friend transfers)</t>
        </is>
      </c>
      <c r="B24" s="10">
        <f>'Monthly Detail'!G22</f>
        <v/>
      </c>
      <c r="D24" s="10">
        <f>'Monthly Detail'!H22</f>
        <v/>
      </c>
      <c r="F24" s="10">
        <f>'Monthly Detail'!I22</f>
        <v/>
      </c>
      <c r="H24" s="10">
        <f>'Monthly Detail'!G22+'Monthly Detail'!H22+'Monthly Detail'!I22</f>
        <v/>
      </c>
      <c r="J24" s="7" t="inlineStr">
        <is>
          <t>Everything that became a receivable in the month: Mastercard purchases net of returns plus pay-a-friend transfers (which earn no interchange).</t>
        </is>
      </c>
    </row>
    <row r="25" ht="34" customHeight="1">
      <c r="A25" t="inlineStr">
        <is>
          <t>Principal turnover (annualized principal flow ÷ average receivables)</t>
        </is>
      </c>
      <c r="C25" s="11">
        <f>B24*12/B$5/B$6</f>
        <v/>
      </c>
      <c r="E25" s="11">
        <f>D24*12/D$5/D$6</f>
        <v/>
      </c>
      <c r="G25" s="11">
        <f>F24*12/F$5/F$6</f>
        <v/>
      </c>
      <c r="I25" s="11">
        <f>H24*12/H$5/H$6</f>
        <v/>
      </c>
      <c r="J25" s="7" t="inlineStr">
        <is>
          <t>Each peso of receivables is re-lent several times a year, so a loss rate on originations must be multiplied by turnover to compare it with a yield on balances. Differs from purchase turnover only by pay-a-friend.</t>
        </is>
      </c>
    </row>
    <row r="26" ht="80" customHeight="1">
      <c r="A26" t="inlineStr">
        <is>
          <t>Loss rate on originated principal — ≥90 DPD, excluding first-payment defaults</t>
        </is>
      </c>
      <c r="C26" s="12">
        <f>loss_rate_xfpd</f>
        <v/>
      </c>
      <c r="E26" s="12">
        <f>loss_rate_xfpd</f>
        <v/>
      </c>
      <c r="G26" s="12">
        <f>loss_rate_xfpd</f>
        <v/>
      </c>
      <c r="I26" s="12">
        <f>loss_rate_xfpd</f>
        <v/>
      </c>
      <c r="J26" s="7" t="inlineStr">
        <is>
          <t>See the Loss Rate tab. Principal 90+ days past due ÷ originated principal on statements whose due date is ≥90 days old, vintages since January 2026, gross of recoveries; first-payment-default accounts (never made a payment; fraud/identity rather than credit) excluded from numerator and denominator. The same rate is applied to every period.</t>
        </is>
      </c>
    </row>
    <row r="27">
      <c r="A27" s="5" t="inlineStr">
        <is>
          <t>Loss on receivables (loss rate × principal turnover)</t>
        </is>
      </c>
      <c r="B27" s="5" t="n"/>
      <c r="C27" s="13">
        <f>C26*C25</f>
        <v/>
      </c>
      <c r="D27" s="5" t="n"/>
      <c r="E27" s="13">
        <f>E26*E25</f>
        <v/>
      </c>
      <c r="F27" s="5" t="n"/>
      <c r="G27" s="13">
        <f>G26*G25</f>
        <v/>
      </c>
      <c r="H27" s="5" t="n"/>
      <c r="I27" s="13">
        <f>I26*I25</f>
        <v/>
      </c>
    </row>
    <row r="28"/>
    <row r="29">
      <c r="A29" s="8" t="inlineStr">
        <is>
          <t>Net yield</t>
        </is>
      </c>
      <c r="B29" s="9" t="n"/>
      <c r="C29" s="9" t="n"/>
      <c r="D29" s="9" t="n"/>
      <c r="E29" s="9" t="n"/>
      <c r="F29" s="9" t="n"/>
      <c r="G29" s="9" t="n"/>
      <c r="H29" s="9" t="n"/>
      <c r="I29" s="9" t="n"/>
      <c r="J29" s="9" t="n"/>
    </row>
    <row r="30">
      <c r="A30" s="5" t="inlineStr">
        <is>
          <t>Net yield — all revenue less loss on receivables</t>
        </is>
      </c>
      <c r="B30" s="5" t="n"/>
      <c r="C30" s="13">
        <f>C21-C27</f>
        <v/>
      </c>
      <c r="D30" s="5" t="n"/>
      <c r="E30" s="13">
        <f>E21-E27</f>
        <v/>
      </c>
      <c r="F30" s="5" t="n"/>
      <c r="G30" s="13">
        <f>G21-G27</f>
        <v/>
      </c>
      <c r="H30" s="5" t="n"/>
      <c r="I30" s="13">
        <f>I21-I27</f>
        <v/>
      </c>
      <c r="J30" s="7" t="inlineStr">
        <is>
          <t>Before operating, servicing and funding costs.</t>
        </is>
      </c>
    </row>
    <row r="31"/>
    <row r="32">
      <c r="A32" s="8" t="inlineStr">
        <is>
          <t>Reference — conventional basis (all of a month's revenue over that month's own average receivables)</t>
        </is>
      </c>
      <c r="B32" s="9" t="n"/>
      <c r="C32" s="9" t="n"/>
      <c r="D32" s="9" t="n"/>
      <c r="E32" s="9" t="n"/>
      <c r="F32" s="9" t="n"/>
      <c r="G32" s="9" t="n"/>
      <c r="H32" s="9" t="n"/>
      <c r="I32" s="9" t="n"/>
      <c r="J32" s="9" t="n"/>
    </row>
    <row r="33">
      <c r="A33" t="inlineStr">
        <is>
          <t>Period on the conventional basis</t>
        </is>
      </c>
      <c r="B33" s="5" t="inlineStr">
        <is>
          <t>Jul 2026</t>
        </is>
      </c>
      <c r="D33" s="5" t="inlineStr">
        <is>
          <t>Aug 2026</t>
        </is>
      </c>
      <c r="F33" s="5" t="inlineStr">
        <is>
          <t>Sep 2026</t>
        </is>
      </c>
      <c r="H33" s="5" t="inlineStr">
        <is>
          <t>Jul–Sep 2026</t>
        </is>
      </c>
    </row>
    <row r="34" ht="64" customHeight="1">
      <c r="A34" t="inlineStr">
        <is>
          <t>Gross yield — all revenue</t>
        </is>
      </c>
      <c r="C34" s="14">
        <f>'Monthly Detail'!H36</f>
        <v/>
      </c>
      <c r="E34" s="14">
        <f>'Monthly Detail'!I36</f>
        <v/>
      </c>
      <c r="G34" s="14">
        <f>'Monthly Detail'!J36</f>
        <v/>
      </c>
      <c r="I34" s="14">
        <f>'Monthly Detail'!K36</f>
        <v/>
      </c>
      <c r="J34" s="7" t="inlineStr">
        <is>
          <t>What a reader computing yield on the tape in the usual way will get: July–September revenue over July–September average receivables, which include each month's own purchases that have not yet been billed. Lower than the book-month basis while the book is growing; identical when it is flat.</t>
        </is>
      </c>
    </row>
    <row r="35">
      <c r="A35" t="inlineStr">
        <is>
          <t>Net yield — all revenue less loss on receivables</t>
        </is>
      </c>
      <c r="C35" s="14">
        <f>'Monthly Detail'!H36-loss_rate_xfpd*'Monthly Detail'!H22*12/'Monthly Detail'!H25/'Monthly Detail'!H16</f>
        <v/>
      </c>
      <c r="E35" s="14">
        <f>'Monthly Detail'!I36-loss_rate_xfpd*'Monthly Detail'!I22*12/'Monthly Detail'!I25/'Monthly Detail'!I16</f>
        <v/>
      </c>
      <c r="G35" s="14">
        <f>'Monthly Detail'!J36-loss_rate_xfpd*'Monthly Detail'!J22*12/'Monthly Detail'!J25/'Monthly Detail'!J16</f>
        <v/>
      </c>
      <c r="I35" s="14">
        <f>'Monthly Detail'!K36-loss_rate_xfpd*'Monthly Detail'!K22*12/'Monthly Detail'!K25/'Monthly Detail'!K16</f>
        <v/>
      </c>
    </row>
    <row r="36"/>
    <row r="37">
      <c r="A37" s="8" t="inlineStr">
        <is>
          <t>Memo — USD equivalents</t>
        </is>
      </c>
      <c r="B37" s="9" t="n"/>
      <c r="C37" s="9" t="n"/>
      <c r="D37" s="9" t="n"/>
      <c r="E37" s="9" t="n"/>
      <c r="F37" s="9" t="n"/>
      <c r="G37" s="9" t="n"/>
      <c r="H37" s="9" t="n"/>
      <c r="I37" s="9" t="n"/>
      <c r="J37" s="9" t="n"/>
    </row>
    <row r="38">
      <c r="A38" t="inlineStr">
        <is>
          <t>PHP per USD</t>
        </is>
      </c>
      <c r="B38" s="19" t="n">
        <v>55.8</v>
      </c>
      <c r="D38" s="19" t="n">
        <v>55.8</v>
      </c>
      <c r="F38" s="19" t="n">
        <v>55.8</v>
      </c>
      <c r="H38" s="19" t="n">
        <v>55.8</v>
      </c>
    </row>
    <row r="39">
      <c r="A39" t="inlineStr">
        <is>
          <t>Average receivables of the book month (USD)</t>
        </is>
      </c>
      <c r="B39" s="10">
        <f>B6/B38</f>
        <v/>
      </c>
      <c r="D39" s="10">
        <f>D6/D38</f>
        <v/>
      </c>
      <c r="F39" s="10">
        <f>F6/F38</f>
        <v/>
      </c>
      <c r="H39" s="10">
        <f>H6/H38</f>
        <v/>
      </c>
    </row>
    <row r="40">
      <c r="A40" t="inlineStr">
        <is>
          <t>Revenue attributable to the book month (USD)</t>
        </is>
      </c>
      <c r="B40" s="10">
        <f>B21/B38</f>
        <v/>
      </c>
      <c r="D40" s="10">
        <f>D21/D38</f>
        <v/>
      </c>
      <c r="F40" s="10">
        <f>F21/F38</f>
        <v/>
      </c>
      <c r="H40" s="10">
        <f>H21/H38</f>
        <v/>
      </c>
    </row>
    <row r="41">
      <c r="A41" t="inlineStr">
        <is>
          <t>Principal flow (USD)</t>
        </is>
      </c>
      <c r="B41" s="10">
        <f>B24/B38</f>
        <v/>
      </c>
      <c r="D41" s="10">
        <f>D24/D38</f>
        <v/>
      </c>
      <c r="F41" s="10">
        <f>F24/F38</f>
        <v/>
      </c>
      <c r="H41" s="10">
        <f>H24/H38</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8"/>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6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6" customWidth="1" min="11" max="11"/>
  </cols>
  <sheetData>
    <row r="1">
      <c r="A1" s="1" t="inlineStr">
        <is>
          <t>Monthly revenue, receivables and originations — January to September 2026</t>
        </is>
      </c>
    </row>
    <row r="2">
      <c r="A2" s="2" t="inlineStr">
        <is>
          <t>PHP. Revenue is recognised in the month billed (interest and fees) or settled (interchange). Yields are annualized simply: month ÷ average receivables × 12.</t>
        </is>
      </c>
    </row>
    <row r="3"/>
    <row r="4">
      <c r="A4" s="3" t="inlineStr">
        <is>
          <t>Line</t>
        </is>
      </c>
      <c r="B4" s="3" t="inlineStr">
        <is>
          <t>Jan 2026</t>
        </is>
      </c>
      <c r="C4" s="3" t="inlineStr">
        <is>
          <t>Feb 2026</t>
        </is>
      </c>
      <c r="D4" s="3" t="inlineStr">
        <is>
          <t>Mar 2026</t>
        </is>
      </c>
      <c r="E4" s="3" t="inlineStr">
        <is>
          <t>Apr 2026</t>
        </is>
      </c>
      <c r="F4" s="3" t="inlineStr">
        <is>
          <t>May 2026</t>
        </is>
      </c>
      <c r="G4" s="3" t="inlineStr">
        <is>
          <t>Jun 2026</t>
        </is>
      </c>
      <c r="H4" s="3" t="inlineStr">
        <is>
          <t>Jul 2026</t>
        </is>
      </c>
      <c r="I4" s="3" t="inlineStr">
        <is>
          <t>Aug 2026</t>
        </is>
      </c>
      <c r="J4" s="3" t="inlineStr">
        <is>
          <t>Sep 2026</t>
        </is>
      </c>
      <c r="K4" s="3" t="inlineStr">
        <is>
          <t>Jul–Sep 2026</t>
        </is>
      </c>
    </row>
    <row r="5">
      <c r="A5" t="inlineStr">
        <is>
          <t>Revolving interest</t>
        </is>
      </c>
      <c r="B5" s="10" t="n">
        <v>0</v>
      </c>
      <c r="C5" s="10" t="n">
        <v>0</v>
      </c>
      <c r="D5" s="10" t="n">
        <v>0</v>
      </c>
      <c r="E5" s="10" t="n">
        <v>0</v>
      </c>
      <c r="F5" s="10" t="n">
        <v>0</v>
      </c>
      <c r="G5" s="10" t="n">
        <v>685463.409999999</v>
      </c>
      <c r="H5" s="10" t="n">
        <v>1501634.9</v>
      </c>
      <c r="I5" s="10" t="n">
        <v>1951592.03</v>
      </c>
      <c r="J5" s="10" t="n">
        <v>2229680.03</v>
      </c>
      <c r="K5" s="10">
        <f>SUM(H5:J5)</f>
        <v/>
      </c>
    </row>
    <row r="6">
      <c r="A6" t="inlineStr">
        <is>
          <t>Installment interest</t>
        </is>
      </c>
      <c r="B6" s="10" t="n">
        <v>1316.21</v>
      </c>
      <c r="C6" s="10" t="n">
        <v>47765.48</v>
      </c>
      <c r="D6" s="10" t="n">
        <v>134016.53</v>
      </c>
      <c r="E6" s="10" t="n">
        <v>220070.96</v>
      </c>
      <c r="F6" s="10" t="n">
        <v>257582.01</v>
      </c>
      <c r="G6" s="10" t="n">
        <v>340853.06</v>
      </c>
      <c r="H6" s="10" t="n">
        <v>403236.04</v>
      </c>
      <c r="I6" s="10" t="n">
        <v>445213.13</v>
      </c>
      <c r="J6" s="10" t="n">
        <v>486325.05</v>
      </c>
      <c r="K6" s="10">
        <f>SUM(H6:J6)</f>
        <v/>
      </c>
    </row>
    <row r="7">
      <c r="A7" t="inlineStr">
        <is>
          <t>Installment upfront fees</t>
        </is>
      </c>
      <c r="B7" s="10" t="n">
        <v>2185.69</v>
      </c>
      <c r="C7" s="10" t="n">
        <v>146390.53</v>
      </c>
      <c r="D7" s="10" t="n">
        <v>291311.38</v>
      </c>
      <c r="E7" s="10" t="n">
        <v>307856.48</v>
      </c>
      <c r="F7" s="10" t="n">
        <v>320397.94</v>
      </c>
      <c r="G7" s="10" t="n">
        <v>337749.34</v>
      </c>
      <c r="H7" s="10" t="n">
        <v>290513.47</v>
      </c>
      <c r="I7" s="10" t="n">
        <v>341458.41</v>
      </c>
      <c r="J7" s="10" t="n">
        <v>439733.93</v>
      </c>
      <c r="K7" s="10">
        <f>SUM(H7:J7)</f>
        <v/>
      </c>
    </row>
    <row r="8">
      <c r="A8" t="inlineStr">
        <is>
          <t>Late payment fees</t>
        </is>
      </c>
      <c r="B8" s="10" t="n">
        <v>64707.62</v>
      </c>
      <c r="C8" s="10" t="n">
        <v>71011.07000000001</v>
      </c>
      <c r="D8" s="10" t="n">
        <v>104805.31</v>
      </c>
      <c r="E8" s="10" t="n">
        <v>138112.4</v>
      </c>
      <c r="F8" s="10" t="n">
        <v>139049.93</v>
      </c>
      <c r="G8" s="10" t="n">
        <v>84871.59</v>
      </c>
      <c r="H8" s="10" t="n">
        <v>89421.49000000001</v>
      </c>
      <c r="I8" s="10" t="n">
        <v>108174.67</v>
      </c>
      <c r="J8" s="10" t="n">
        <v>126426.4</v>
      </c>
      <c r="K8" s="10">
        <f>SUM(H8:J8)</f>
        <v/>
      </c>
    </row>
    <row r="9">
      <c r="A9" t="inlineStr">
        <is>
          <t>Interchange</t>
        </is>
      </c>
      <c r="B9" s="10" t="n">
        <v>800466.96</v>
      </c>
      <c r="C9" s="10" t="n">
        <v>864632.9299999999</v>
      </c>
      <c r="D9" s="10" t="n">
        <v>1364620.690445234</v>
      </c>
      <c r="E9" s="10" t="n">
        <v>1521533.27</v>
      </c>
      <c r="F9" s="10" t="n">
        <v>1545608.623867449</v>
      </c>
      <c r="G9" s="10" t="n">
        <v>1963194.1105</v>
      </c>
      <c r="H9" s="10" t="n">
        <v>1811444.7469</v>
      </c>
      <c r="I9" s="10" t="n">
        <v>1892210.135992006</v>
      </c>
      <c r="J9" s="10" t="n">
        <v>2630889.798</v>
      </c>
      <c r="K9" s="10">
        <f>SUM(H9:J9)</f>
        <v/>
      </c>
    </row>
    <row r="10">
      <c r="A10" t="inlineStr">
        <is>
          <t>Total revenue — billed basis (ties to management reporting)</t>
        </is>
      </c>
      <c r="B10" s="10">
        <f>SUM(B5:B9)</f>
        <v/>
      </c>
      <c r="C10" s="10">
        <f>SUM(C5:C9)</f>
        <v/>
      </c>
      <c r="D10" s="10">
        <f>SUM(D5:D9)</f>
        <v/>
      </c>
      <c r="E10" s="10">
        <f>SUM(E5:E9)</f>
        <v/>
      </c>
      <c r="F10" s="10">
        <f>SUM(F5:F9)</f>
        <v/>
      </c>
      <c r="G10" s="10">
        <f>SUM(G5:G9)</f>
        <v/>
      </c>
      <c r="H10" s="10">
        <f>SUM(H5:H9)</f>
        <v/>
      </c>
      <c r="I10" s="10">
        <f>SUM(I5:I9)</f>
        <v/>
      </c>
      <c r="J10" s="10">
        <f>SUM(J5:J9)</f>
        <v/>
      </c>
      <c r="K10" s="10">
        <f>SUM(K5:K9)</f>
        <v/>
      </c>
    </row>
    <row r="11">
      <c r="A11" t="inlineStr">
        <is>
          <t>Revolving interest — accrued (calendar month)</t>
        </is>
      </c>
      <c r="H11" s="10" t="n">
        <v>1658171.4</v>
      </c>
      <c r="I11" s="10" t="n">
        <v>2023314.88</v>
      </c>
      <c r="J11" s="10" t="n">
        <v>2282599.61</v>
      </c>
      <c r="K11" s="10">
        <f>SUM(H11:J11)</f>
        <v/>
      </c>
    </row>
    <row r="12">
      <c r="A12" t="inlineStr">
        <is>
          <t>Installment interest — accrued (calendar month)</t>
        </is>
      </c>
      <c r="H12" s="10" t="n">
        <v>430644.66</v>
      </c>
      <c r="I12" s="10" t="n">
        <v>467199.88</v>
      </c>
      <c r="J12" s="10" t="n">
        <v>517295.33</v>
      </c>
      <c r="K12" s="10">
        <f>SUM(H12:J12)</f>
        <v/>
      </c>
    </row>
    <row r="13">
      <c r="A13" s="5" t="inlineStr">
        <is>
          <t>Total revenue — accrual basis (used in Yield Summary)</t>
        </is>
      </c>
      <c r="H13" s="6">
        <f>H11+H12+H7+H8+H9</f>
        <v/>
      </c>
      <c r="I13" s="6">
        <f>I11+I12+I7+I8+I9</f>
        <v/>
      </c>
      <c r="J13" s="6">
        <f>J11+J12+J7+J8+J9</f>
        <v/>
      </c>
      <c r="K13" s="6">
        <f>K11+K12+K7+K8+K9</f>
        <v/>
      </c>
    </row>
    <row r="14"/>
    <row r="15">
      <c r="A15" s="8" t="inlineStr">
        <is>
          <t>Balances and volumes</t>
        </is>
      </c>
      <c r="B15" s="9" t="n"/>
      <c r="C15" s="9" t="n"/>
      <c r="D15" s="9" t="n"/>
      <c r="E15" s="9" t="n"/>
      <c r="F15" s="9" t="n"/>
      <c r="G15" s="9" t="n"/>
      <c r="H15" s="9" t="n"/>
      <c r="I15" s="9" t="n"/>
      <c r="J15" s="9" t="n"/>
      <c r="K15" s="9" t="n"/>
    </row>
    <row r="16">
      <c r="A16" t="inlineStr">
        <is>
          <t>Average receivables outstanding</t>
        </is>
      </c>
      <c r="B16" s="10" t="n">
        <v>60876935.09</v>
      </c>
      <c r="C16" s="10" t="n">
        <v>61287125.635</v>
      </c>
      <c r="D16" s="10" t="n">
        <v>78004357.58999999</v>
      </c>
      <c r="E16" s="10" t="n">
        <v>105226683.72</v>
      </c>
      <c r="F16" s="10" t="n">
        <v>126178365.54</v>
      </c>
      <c r="G16" s="10" t="n">
        <v>143946231.47</v>
      </c>
      <c r="H16" s="10" t="n">
        <v>158604610.965</v>
      </c>
      <c r="I16" s="10" t="n">
        <v>176625299.92</v>
      </c>
      <c r="J16" s="10" t="n">
        <v>211159156.895</v>
      </c>
      <c r="K16" s="10">
        <f>AVERAGE(H16:J16)</f>
        <v/>
      </c>
    </row>
    <row r="17">
      <c r="A17" t="inlineStr">
        <is>
          <t>Average receivables outstanding, prior month (reference)</t>
        </is>
      </c>
      <c r="C17" s="10">
        <f>B16</f>
        <v/>
      </c>
      <c r="D17" s="10">
        <f>C16</f>
        <v/>
      </c>
      <c r="E17" s="10">
        <f>D16</f>
        <v/>
      </c>
      <c r="F17" s="10">
        <f>E16</f>
        <v/>
      </c>
      <c r="G17" s="10">
        <f>F16</f>
        <v/>
      </c>
      <c r="H17" s="10">
        <f>G16</f>
        <v/>
      </c>
      <c r="I17" s="10">
        <f>H16</f>
        <v/>
      </c>
      <c r="J17" s="10">
        <f>I16</f>
        <v/>
      </c>
      <c r="K17" s="10">
        <f>AVERAGE(G16:I16)</f>
        <v/>
      </c>
    </row>
    <row r="18">
      <c r="A18" t="inlineStr">
        <is>
          <t>Receivables outstanding, end of month</t>
        </is>
      </c>
      <c r="B18" s="10" t="n">
        <v>59172827.04</v>
      </c>
      <c r="C18" s="10" t="n">
        <v>63401424.23</v>
      </c>
      <c r="D18" s="10" t="n">
        <v>92607290.94999999</v>
      </c>
      <c r="E18" s="10" t="n">
        <v>117846076.49</v>
      </c>
      <c r="F18" s="10" t="n">
        <v>134510654.59</v>
      </c>
      <c r="G18" s="10" t="n">
        <v>153381808.35</v>
      </c>
      <c r="H18" s="10" t="n">
        <v>163827413.58</v>
      </c>
      <c r="I18" s="10" t="n">
        <v>189423186.26</v>
      </c>
      <c r="J18" s="10" t="n">
        <v>232895127.53</v>
      </c>
      <c r="K18" s="10">
        <f>J18</f>
        <v/>
      </c>
    </row>
    <row r="19">
      <c r="A19" t="inlineStr">
        <is>
          <t>Principal originated, statement-month basis (base on which the loss rate is measured)</t>
        </is>
      </c>
      <c r="B19" s="10" t="n">
        <v>69900973.84</v>
      </c>
      <c r="C19" s="10" t="n">
        <v>60820771.28</v>
      </c>
      <c r="D19" s="10" t="n">
        <v>89743205.59</v>
      </c>
      <c r="E19" s="10" t="n">
        <v>107115373.17</v>
      </c>
      <c r="F19" s="10" t="n">
        <v>118184976.17</v>
      </c>
      <c r="G19" s="10" t="n">
        <v>136417479.48</v>
      </c>
      <c r="H19" s="10" t="n">
        <v>140624271.71</v>
      </c>
      <c r="I19" s="10" t="n">
        <v>141888335.14</v>
      </c>
      <c r="J19" s="10" t="n">
        <v>160221212.53</v>
      </c>
      <c r="K19" s="10">
        <f>SUM(H19:J19)</f>
        <v/>
      </c>
    </row>
    <row r="20">
      <c r="A20" t="inlineStr">
        <is>
          <t>Purchase volume settled (Mastercard, net of returns)</t>
        </is>
      </c>
      <c r="B20" s="10" t="n">
        <v>59671645.156</v>
      </c>
      <c r="C20" s="10" t="n">
        <v>60642780.726</v>
      </c>
      <c r="D20" s="10" t="n">
        <v>95344566</v>
      </c>
      <c r="E20" s="10" t="n">
        <v>105947213.036</v>
      </c>
      <c r="F20" s="10" t="n">
        <v>110400244.168</v>
      </c>
      <c r="G20" s="10" t="n">
        <v>137145988.384</v>
      </c>
      <c r="H20" s="10" t="n">
        <v>127249656.88</v>
      </c>
      <c r="I20" s="10" t="n">
        <v>130388896.484</v>
      </c>
      <c r="J20" s="10" t="n">
        <v>190860991.79</v>
      </c>
      <c r="K20" s="10">
        <f>SUM(H20:J20)</f>
        <v/>
      </c>
    </row>
    <row r="21">
      <c r="A21" t="inlineStr">
        <is>
          <t>Pay-a-friend transfers (cardholder-to-cardholder, charged to the card; no interchange)</t>
        </is>
      </c>
      <c r="B21" s="10" t="n">
        <v>1060000</v>
      </c>
      <c r="C21" s="10" t="n">
        <v>980000</v>
      </c>
      <c r="D21" s="10" t="n">
        <v>1900000</v>
      </c>
      <c r="E21" s="10" t="n">
        <v>1190000</v>
      </c>
      <c r="F21" s="10" t="n">
        <v>2250000</v>
      </c>
      <c r="G21" s="10" t="n">
        <v>2040000</v>
      </c>
      <c r="H21" s="10" t="n">
        <v>2730000</v>
      </c>
      <c r="I21" s="10" t="n">
        <v>2970000</v>
      </c>
      <c r="J21" s="10" t="n">
        <v>2650000</v>
      </c>
      <c r="K21" s="10">
        <f>SUM(H21:J21)</f>
        <v/>
      </c>
    </row>
    <row r="22">
      <c r="A22" s="5" t="inlineStr">
        <is>
          <t>Principal flow (purchase volume + pay-a-friend) — calendar-month loss base</t>
        </is>
      </c>
      <c r="B22" s="10">
        <f>B20+B21</f>
        <v/>
      </c>
      <c r="C22" s="10">
        <f>C20+C21</f>
        <v/>
      </c>
      <c r="D22" s="10">
        <f>D20+D21</f>
        <v/>
      </c>
      <c r="E22" s="10">
        <f>E20+E21</f>
        <v/>
      </c>
      <c r="F22" s="10">
        <f>F20+F21</f>
        <v/>
      </c>
      <c r="G22" s="10">
        <f>G20+G21</f>
        <v/>
      </c>
      <c r="H22" s="10">
        <f>H20+H21</f>
        <v/>
      </c>
      <c r="I22" s="10">
        <f>I20+I21</f>
        <v/>
      </c>
      <c r="J22" s="10">
        <f>J20+J21</f>
        <v/>
      </c>
      <c r="K22" s="10">
        <f>K20+K21</f>
        <v/>
      </c>
    </row>
    <row r="23"/>
    <row r="24">
      <c r="A24" s="8" t="inlineStr">
        <is>
          <t>Annualized yields by book month — revenue earned when the month's balance was created (interchange, upfront fees) plus the interest and late fees charged on it the following month, ÷ that month's average receivables</t>
        </is>
      </c>
      <c r="B24" s="9" t="n"/>
      <c r="C24" s="9" t="n"/>
      <c r="D24" s="9" t="n"/>
      <c r="E24" s="9" t="n"/>
      <c r="F24" s="9" t="n"/>
      <c r="G24" s="9" t="n"/>
      <c r="H24" s="9" t="n"/>
      <c r="I24" s="9" t="n"/>
      <c r="J24" s="9" t="n"/>
      <c r="K24" s="9" t="n"/>
    </row>
    <row r="25">
      <c r="A25" t="inlineStr">
        <is>
          <t>Months in period</t>
        </is>
      </c>
      <c r="B25" t="n">
        <v>1</v>
      </c>
      <c r="C25" t="n">
        <v>1</v>
      </c>
      <c r="D25" t="n">
        <v>1</v>
      </c>
      <c r="E25" t="n">
        <v>1</v>
      </c>
      <c r="F25" t="n">
        <v>1</v>
      </c>
      <c r="G25" t="n">
        <v>1</v>
      </c>
      <c r="H25" t="n">
        <v>1</v>
      </c>
      <c r="I25" t="n">
        <v>1</v>
      </c>
      <c r="J25" t="n">
        <v>1</v>
      </c>
      <c r="K25" t="n">
        <v>3</v>
      </c>
    </row>
    <row r="26">
      <c r="A26" t="inlineStr">
        <is>
          <t>Interest and late fees charged the following month</t>
        </is>
      </c>
      <c r="B26" s="14">
        <f>(C5+C6+C8)*12/B25/B16</f>
        <v/>
      </c>
      <c r="C26" s="14">
        <f>(D5+D6+D8)*12/C25/C16</f>
        <v/>
      </c>
      <c r="D26" s="14">
        <f>(E5+E6+E8)*12/D25/D16</f>
        <v/>
      </c>
      <c r="E26" s="14">
        <f>(F5+F6+F8)*12/E25/E16</f>
        <v/>
      </c>
      <c r="F26" s="14">
        <f>(G5+G6+G8)*12/F25/F16</f>
        <v/>
      </c>
      <c r="G26" s="14">
        <f>(H11+H12+H8)*12/G25/G16</f>
        <v/>
      </c>
      <c r="H26" s="14">
        <f>(I11+I12+I8)*12/H25/H16</f>
        <v/>
      </c>
      <c r="I26" s="14">
        <f>(J11+J12+J8)*12/I25/I16</f>
        <v/>
      </c>
    </row>
    <row r="27">
      <c r="A27" t="inlineStr">
        <is>
          <t>Installment upfront fees (at conversion, same month)</t>
        </is>
      </c>
      <c r="B27" s="14">
        <f>B7*12/B25/B16</f>
        <v/>
      </c>
      <c r="C27" s="14">
        <f>C7*12/C25/C16</f>
        <v/>
      </c>
      <c r="D27" s="14">
        <f>D7*12/D25/D16</f>
        <v/>
      </c>
      <c r="E27" s="14">
        <f>E7*12/E25/E16</f>
        <v/>
      </c>
      <c r="F27" s="14">
        <f>F7*12/F25/F16</f>
        <v/>
      </c>
      <c r="G27" s="14">
        <f>G7*12/G25/G16</f>
        <v/>
      </c>
      <c r="H27" s="14">
        <f>H7*12/H25/H16</f>
        <v/>
      </c>
      <c r="I27" s="14">
        <f>I7*12/I25/I16</f>
        <v/>
      </c>
    </row>
    <row r="28">
      <c r="A28" t="inlineStr">
        <is>
          <t>Purchase turnover (annualized purchase volume ÷ average receivables)</t>
        </is>
      </c>
      <c r="B28" s="11">
        <f>B20*12/B25/B16</f>
        <v/>
      </c>
      <c r="C28" s="11">
        <f>C20*12/C25/C16</f>
        <v/>
      </c>
      <c r="D28" s="11">
        <f>D20*12/D25/D16</f>
        <v/>
      </c>
      <c r="E28" s="11">
        <f>E20*12/E25/E16</f>
        <v/>
      </c>
      <c r="F28" s="11">
        <f>F20*12/F25/F16</f>
        <v/>
      </c>
      <c r="G28" s="11">
        <f>G20*12/G25/G16</f>
        <v/>
      </c>
      <c r="H28" s="11">
        <f>H20*12/H25/H16</f>
        <v/>
      </c>
      <c r="I28" s="11">
        <f>I20*12/I25/I16</f>
        <v/>
      </c>
    </row>
    <row r="29">
      <c r="A29" t="inlineStr">
        <is>
          <t>Interchange rate on purchase volume</t>
        </is>
      </c>
      <c r="B29" s="12">
        <f>B9/B20</f>
        <v/>
      </c>
      <c r="C29" s="12">
        <f>C9/C20</f>
        <v/>
      </c>
      <c r="D29" s="12">
        <f>D9/D20</f>
        <v/>
      </c>
      <c r="E29" s="12">
        <f>E9/E20</f>
        <v/>
      </c>
      <c r="F29" s="12">
        <f>F9/F20</f>
        <v/>
      </c>
      <c r="G29" s="12">
        <f>G9/G20</f>
        <v/>
      </c>
      <c r="H29" s="12">
        <f>H9/H20</f>
        <v/>
      </c>
      <c r="I29" s="12">
        <f>I9/I20</f>
        <v/>
      </c>
    </row>
    <row r="30">
      <c r="A30" t="inlineStr">
        <is>
          <t>Interchange (rate × purchase turnover, same month)</t>
        </is>
      </c>
      <c r="B30" s="14">
        <f>B9*12/B25/B16</f>
        <v/>
      </c>
      <c r="C30" s="14">
        <f>C9*12/C25/C16</f>
        <v/>
      </c>
      <c r="D30" s="14">
        <f>D9*12/D25/D16</f>
        <v/>
      </c>
      <c r="E30" s="14">
        <f>E9*12/E25/E16</f>
        <v/>
      </c>
      <c r="F30" s="14">
        <f>F9*12/F25/F16</f>
        <v/>
      </c>
      <c r="G30" s="14">
        <f>G9*12/G25/G16</f>
        <v/>
      </c>
      <c r="H30" s="14">
        <f>H9*12/H25/H16</f>
        <v/>
      </c>
      <c r="I30" s="14">
        <f>I9*12/I25/I16</f>
        <v/>
      </c>
    </row>
    <row r="31">
      <c r="A31" s="5" t="inlineStr">
        <is>
          <t>Gross yield — all revenue</t>
        </is>
      </c>
      <c r="B31" s="13">
        <f>((C5+C6+C8)+B7+B9)*12/B25/B16</f>
        <v/>
      </c>
      <c r="C31" s="13">
        <f>((D5+D6+D8)+C7+C9)*12/C25/C16</f>
        <v/>
      </c>
      <c r="D31" s="13">
        <f>((E5+E6+E8)+D7+D9)*12/D25/D16</f>
        <v/>
      </c>
      <c r="E31" s="13">
        <f>((F5+F6+F8)+E7+E9)*12/E25/E16</f>
        <v/>
      </c>
      <c r="F31" s="13">
        <f>((G5+G6+G8)+F7+F9)*12/F25/F16</f>
        <v/>
      </c>
      <c r="G31" s="13">
        <f>((H11+H12+H8)+G7+G9)*12/G25/G16</f>
        <v/>
      </c>
      <c r="H31" s="13">
        <f>((I11+I12+I8)+H7+H9)*12/H25/H16</f>
        <v/>
      </c>
      <c r="I31" s="13">
        <f>((J11+J12+J8)+I7+I9)*12/I25/I16</f>
        <v/>
      </c>
    </row>
    <row r="32">
      <c r="A32" t="inlineStr">
        <is>
          <t>Principal turnover (annualized principal flow ÷ average receivables)</t>
        </is>
      </c>
      <c r="B32" s="11">
        <f>B22*12/B25/B16</f>
        <v/>
      </c>
      <c r="C32" s="11">
        <f>C22*12/C25/C16</f>
        <v/>
      </c>
      <c r="D32" s="11">
        <f>D22*12/D25/D16</f>
        <v/>
      </c>
      <c r="E32" s="11">
        <f>E22*12/E25/E16</f>
        <v/>
      </c>
      <c r="F32" s="11">
        <f>F22*12/F25/F16</f>
        <v/>
      </c>
      <c r="G32" s="11">
        <f>G22*12/G25/G16</f>
        <v/>
      </c>
      <c r="H32" s="11">
        <f>H22*12/H25/H16</f>
        <v/>
      </c>
      <c r="I32" s="11">
        <f>I22*12/I25/I16</f>
        <v/>
      </c>
    </row>
    <row r="33"/>
    <row r="34">
      <c r="A34" s="8" t="inlineStr">
        <is>
          <t>Reference — conventional basis: all of a month's revenue over that month's own average receivables</t>
        </is>
      </c>
      <c r="B34" s="9" t="n"/>
      <c r="C34" s="9" t="n"/>
      <c r="D34" s="9" t="n"/>
      <c r="E34" s="9" t="n"/>
      <c r="F34" s="9" t="n"/>
      <c r="G34" s="9" t="n"/>
      <c r="H34" s="9" t="n"/>
      <c r="I34" s="9" t="n"/>
      <c r="J34" s="9" t="n"/>
      <c r="K34" s="9" t="n"/>
    </row>
    <row r="35">
      <c r="A35" t="inlineStr">
        <is>
          <t>Interest and fees</t>
        </is>
      </c>
      <c r="B35" s="14">
        <f>SUM(B5:B8)*12/B25/B16</f>
        <v/>
      </c>
      <c r="C35" s="14">
        <f>SUM(C5:C8)*12/C25/C16</f>
        <v/>
      </c>
      <c r="D35" s="14">
        <f>SUM(D5:D8)*12/D25/D16</f>
        <v/>
      </c>
      <c r="E35" s="14">
        <f>SUM(E5:E8)*12/E25/E16</f>
        <v/>
      </c>
      <c r="F35" s="14">
        <f>SUM(F5:F8)*12/F25/F16</f>
        <v/>
      </c>
      <c r="G35" s="14">
        <f>SUM(G5:G8)*12/G25/G16</f>
        <v/>
      </c>
      <c r="H35" s="14">
        <f>(H11+H12+H7+H8)*12/H25/H16</f>
        <v/>
      </c>
      <c r="I35" s="14">
        <f>(I11+I12+I7+I8)*12/I25/I16</f>
        <v/>
      </c>
      <c r="J35" s="14">
        <f>(J11+J12+J7+J8)*12/J25/J16</f>
        <v/>
      </c>
      <c r="K35" s="14">
        <f>(K11+K12+K7+K8)*12/K25/K16</f>
        <v/>
      </c>
    </row>
    <row r="36">
      <c r="A36" t="inlineStr">
        <is>
          <t>Gross yield — all revenue</t>
        </is>
      </c>
      <c r="B36" s="14">
        <f>SUM(B5:B8)*12/B25/B16+B9*12/B25/B16</f>
        <v/>
      </c>
      <c r="C36" s="14">
        <f>SUM(C5:C8)*12/C25/C16+C9*12/C25/C16</f>
        <v/>
      </c>
      <c r="D36" s="14">
        <f>SUM(D5:D8)*12/D25/D16+D9*12/D25/D16</f>
        <v/>
      </c>
      <c r="E36" s="14">
        <f>SUM(E5:E8)*12/E25/E16+E9*12/E25/E16</f>
        <v/>
      </c>
      <c r="F36" s="14">
        <f>SUM(F5:F8)*12/F25/F16+F9*12/F25/F16</f>
        <v/>
      </c>
      <c r="G36" s="14">
        <f>SUM(G5:G8)*12/G25/G16+G9*12/G25/G16</f>
        <v/>
      </c>
      <c r="H36" s="14">
        <f>(H11+H12+H7+H8)*12/H25/H16+H9*12/H25/H16</f>
        <v/>
      </c>
      <c r="I36" s="14">
        <f>(I11+I12+I7+I8)*12/I25/I16+I9*12/I25/I16</f>
        <v/>
      </c>
      <c r="J36" s="14">
        <f>(J11+J12+J7+J8)*12/J25/J16+J9*12/J25/J16</f>
        <v/>
      </c>
      <c r="K36" s="14">
        <f>(K11+K12+K7+K8)*12/K25/K16+K9*12/K25/K16</f>
        <v/>
      </c>
    </row>
    <row r="37"/>
    <row r="38">
      <c r="A38" s="2" t="inlineStr">
        <is>
          <t>Installment plans scaled from March 2026 and revolving interest was introduced with the June 2026 statement cycle, so July–September 2026 is the first quarter with every revenue line in place. Earlier months are shown for completeness on the billed basis. Accrued interest allocates each statement cycle's interest across the calendar days it covers (half the book statements on the 14th, so those cycles straddle two months); it is shown for July–September, where the October 14 cycle is available to complete September. Yields are by book month: a month's balance earns interchange and upfront fees when it is created (that month's purchases and conversions) and interest and late fees the following month (charged on the balance billed at month end, net of payments). Each book month's revenue is therefore the same month's interchange and upfront fees plus the following month's interest and late fees, over that month's average receivables. The conventional basis is shown for reference; the two coincide when the book is not growing.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3"/>
  <sheetViews>
    <sheetView showGridLines="0" workbookViewId="0">
      <selection activeCell="A1" sqref="A1"/>
    </sheetView>
  </sheetViews>
  <sheetFormatPr baseColWidth="8" defaultRowHeight="15"/>
  <cols>
    <col width="34" customWidth="1" min="1" max="1"/>
    <col width="14" customWidth="1" min="2" max="2"/>
    <col width="18" customWidth="1" min="3" max="3"/>
    <col width="22" customWidth="1" min="4" max="4"/>
    <col width="22" customWidth="1" min="5" max="5"/>
    <col width="18" customWidth="1" min="6" max="6"/>
    <col width="18" customWidth="1" min="7" max="7"/>
    <col width="20" customWidth="1" min="8" max="8"/>
  </cols>
  <sheetData>
    <row r="1">
      <c r="A1" s="1" t="inlineStr">
        <is>
          <t>Loss rate on originated principal — 90+ days past due, vintages since January 2026</t>
        </is>
      </c>
    </row>
    <row r="2">
      <c r="A2" s="2" t="inlineStr">
        <is>
          <t>PHP. Each row is the principal originated in that month and how much of it sits on an account 90 or more days past due today (data as of 27 October 2026). Vintages begin January 2026, the first full month after the current underwriting model was introduced (December 2025).</t>
        </is>
      </c>
    </row>
    <row r="3"/>
    <row r="4" ht="48" customHeight="1">
      <c r="A4" s="3" t="inlineStr">
        <is>
          <t>Origination month</t>
        </is>
      </c>
      <c r="B4" s="3" t="inlineStr">
        <is>
          <t>Accounts</t>
        </is>
      </c>
      <c r="C4" s="3" t="inlineStr">
        <is>
          <t>Principal originated</t>
        </is>
      </c>
      <c r="D4" s="3" t="inlineStr">
        <is>
          <t>Seasoned principal (due ≥90 days ago)</t>
        </is>
      </c>
      <c r="E4" s="3" t="inlineStr">
        <is>
          <t>Excluded: FPD principal 90+ DPD</t>
        </is>
      </c>
      <c r="F4" s="3" t="inlineStr">
        <is>
          <t>Denominator: seasoned, ex-FPD</t>
        </is>
      </c>
      <c r="G4" s="3" t="inlineStr">
        <is>
          <t>Numerator: 90+ DPD, ex-FPD</t>
        </is>
      </c>
      <c r="H4" s="3" t="inlineStr">
        <is>
          <t>Loss rate</t>
        </is>
      </c>
    </row>
    <row r="5">
      <c r="A5" t="inlineStr">
        <is>
          <t>Jan 2026</t>
        </is>
      </c>
      <c r="B5" s="10" t="n">
        <v>3828</v>
      </c>
      <c r="C5" s="10" t="n">
        <v>69900973.84</v>
      </c>
      <c r="D5" s="10" t="n">
        <v>69900973.84</v>
      </c>
      <c r="E5" s="10" t="n">
        <v>195035.55</v>
      </c>
      <c r="F5" s="10" t="n">
        <v>69690793.31</v>
      </c>
      <c r="G5" s="10" t="n">
        <v>1577286.85</v>
      </c>
      <c r="H5" s="12">
        <f>IF(F5=0,"not yet seasoned",G5/F5)</f>
        <v/>
      </c>
    </row>
    <row r="6">
      <c r="A6" t="inlineStr">
        <is>
          <t>Feb 2026</t>
        </is>
      </c>
      <c r="B6" s="10" t="n">
        <v>4029</v>
      </c>
      <c r="C6" s="10" t="n">
        <v>60820771.28</v>
      </c>
      <c r="D6" s="10" t="n">
        <v>60820771.28</v>
      </c>
      <c r="E6" s="10" t="n">
        <v>31366.54</v>
      </c>
      <c r="F6" s="10" t="n">
        <v>60789404.74</v>
      </c>
      <c r="G6" s="10" t="n">
        <v>685527.14</v>
      </c>
      <c r="H6" s="12">
        <f>IF(F6=0,"not yet seasoned",G6/F6)</f>
        <v/>
      </c>
    </row>
    <row r="7">
      <c r="A7" t="inlineStr">
        <is>
          <t>Mar 2026</t>
        </is>
      </c>
      <c r="B7" s="10" t="n">
        <v>5113</v>
      </c>
      <c r="C7" s="10" t="n">
        <v>89743205.59</v>
      </c>
      <c r="D7" s="10" t="n">
        <v>89743205.59</v>
      </c>
      <c r="E7" s="10" t="n">
        <v>562712.45</v>
      </c>
      <c r="F7" s="10" t="n">
        <v>89089554.73999999</v>
      </c>
      <c r="G7" s="10" t="n">
        <v>1404938.62</v>
      </c>
      <c r="H7" s="12">
        <f>IF(F7=0,"not yet seasoned",G7/F7)</f>
        <v/>
      </c>
    </row>
    <row r="8">
      <c r="A8" t="inlineStr">
        <is>
          <t>Apr 2026</t>
        </is>
      </c>
      <c r="B8" s="10" t="n">
        <v>6505</v>
      </c>
      <c r="C8" s="10" t="n">
        <v>107115373.17</v>
      </c>
      <c r="D8" s="10" t="n">
        <v>107115373.17</v>
      </c>
      <c r="E8" s="10" t="n">
        <v>911016.11</v>
      </c>
      <c r="F8" s="10" t="n">
        <v>106123235.92</v>
      </c>
      <c r="G8" s="10" t="n">
        <v>1471002.56</v>
      </c>
      <c r="H8" s="12">
        <f>IF(F8=0,"not yet seasoned",G8/F8)</f>
        <v/>
      </c>
    </row>
    <row r="9">
      <c r="A9" t="inlineStr">
        <is>
          <t>May 2026</t>
        </is>
      </c>
      <c r="B9" s="10" t="n">
        <v>7564</v>
      </c>
      <c r="C9" s="10" t="n">
        <v>118184976.17</v>
      </c>
      <c r="D9" s="10" t="n">
        <v>118184976.17</v>
      </c>
      <c r="E9" s="10" t="n">
        <v>889165.96</v>
      </c>
      <c r="F9" s="10" t="n">
        <v>117226741.83</v>
      </c>
      <c r="G9" s="10" t="n">
        <v>1061583</v>
      </c>
      <c r="H9" s="12">
        <f>IF(F9=0,"not yet seasoned",G9/F9)</f>
        <v/>
      </c>
    </row>
    <row r="10">
      <c r="A10" t="inlineStr">
        <is>
          <t>Jun 2026</t>
        </is>
      </c>
      <c r="B10" s="10" t="n">
        <v>9024</v>
      </c>
      <c r="C10" s="10" t="n">
        <v>136417479.48</v>
      </c>
      <c r="D10" s="10" t="n">
        <v>136417479.48</v>
      </c>
      <c r="E10" s="10" t="n">
        <v>499873.5</v>
      </c>
      <c r="F10" s="10" t="n">
        <v>135917605.98</v>
      </c>
      <c r="G10" s="10" t="n">
        <v>459463.31</v>
      </c>
      <c r="H10" s="12">
        <f>IF(F10=0,"not yet seasoned",G10/F10)</f>
        <v/>
      </c>
    </row>
    <row r="11">
      <c r="A11" t="inlineStr">
        <is>
          <t>Jul 2026</t>
        </is>
      </c>
      <c r="B11" s="10" t="n">
        <v>11366</v>
      </c>
      <c r="C11" s="10" t="n">
        <v>140624271.71</v>
      </c>
      <c r="D11" s="10" t="n">
        <v>0</v>
      </c>
      <c r="E11" s="10" t="n">
        <v>29390.51</v>
      </c>
      <c r="F11" s="10" t="n">
        <v>0</v>
      </c>
      <c r="G11" s="10" t="n">
        <v>8828.190000000001</v>
      </c>
      <c r="H11" s="12">
        <f>IF(F11=0,"not yet seasoned",G11/F11)</f>
        <v/>
      </c>
    </row>
    <row r="12">
      <c r="A12" t="inlineStr">
        <is>
          <t>Aug 2026</t>
        </is>
      </c>
      <c r="B12" s="10" t="n">
        <v>12347</v>
      </c>
      <c r="C12" s="10" t="n">
        <v>141888335.14</v>
      </c>
      <c r="D12" s="10" t="n">
        <v>0</v>
      </c>
      <c r="E12" s="10" t="n">
        <v>0</v>
      </c>
      <c r="F12" s="10" t="n">
        <v>0</v>
      </c>
      <c r="G12" s="10" t="n">
        <v>0</v>
      </c>
      <c r="H12" s="12">
        <f>IF(F12=0,"not yet seasoned",G12/F12)</f>
        <v/>
      </c>
    </row>
    <row r="13">
      <c r="A13" t="inlineStr">
        <is>
          <t>Sep 2026</t>
        </is>
      </c>
      <c r="B13" s="10" t="n">
        <v>13196</v>
      </c>
      <c r="C13" s="10" t="n">
        <v>160221212.53</v>
      </c>
      <c r="D13" s="10" t="n">
        <v>0</v>
      </c>
      <c r="E13" s="10" t="n">
        <v>0</v>
      </c>
      <c r="F13" s="10" t="n">
        <v>0</v>
      </c>
      <c r="G13" s="10" t="n">
        <v>0</v>
      </c>
      <c r="H13" s="12">
        <f>IF(F13=0,"not yet seasoned",G13/F13)</f>
        <v/>
      </c>
    </row>
    <row r="14">
      <c r="A14" s="15" t="inlineStr">
        <is>
          <t>Since January 2026 (all vintages above)</t>
        </is>
      </c>
      <c r="B14" s="16">
        <f>SUM(B5:B13)</f>
        <v/>
      </c>
      <c r="C14" s="16">
        <f>SUM(C5:C13)</f>
        <v/>
      </c>
      <c r="D14" s="16">
        <f>SUM(D5:D13)</f>
        <v/>
      </c>
      <c r="E14" s="16">
        <f>SUM(E5:E13)</f>
        <v/>
      </c>
      <c r="F14" s="16">
        <f>SUM(F5:F13)</f>
        <v/>
      </c>
      <c r="G14" s="16">
        <f>SUM(G5:G13)</f>
        <v/>
      </c>
      <c r="H14" s="20">
        <f>G14/F14</f>
        <v/>
      </c>
    </row>
    <row r="15"/>
    <row r="16" ht="15" customHeight="1">
      <c r="A16" s="21" t="inlineStr">
        <is>
          <t>How to read this table</t>
        </is>
      </c>
    </row>
    <row r="17" ht="48" customHeight="1">
      <c r="A17" s="7" t="inlineStr">
        <is>
          <t>• Loss measure. Principal on accounts 90 or more days past due is used as the proxy for loss. Zed fully provisions at 180 days past due and has not yet written off any balances, so no recoveries are assumed and nothing has been reduced for cash collected after an account went delinquent. Interest and fees are excluded from both numerator and denominator.</t>
        </is>
      </c>
    </row>
    <row r="18" ht="48" customHeight="1">
      <c r="A18" s="7" t="inlineStr">
        <is>
          <t>• Seasoning. The denominator counts only principal whose statement due date is at least 90 days in the past, so the rate is measured on principal that has had the chance to reach 90 days past due. On this basis the July–September 2026 vintages are not yet measurable and are shown for completeness.</t>
        </is>
      </c>
    </row>
    <row r="19" ht="48" customHeight="1">
      <c r="A19" s="7" t="inlineStr">
        <is>
          <t>• First-payment defaults (FPD). An account whose first-ever statement was the one missed, i.e. a cardholder who never made a payment. These are fraud or identity cases rather than credit losses and are excluded from the loss rate; the principal excluded is shown in column E so the adjustment is visible. Receivables of this kind would ordinarily fall outside facility eligibility criteria. First-payment default is managed separately from credit underwriting: duplicate-applicant checks (exact name and date of birth, ID number) have been in place since 1 October 2026, and from the 24 October 2026 decisioning run every application is screened for bank account numbers shared with another applicant, repeated selfie or ID images, invite-name mismatches and past-due bureau tradelines, with business-owner limits set on half of declared income pending documents.</t>
        </is>
      </c>
    </row>
    <row r="20" ht="48" customHeight="1">
      <c r="A20" s="7" t="inlineStr">
        <is>
          <t>• Why January 2026. The current underwriting model (V2) was deployed in December 2025 and is the model that originates the portfolio today; earlier vintages were originated under the prior model.</t>
        </is>
      </c>
    </row>
    <row r="21"/>
    <row r="22">
      <c r="A22" s="8" t="inlineStr">
        <is>
          <t>Loss emergence — when a vintage's loss arrives (ex-FPD, same measure as the table above)</t>
        </is>
      </c>
      <c r="B22" s="9" t="n"/>
      <c r="C22" s="9" t="n"/>
      <c r="D22" s="9" t="n"/>
      <c r="E22" s="9" t="n"/>
      <c r="F22" s="9" t="n"/>
      <c r="G22" s="9" t="n"/>
      <c r="H22" s="9" t="n"/>
    </row>
    <row r="23" ht="32" customHeight="1">
      <c r="A23" s="3" t="inlineStr">
        <is>
          <t>Origination month</t>
        </is>
      </c>
      <c r="B23" s="3" t="inlineStr">
        <is>
          <t>By month 3 on book</t>
        </is>
      </c>
      <c r="C23" s="3" t="inlineStr">
        <is>
          <t>By month 4</t>
        </is>
      </c>
      <c r="D23" s="3" t="inlineStr">
        <is>
          <t>By month 5</t>
        </is>
      </c>
      <c r="E23" s="3" t="inlineStr">
        <is>
          <t>By month 6</t>
        </is>
      </c>
      <c r="F23" s="3" t="inlineStr">
        <is>
          <t>By month 8</t>
        </is>
      </c>
      <c r="G23" s="3" t="inlineStr">
        <is>
          <t>Today</t>
        </is>
      </c>
      <c r="H23" s="3" t="inlineStr">
        <is>
          <t>Months on book today</t>
        </is>
      </c>
    </row>
    <row r="24">
      <c r="A24" t="inlineStr">
        <is>
          <t>Jan 2026</t>
        </is>
      </c>
      <c r="B24" s="22" t="n">
        <v>0.00675</v>
      </c>
      <c r="C24" s="22" t="n">
        <v>0.02263</v>
      </c>
      <c r="D24" s="22" t="n">
        <v>0.02263</v>
      </c>
      <c r="E24" s="22" t="n">
        <v>0.02263</v>
      </c>
      <c r="F24" s="22" t="n">
        <v>0.02263</v>
      </c>
      <c r="G24" s="23" t="n">
        <v>0.02263</v>
      </c>
      <c r="H24" t="n">
        <v>9</v>
      </c>
    </row>
    <row r="25">
      <c r="A25" t="inlineStr">
        <is>
          <t>Feb 2026</t>
        </is>
      </c>
      <c r="B25" s="22" t="n">
        <v>0.00851</v>
      </c>
      <c r="C25" s="22" t="n">
        <v>0.01028</v>
      </c>
      <c r="D25" s="22" t="n">
        <v>0.01118</v>
      </c>
      <c r="E25" s="22" t="n">
        <v>0.01128</v>
      </c>
      <c r="F25" s="22" t="inlineStr">
        <is>
          <t>—</t>
        </is>
      </c>
      <c r="G25" s="23" t="n">
        <v>0.01128</v>
      </c>
      <c r="H25" t="n">
        <v>8</v>
      </c>
    </row>
    <row r="26">
      <c r="A26" t="inlineStr">
        <is>
          <t>Mar 2026</t>
        </is>
      </c>
      <c r="B26" s="22" t="n">
        <v>0.00455</v>
      </c>
      <c r="C26" s="22" t="n">
        <v>0.01469</v>
      </c>
      <c r="D26" s="22" t="n">
        <v>0.01577</v>
      </c>
      <c r="E26" s="22" t="n">
        <v>0.01577</v>
      </c>
      <c r="F26" s="22" t="inlineStr">
        <is>
          <t>—</t>
        </is>
      </c>
      <c r="G26" s="23" t="n">
        <v>0.01577</v>
      </c>
      <c r="H26" t="n">
        <v>7</v>
      </c>
    </row>
    <row r="27">
      <c r="A27" t="inlineStr">
        <is>
          <t>Apr 2026</t>
        </is>
      </c>
      <c r="B27" s="22" t="n">
        <v>0.00773</v>
      </c>
      <c r="C27" s="22" t="n">
        <v>0.01313</v>
      </c>
      <c r="D27" s="22" t="n">
        <v>0.01366</v>
      </c>
      <c r="E27" s="22" t="inlineStr">
        <is>
          <t>—</t>
        </is>
      </c>
      <c r="F27" s="22" t="inlineStr">
        <is>
          <t>—</t>
        </is>
      </c>
      <c r="G27" s="23" t="n">
        <v>0.01386</v>
      </c>
      <c r="H27" t="n">
        <v>6</v>
      </c>
    </row>
    <row r="28">
      <c r="A28" t="inlineStr">
        <is>
          <t>May 2026</t>
        </is>
      </c>
      <c r="B28" s="22" t="n">
        <v>0.00494</v>
      </c>
      <c r="C28" s="22" t="n">
        <v>0.00758</v>
      </c>
      <c r="D28" s="22" t="inlineStr">
        <is>
          <t>—</t>
        </is>
      </c>
      <c r="E28" s="22" t="inlineStr">
        <is>
          <t>—</t>
        </is>
      </c>
      <c r="F28" s="22" t="inlineStr">
        <is>
          <t>—</t>
        </is>
      </c>
      <c r="G28" s="23" t="n">
        <v>0.00906</v>
      </c>
      <c r="H28" t="n">
        <v>5</v>
      </c>
    </row>
    <row r="29">
      <c r="A29" t="inlineStr">
        <is>
          <t>Jun 2026</t>
        </is>
      </c>
      <c r="B29" s="22" t="n">
        <v>0.00215</v>
      </c>
      <c r="C29" s="22" t="inlineStr">
        <is>
          <t>—</t>
        </is>
      </c>
      <c r="D29" s="22" t="inlineStr">
        <is>
          <t>—</t>
        </is>
      </c>
      <c r="E29" s="22" t="inlineStr">
        <is>
          <t>—</t>
        </is>
      </c>
      <c r="F29" s="22" t="inlineStr">
        <is>
          <t>—</t>
        </is>
      </c>
      <c r="G29" s="23" t="n">
        <v>0.00338</v>
      </c>
      <c r="H29" t="n">
        <v>4</v>
      </c>
    </row>
    <row r="30" ht="15" customHeight="1">
      <c r="A30" s="21" t="inlineStr">
        <is>
          <t>How to read this table</t>
        </is>
      </c>
    </row>
    <row r="31" ht="44" customHeight="1">
      <c r="A31" s="7" t="inlineStr">
        <is>
          <t>• Each cell is the part of the vintage's loss rate (principal ≥90 DPD today ÷ seasoned principal, ex-FPD — the same measure as the table above) that comes from accounts which had reached 90 days past due by the end of month n after the origination month. 'Today' is the full current loss rate. Cells are blank where month n has not yet ended.</t>
        </is>
      </c>
    </row>
    <row r="32" ht="44" customHeight="1">
      <c r="A32" s="7" t="inlineStr">
        <is>
          <t>• The loss on a vintage is essentially complete by month 4 on book: January–March 2026 show no further movement from month 4 to month 6–8. Because cash is applied to the oldest balances first, an account that defaults later has already repaid its earlier months' purchases, so late defaults fall on later vintages rather than reopening old ones.</t>
        </is>
      </c>
    </row>
    <row r="33" ht="44" customHeight="1">
      <c r="A33" s="7" t="inlineStr">
        <is>
          <t>• Read across the 'Today' column for the trend in fully emerged vintages: 2.26% (Jan), 1.13% (Feb), 1.58% (Mar), 1.39% (Apr), 0.91% (May, at month 5 — effectively final). June is at month 4 with one month of emergence still to come.</t>
        </is>
      </c>
    </row>
  </sheetData>
  <mergeCells count="9">
    <mergeCell ref="A18:H18"/>
    <mergeCell ref="A30:H30"/>
    <mergeCell ref="A20:H20"/>
    <mergeCell ref="A16:H16"/>
    <mergeCell ref="A19:H19"/>
    <mergeCell ref="A33:H33"/>
    <mergeCell ref="A32:H32"/>
    <mergeCell ref="A31:H31"/>
    <mergeCell ref="A17:H1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30" customWidth="1" min="1" max="1"/>
    <col width="110" customWidth="1" min="2" max="2"/>
  </cols>
  <sheetData>
    <row r="1">
      <c r="A1" s="1" t="inlineStr">
        <is>
          <t>Definitions and sources</t>
        </is>
      </c>
    </row>
    <row r="2"/>
    <row r="3">
      <c r="A3" s="3" t="inlineStr">
        <is>
          <t>Item</t>
        </is>
      </c>
      <c r="B3" s="3" t="inlineStr">
        <is>
          <t>Definition</t>
        </is>
      </c>
    </row>
    <row r="4" ht="75" customHeight="1">
      <c r="A4" s="24" t="inlineStr">
        <is>
          <t>Scope</t>
        </is>
      </c>
      <c r="B4" s="7" t="inlineStr">
        <is>
          <t>Zed's Philippine credit card receivables, all cardholders. Yield Summary covers the June, July and August 2026 books and the three together — the books whose interest was earned in July–September 2026, the first quarter with every revenue line in place (installment plans scaled from March 2026; revolving interest introduced with the June 2026 cycle). Monthly Detail shows January–September 2026. All figures in PHP unless marked USD (converted at 55.8 for reference only).</t>
        </is>
      </c>
    </row>
    <row r="5" ht="180" customHeight="1">
      <c r="A5" s="24" t="inlineStr">
        <is>
          <t>Book month (yield basis)</t>
        </is>
      </c>
      <c r="B5" s="7" t="inlineStr">
        <is>
          <t>Yields are measured by book month: the month's average receivables outstanding (principal, interest and fees billed to cardholders, plus installment principal not yet billed) are the capital employed, and the revenue attributed to them is what that capital earned — interchange and upfront fees when the balance was created (that month's purchases and conversions) and interest and late fees the following month, because interest is charged on the balance billed at month end, net of payments (adjusted daily balance), and a purchase earns no interest until it has been statemented. Losses are the loss rate on the principal the month lent. The June, July and August 2026 books are shown — the books whose interest arrived in July–September, the first quarter with every revenue line in place — and the three together, where the denominator is the average of the three months. The conventional basis (a month's revenue over that month's own average receivables) is shown for reference; the two coincide when the book is not growing and differ by roughly the monthly growth rate while it is.</t>
        </is>
      </c>
    </row>
    <row r="6" ht="30" customHeight="1">
      <c r="A6" s="24" t="inlineStr">
        <is>
          <t>Annualization</t>
        </is>
      </c>
      <c r="B6" s="7" t="inlineStr">
        <is>
          <t>Simple: monthly amount ÷ the book month's average receivables × 12. No compounding.</t>
        </is>
      </c>
    </row>
    <row r="7" ht="105" customHeight="1">
      <c r="A7" s="24" t="inlineStr">
        <is>
          <t>Revolving interest</t>
        </is>
      </c>
      <c r="B7" s="7" t="inlineStr">
        <is>
          <t>Finance charge on billed balances not paid in full by the due date; 3% per month, the BSP ceiling. Under the BSP's credit card rules interest is charged only on billed balances, so purchases earn no interest until they are statemented, and balances paid within the grace period never do. Launched with the statement cycle closing 30 June 2026. Yield Summary uses an accrual basis: each statement cycle's interest is allocated evenly across the calendar days the cycle covers (cycles close on the 14th and on the last day of the month); Monthly Detail carries the billed basis, which ties to management reporting.</t>
        </is>
      </c>
    </row>
    <row r="8" ht="45" customHeight="1">
      <c r="A8" s="24" t="inlineStr">
        <is>
          <t>Installment interest and upfront fees</t>
        </is>
      </c>
      <c r="B8" s="7" t="inlineStr">
        <is>
          <t>Interest of 1% per month billed on installment plan balances (accrual basis in the Yield Summary, as for revolving interest), and an upfront conversion fee of 0.5% per month of term billed when a purchase is converted to installments.</t>
        </is>
      </c>
    </row>
    <row r="9" ht="30" customHeight="1">
      <c r="A9" s="24" t="inlineStr">
        <is>
          <t>Late payment fees</t>
        </is>
      </c>
      <c r="B9" s="7" t="inlineStr">
        <is>
          <t>Fee billed when the minimum payment is not received by the due date.</t>
        </is>
      </c>
    </row>
    <row r="10" ht="90" customHeight="1">
      <c r="A10" s="24" t="inlineStr">
        <is>
          <t>Interchange</t>
        </is>
      </c>
      <c r="B10" s="7" t="inlineStr">
        <is>
          <t>Interchange received from Mastercard on cardholder purchases, gross (network and processing costs are not netted). Interchange is earned when a purchase settles, not on balances, so its yield on receivables is shown as interchange rate on purchase volume × purchase turnover (annualized purchase volume ÷ the book month's average receivables) — the same construction as the loss line. Mastercard settles the merchant net of interchange and the cardholder is billed the full purchase amount, so the interchange margin is collected as part of the cardholder's payment.</t>
        </is>
      </c>
    </row>
    <row r="11" ht="45" customHeight="1">
      <c r="A11" s="24" t="inlineStr">
        <is>
          <t>Turnover</t>
        </is>
      </c>
      <c r="B11" s="7" t="inlineStr">
        <is>
          <t>Annualized flow in the book month ÷ its average receivables. Purchase turnover uses Mastercard purchase volume (the interchange base); principal turnover uses principal flow (the loss base). They differ only by pay-a-friend transfers.</t>
        </is>
      </c>
    </row>
    <row r="12" ht="45" customHeight="1">
      <c r="A12" s="24" t="inlineStr">
        <is>
          <t>Principal flow</t>
        </is>
      </c>
      <c r="B12" s="7" t="inlineStr">
        <is>
          <t>Calendar-month flow of new receivables: Mastercard purchase volume net of returns plus pay-a-friend transfers (cardholder-to-cardholder transfers charged to the card, which earn no interchange). This is the loss base in the Yield Summary.</t>
        </is>
      </c>
    </row>
    <row r="13" ht="90" customHeight="1">
      <c r="A13" s="24" t="inlineStr">
        <is>
          <t>Principal originated (Loss Rate tab)</t>
        </is>
      </c>
      <c r="B13" s="7" t="inlineStr">
        <is>
          <t>The same quantity measured by statement month: charges on statements closing in the month (cycles close on the 14th and the last day), net of refunds, chargebacks and cancelled installment-plan re-bookings. The loss rate is measured on this basis because delinquency is tracked by statement; a statement month covers roughly the second half of the prior calendar month and the first half of the current one, so individual months differ from the calendar flow by timing while the two agree over longer windows (Jan–Sep 2026: ₱1,025M vs ₱1,035M).</t>
        </is>
      </c>
    </row>
    <row r="14" ht="90" customHeight="1">
      <c r="A14" s="24" t="inlineStr">
        <is>
          <t>Loss rate</t>
        </is>
      </c>
      <c r="B14" s="7" t="inlineStr">
        <is>
          <t>Principal on accounts 90 or more days past due today, divided by originated principal on statements whose due date is at least 90 days old, for origination months January–September 2026 (in practice January–June, the vintages old enough to be measured), excluding first-payment-default accounts from both numerator and denominator. The window, the seasoning rule and the FPD definition are set out on the Loss Rate tab, which also shows the FPD principal excluded. Gross of recoveries; no balances have been written off to date (full provision at 180 DPD).</t>
        </is>
      </c>
    </row>
    <row r="15" ht="45" customHeight="1">
      <c r="A15" s="24" t="inlineStr">
        <is>
          <t>Loss on receivables</t>
        </is>
      </c>
      <c r="B15" s="7" t="inlineStr">
        <is>
          <t>Loss rate on originated principal × principal turnover (annualized principal flow in the book month ÷ its average receivables). Expresses a loss on amounts lent as an annual charge against the receivables balance, on the same basis as the yields.</t>
        </is>
      </c>
    </row>
    <row r="16" ht="30" customHeight="1">
      <c r="A16" s="24" t="inlineStr">
        <is>
          <t>Net yield</t>
        </is>
      </c>
      <c r="B16" s="7" t="inlineStr">
        <is>
          <t>Gross yield less loss on receivables. Before operating costs, servicing, processing and network costs, funding costs, taxes and FX.</t>
        </is>
      </c>
    </row>
    <row r="17" ht="75" customHeight="1">
      <c r="A17" s="24" t="inlineStr">
        <is>
          <t>Sources</t>
        </is>
      </c>
      <c r="B17" s="7" t="inlineStr">
        <is>
          <t>Zed management reporting built from the i2c transaction and settlement extracts (revenue, receivables, purchase volume; as of 26 October 2026), the processor transaction feed (pay-a-friend transfers) and Zed's statement and delinquency data (originations, delinquency by origination month and delinquency history for the emergence table; as of 27 October 2026). September 2026 is the latest complete month.</t>
        </is>
      </c>
    </row>
    <row r="18" ht="30" customHeight="1">
      <c r="A18" s="24" t="inlineStr">
        <is>
          <t>Prepared</t>
        </is>
      </c>
      <c r="B18" s="7" t="inlineStr">
        <is>
          <t>Zed Financial, October 2026. Prepared for Accial Capital in connection with its evaluation of a receivables facility.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2026-10-28T21:03:25Z</dcterms:created>
  <dcterms:modified xmlns:dcterms="http://purl.org/dc/terms/" xmlns:xsi="http://www.w3.org/2001/XMLSchema-instance" xsi:type="dcterms:W3CDTF">2026-10-28T21:03:25Z</dcterms:modified>
</cp:coreProperties>
</file>