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3">
    <numFmt numFmtId="164" formatCode="0.0%"/>
    <numFmt numFmtId="165" formatCode="0.0&quot;x&quot;"/>
    <numFmt numFmtId="166" formatCode="0.0"/>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1" fontId="0" fillId="0" borderId="0" pivotButton="0" quotePrefix="0" xfId="0"/>
    <xf numFmtId="3" fontId="0" fillId="0" borderId="0" pivotButton="0" quotePrefix="0" xfId="0"/>
    <xf numFmtId="0" fontId="0" fillId="0" borderId="0" applyAlignment="1" pivotButton="0" quotePrefix="0" xfId="0">
      <alignment vertical="top" wrapText="1"/>
    </xf>
    <xf numFmtId="0" fontId="4" fillId="3" borderId="0" pivotButton="0" quotePrefix="0" xfId="0"/>
    <xf numFmtId="0" fontId="0" fillId="3" borderId="0" pivotButton="0" quotePrefix="0" xfId="0"/>
    <xf numFmtId="164" fontId="0" fillId="0" borderId="0" pivotButton="0" quotePrefix="0" xfId="0"/>
    <xf numFmtId="0" fontId="4" fillId="0" borderId="0" pivotButton="0" quotePrefix="0" xfId="0"/>
    <xf numFmtId="3" fontId="4" fillId="0" borderId="0" pivotButton="0" quotePrefix="0" xfId="0"/>
    <xf numFmtId="164" fontId="4" fillId="0" borderId="0" pivotButton="0" quotePrefix="0" xfId="0"/>
    <xf numFmtId="165" fontId="0" fillId="0" borderId="0" pivotButton="0" quotePrefix="0" xfId="0"/>
    <xf numFmtId="10"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top" wrapText="1"/>
    </xf>
    <xf numFmtId="166" fontId="0" fillId="0" borderId="0" pivotButton="0" quotePrefix="0" xfId="0"/>
    <xf numFmtId="10" fontId="4" fillId="4" borderId="1" pivotButton="0" quotePrefix="0" xfId="0"/>
    <xf numFmtId="0" fontId="4"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66" customWidth="1" min="10" max="10"/>
  </cols>
  <sheetData>
    <row r="1">
      <c r="A1" s="1" t="inlineStr">
        <is>
          <t>Zed — Portfolio yield on receivables</t>
        </is>
      </c>
    </row>
    <row r="2">
      <c r="A2" s="2" t="inlineStr">
        <is>
          <t>Gross and net yield on average receivables outstanding, annualized. July, August and September 2026 and the quarter together. PHP; before operating, servicing and funding costs.</t>
        </is>
      </c>
    </row>
    <row r="3"/>
    <row r="4">
      <c r="A4" s="3" t="inlineStr"/>
      <c r="B4" s="3" t="inlineStr">
        <is>
          <t>Jul 2026</t>
        </is>
      </c>
      <c r="C4" s="3" t="inlineStr">
        <is>
          <t>Annualized</t>
        </is>
      </c>
      <c r="D4" s="3" t="inlineStr">
        <is>
          <t>Aug 2026</t>
        </is>
      </c>
      <c r="E4" s="3" t="inlineStr">
        <is>
          <t>Annualized</t>
        </is>
      </c>
      <c r="F4" s="3" t="inlineStr">
        <is>
          <t>Sep 2026</t>
        </is>
      </c>
      <c r="G4" s="3" t="inlineStr">
        <is>
          <t>Annualized</t>
        </is>
      </c>
      <c r="H4" s="3" t="inlineStr">
        <is>
          <t>Jul–Sep 2026</t>
        </is>
      </c>
      <c r="I4" s="3" t="inlineStr">
        <is>
          <t>Annualized</t>
        </is>
      </c>
      <c r="J4" s="3" t="inlineStr">
        <is>
          <t>Notes</t>
        </is>
      </c>
    </row>
    <row r="5">
      <c r="A5" t="inlineStr">
        <is>
          <t>Months in period</t>
        </is>
      </c>
      <c r="B5" s="4" t="n">
        <v>1</v>
      </c>
      <c r="D5" s="4" t="n">
        <v>1</v>
      </c>
      <c r="F5" s="4" t="n">
        <v>1</v>
      </c>
      <c r="H5" s="4" t="n">
        <v>3</v>
      </c>
    </row>
    <row r="6" ht="34" customHeight="1">
      <c r="A6" t="inlineStr">
        <is>
          <t>Average receivables outstanding</t>
        </is>
      </c>
      <c r="B6" s="5">
        <f>'Monthly Detail'!H16</f>
        <v/>
      </c>
      <c r="D6" s="5">
        <f>'Monthly Detail'!I16</f>
        <v/>
      </c>
      <c r="F6" s="5">
        <f>'Monthly Detail'!J16</f>
        <v/>
      </c>
      <c r="H6" s="5">
        <f>'Monthly Detail'!K16</f>
        <v/>
      </c>
      <c r="J6" s="6" t="inlineStr">
        <is>
          <t>Monthly average of daily receivables; the quarter is the average of the three monthly averages.</t>
        </is>
      </c>
    </row>
    <row r="7">
      <c r="A7" s="7" t="inlineStr">
        <is>
          <t>Interest and fees — earned on balances</t>
        </is>
      </c>
      <c r="B7" s="8" t="n"/>
      <c r="C7" s="8" t="n"/>
      <c r="D7" s="8" t="n"/>
      <c r="E7" s="8" t="n"/>
      <c r="F7" s="8" t="n"/>
      <c r="G7" s="8" t="n"/>
      <c r="H7" s="8" t="n"/>
      <c r="I7" s="8" t="n"/>
      <c r="J7" s="8" t="n"/>
    </row>
    <row r="8">
      <c r="A8" t="inlineStr">
        <is>
          <t>Revolving interest (accrued)</t>
        </is>
      </c>
      <c r="B8" s="5">
        <f>'Monthly Detail'!H11</f>
        <v/>
      </c>
      <c r="C8" s="9">
        <f>B8*12/B$5/B$6</f>
        <v/>
      </c>
      <c r="D8" s="5">
        <f>'Monthly Detail'!I11</f>
        <v/>
      </c>
      <c r="E8" s="9">
        <f>D8*12/D$5/D$6</f>
        <v/>
      </c>
      <c r="F8" s="5">
        <f>'Monthly Detail'!J11</f>
        <v/>
      </c>
      <c r="G8" s="9">
        <f>F8*12/F$5/F$6</f>
        <v/>
      </c>
      <c r="H8" s="5">
        <f>'Monthly Detail'!K11</f>
        <v/>
      </c>
      <c r="I8" s="9">
        <f>H8*12/H$5/H$6</f>
        <v/>
      </c>
      <c r="J8" s="6" t="inlineStr">
        <is>
          <t>Charged at 3% per month (BSP cap) on billed balances not paid in full by the due date; interest is only charged after a balance is statemented, so unbilled purchases and balances paid within the grace period earn no interest. Accrual basis: statement interest allocated across the calendar days of each cycle (billed basis shown as memo below).</t>
        </is>
      </c>
    </row>
    <row r="9">
      <c r="A9" t="inlineStr">
        <is>
          <t>Installment interest (accrued)</t>
        </is>
      </c>
      <c r="B9" s="5">
        <f>'Monthly Detail'!H12</f>
        <v/>
      </c>
      <c r="C9" s="9">
        <f>B9*12/B$5/B$6</f>
        <v/>
      </c>
      <c r="D9" s="5">
        <f>'Monthly Detail'!I12</f>
        <v/>
      </c>
      <c r="E9" s="9">
        <f>D9*12/D$5/D$6</f>
        <v/>
      </c>
      <c r="F9" s="5">
        <f>'Monthly Detail'!J12</f>
        <v/>
      </c>
      <c r="G9" s="9">
        <f>F9*12/F$5/F$6</f>
        <v/>
      </c>
      <c r="H9" s="5">
        <f>'Monthly Detail'!K12</f>
        <v/>
      </c>
      <c r="I9" s="9">
        <f>H9*12/H$5/H$6</f>
        <v/>
      </c>
      <c r="J9" s="6" t="inlineStr">
        <is>
          <t>1% per month on installment balances; accrual basis.</t>
        </is>
      </c>
    </row>
    <row r="10">
      <c r="A10" t="inlineStr">
        <is>
          <t>Installment upfront fees</t>
        </is>
      </c>
      <c r="B10" s="5">
        <f>'Monthly Detail'!H7</f>
        <v/>
      </c>
      <c r="C10" s="9">
        <f>B10*12/B$5/B$6</f>
        <v/>
      </c>
      <c r="D10" s="5">
        <f>'Monthly Detail'!I7</f>
        <v/>
      </c>
      <c r="E10" s="9">
        <f>D10*12/D$5/D$6</f>
        <v/>
      </c>
      <c r="F10" s="5">
        <f>'Monthly Detail'!J7</f>
        <v/>
      </c>
      <c r="G10" s="9">
        <f>F10*12/F$5/F$6</f>
        <v/>
      </c>
      <c r="H10" s="5">
        <f>'Monthly Detail'!K7</f>
        <v/>
      </c>
      <c r="I10" s="9">
        <f>H10*12/H$5/H$6</f>
        <v/>
      </c>
      <c r="J10" s="6" t="inlineStr">
        <is>
          <t>0.5% × term in months, billed at conversion.</t>
        </is>
      </c>
    </row>
    <row r="11">
      <c r="A11" t="inlineStr">
        <is>
          <t>Late payment fees</t>
        </is>
      </c>
      <c r="B11" s="5">
        <f>'Monthly Detail'!H8</f>
        <v/>
      </c>
      <c r="C11" s="9">
        <f>B11*12/B$5/B$6</f>
        <v/>
      </c>
      <c r="D11" s="5">
        <f>'Monthly Detail'!I8</f>
        <v/>
      </c>
      <c r="E11" s="9">
        <f>D11*12/D$5/D$6</f>
        <v/>
      </c>
      <c r="F11" s="5">
        <f>'Monthly Detail'!J8</f>
        <v/>
      </c>
      <c r="G11" s="9">
        <f>F11*12/F$5/F$6</f>
        <v/>
      </c>
      <c r="H11" s="5">
        <f>'Monthly Detail'!K8</f>
        <v/>
      </c>
      <c r="I11" s="9">
        <f>H11*12/H$5/H$6</f>
        <v/>
      </c>
    </row>
    <row r="12">
      <c r="A12" s="10" t="inlineStr">
        <is>
          <t>Interest and fees</t>
        </is>
      </c>
      <c r="B12" s="11">
        <f>SUM(B8:B11)</f>
        <v/>
      </c>
      <c r="C12" s="12">
        <f>B12*12/B$5/B$6</f>
        <v/>
      </c>
      <c r="D12" s="11">
        <f>SUM(D8:D11)</f>
        <v/>
      </c>
      <c r="E12" s="12">
        <f>D12*12/D$5/D$6</f>
        <v/>
      </c>
      <c r="F12" s="11">
        <f>SUM(F8:F11)</f>
        <v/>
      </c>
      <c r="G12" s="12">
        <f>F12*12/F$5/F$6</f>
        <v/>
      </c>
      <c r="H12" s="11">
        <f>SUM(H8:H11)</f>
        <v/>
      </c>
      <c r="I12" s="12">
        <f>H12*12/H$5/H$6</f>
        <v/>
      </c>
    </row>
    <row r="13"/>
    <row r="14">
      <c r="A14" s="7" t="inlineStr">
        <is>
          <t>Interchange — earned on purchases, so a function of turnover</t>
        </is>
      </c>
      <c r="B14" s="8" t="n"/>
      <c r="C14" s="8" t="n"/>
      <c r="D14" s="8" t="n"/>
      <c r="E14" s="8" t="n"/>
      <c r="F14" s="8" t="n"/>
      <c r="G14" s="8" t="n"/>
      <c r="H14" s="8" t="n"/>
      <c r="I14" s="8" t="n"/>
      <c r="J14" s="8" t="n"/>
    </row>
    <row r="15" ht="34" customHeight="1">
      <c r="A15" t="inlineStr">
        <is>
          <t>Purchase volume settled</t>
        </is>
      </c>
      <c r="B15" s="5">
        <f>'Monthly Detail'!H19</f>
        <v/>
      </c>
      <c r="D15" s="5">
        <f>'Monthly Detail'!I19</f>
        <v/>
      </c>
      <c r="F15" s="5">
        <f>'Monthly Detail'!J19</f>
        <v/>
      </c>
      <c r="H15" s="5">
        <f>'Monthly Detail'!K19</f>
        <v/>
      </c>
      <c r="J15" s="6" t="inlineStr">
        <is>
          <t>Cardholder purchases settled through Mastercard, net of returns.</t>
        </is>
      </c>
    </row>
    <row r="16" ht="34" customHeight="1">
      <c r="A16" t="inlineStr">
        <is>
          <t>Purchase turnover (annualized purchase volume ÷ average receivables)</t>
        </is>
      </c>
      <c r="C16" s="13">
        <f>B15*12/B$5/B$6</f>
        <v/>
      </c>
      <c r="E16" s="13">
        <f>D15*12/D$5/D$6</f>
        <v/>
      </c>
      <c r="G16" s="13">
        <f>F15*12/F$5/F$6</f>
        <v/>
      </c>
      <c r="I16" s="13">
        <f>H15*12/H$5/H$6</f>
        <v/>
      </c>
      <c r="J16" s="6" t="inlineStr">
        <is>
          <t>How many times a year the book is re-spent. Falls as more of the book revolves.</t>
        </is>
      </c>
    </row>
    <row r="17" ht="34" customHeight="1">
      <c r="A17" t="inlineStr">
        <is>
          <t>Interchange rate on purchase volume</t>
        </is>
      </c>
      <c r="C17" s="14">
        <f>B18/B15</f>
        <v/>
      </c>
      <c r="E17" s="14">
        <f>D18/D15</f>
        <v/>
      </c>
      <c r="G17" s="14">
        <f>F18/F15</f>
        <v/>
      </c>
      <c r="I17" s="14">
        <f>H18/H15</f>
        <v/>
      </c>
      <c r="J17" s="6" t="inlineStr">
        <is>
          <t>Set by Mastercard by merchant category and domestic/foreign; gross of network and processing costs.</t>
        </is>
      </c>
    </row>
    <row r="18" ht="80" customHeight="1">
      <c r="A18" s="10" t="inlineStr">
        <is>
          <t>Interchange income</t>
        </is>
      </c>
      <c r="B18" s="11">
        <f>'Monthly Detail'!H9</f>
        <v/>
      </c>
      <c r="C18" s="12">
        <f>C17*C16</f>
        <v/>
      </c>
      <c r="D18" s="11">
        <f>'Monthly Detail'!I9</f>
        <v/>
      </c>
      <c r="E18" s="12">
        <f>E17*E16</f>
        <v/>
      </c>
      <c r="F18" s="11">
        <f>'Monthly Detail'!J9</f>
        <v/>
      </c>
      <c r="G18" s="12">
        <f>G17*G16</f>
        <v/>
      </c>
      <c r="H18" s="11">
        <f>'Monthly Detail'!K9</f>
        <v/>
      </c>
      <c r="I18" s="12">
        <f>I17*I16</f>
        <v/>
      </c>
      <c r="J18" s="6" t="inlineStr">
        <is>
          <t>Yield on receivables = interchange rate × purchase turnover. Mastercard settles each purchase to the merchant net of interchange and the cardholder is billed the full amount, so interchange is collected through cardholder payments. It is earned once, when the receivable is created; a balance that then revolves earns interest, not further interchange.</t>
        </is>
      </c>
    </row>
    <row r="19"/>
    <row r="20">
      <c r="A20" s="7" t="inlineStr">
        <is>
          <t>Gross yield (annualized, on average receivables)</t>
        </is>
      </c>
      <c r="B20" s="8" t="n"/>
      <c r="C20" s="8" t="n"/>
      <c r="D20" s="8" t="n"/>
      <c r="E20" s="8" t="n"/>
      <c r="F20" s="8" t="n"/>
      <c r="G20" s="8" t="n"/>
      <c r="H20" s="8" t="n"/>
      <c r="I20" s="8" t="n"/>
      <c r="J20" s="8" t="n"/>
    </row>
    <row r="21">
      <c r="A21" t="inlineStr">
        <is>
          <t>Gross yield — interest and fees</t>
        </is>
      </c>
      <c r="C21" s="9">
        <f>C12</f>
        <v/>
      </c>
      <c r="E21" s="9">
        <f>E12</f>
        <v/>
      </c>
      <c r="G21" s="9">
        <f>G12</f>
        <v/>
      </c>
      <c r="I21" s="9">
        <f>I12</f>
        <v/>
      </c>
    </row>
    <row r="22" ht="34" customHeight="1">
      <c r="A22" s="15" t="inlineStr">
        <is>
          <t>Gross yield — all revenue, including interchange</t>
        </is>
      </c>
      <c r="B22" s="16">
        <f>B12+B18</f>
        <v/>
      </c>
      <c r="C22" s="17">
        <f>C12+C18</f>
        <v/>
      </c>
      <c r="D22" s="16">
        <f>D12+D18</f>
        <v/>
      </c>
      <c r="E22" s="17">
        <f>E12+E18</f>
        <v/>
      </c>
      <c r="F22" s="16">
        <f>F12+F18</f>
        <v/>
      </c>
      <c r="G22" s="17">
        <f>G12+G18</f>
        <v/>
      </c>
      <c r="H22" s="16">
        <f>H12+H18</f>
        <v/>
      </c>
      <c r="I22" s="17">
        <f>I12+I18</f>
        <v/>
      </c>
      <c r="J22" s="18" t="inlineStr">
        <is>
          <t>Amount column: total revenue for the period on the accrual basis (Monthly Detail).</t>
        </is>
      </c>
    </row>
    <row r="23">
      <c r="A23" t="inlineStr">
        <is>
          <t>Memo: revolving + installment interest, billed basis (statements closing in the month)</t>
        </is>
      </c>
      <c r="B23" s="5">
        <f>'Monthly Detail'!H5+'Monthly Detail'!H6</f>
        <v/>
      </c>
      <c r="C23" s="9">
        <f>B23*12/B$5/B$6</f>
        <v/>
      </c>
      <c r="D23" s="5">
        <f>'Monthly Detail'!I5+'Monthly Detail'!I6</f>
        <v/>
      </c>
      <c r="E23" s="9">
        <f>D23*12/D$5/D$6</f>
        <v/>
      </c>
      <c r="F23" s="5">
        <f>'Monthly Detail'!J5+'Monthly Detail'!J6</f>
        <v/>
      </c>
      <c r="G23" s="9">
        <f>F23*12/F$5/F$6</f>
        <v/>
      </c>
      <c r="H23" s="5">
        <f>'Monthly Detail'!K5+'Monthly Detail'!K6</f>
        <v/>
      </c>
      <c r="I23" s="9">
        <f>H23*12/H$5/H$6</f>
        <v/>
      </c>
      <c r="J23" s="6" t="inlineStr">
        <is>
          <t>Management reporting basis; lower than accrued in a growing book because the 14th-close cycles lag the calendar month by about two weeks.</t>
        </is>
      </c>
    </row>
    <row r="24"/>
    <row r="25">
      <c r="A25" s="7" t="inlineStr">
        <is>
          <t>Loss on receivables — also a function of turnover</t>
        </is>
      </c>
      <c r="B25" s="8" t="n"/>
      <c r="C25" s="8" t="n"/>
      <c r="D25" s="8" t="n"/>
      <c r="E25" s="8" t="n"/>
      <c r="F25" s="8" t="n"/>
      <c r="G25" s="8" t="n"/>
      <c r="H25" s="8" t="n"/>
      <c r="I25" s="8" t="n"/>
      <c r="J25" s="8" t="n"/>
    </row>
    <row r="26" ht="34" customHeight="1">
      <c r="A26" t="inlineStr">
        <is>
          <t>Principal flow in period (purchase volume + pay-a-friend transfers)</t>
        </is>
      </c>
      <c r="B26" s="5">
        <f>'Monthly Detail'!H21</f>
        <v/>
      </c>
      <c r="D26" s="5">
        <f>'Monthly Detail'!I21</f>
        <v/>
      </c>
      <c r="F26" s="5">
        <f>'Monthly Detail'!J21</f>
        <v/>
      </c>
      <c r="H26" s="5">
        <f>'Monthly Detail'!K21</f>
        <v/>
      </c>
      <c r="J26" s="6" t="inlineStr">
        <is>
          <t>Everything that became a receivable in the month: Mastercard purchases net of returns plus pay-a-friend transfers (which earn no interchange). Calendar-month, same basis as average receivables.</t>
        </is>
      </c>
    </row>
    <row r="27" ht="34" customHeight="1">
      <c r="A27" t="inlineStr">
        <is>
          <t>Principal turnover (annualized principal flow ÷ average receivables)</t>
        </is>
      </c>
      <c r="C27" s="13">
        <f>B26*12/B$5/B$6</f>
        <v/>
      </c>
      <c r="E27" s="13">
        <f>D26*12/D$5/D$6</f>
        <v/>
      </c>
      <c r="G27" s="13">
        <f>F26*12/F$5/F$6</f>
        <v/>
      </c>
      <c r="I27" s="13">
        <f>H26*12/H$5/H$6</f>
        <v/>
      </c>
      <c r="J27" s="6" t="inlineStr">
        <is>
          <t>Each peso of receivables is re-lent several times a year, so a loss rate on originations must be multiplied by turnover to compare it with a yield on balances. Differs from purchase turnover only by pay-a-friend.</t>
        </is>
      </c>
    </row>
    <row r="28" ht="80" customHeight="1">
      <c r="A28" t="inlineStr">
        <is>
          <t>Loss rate on originated principal — ≥90 DPD, excluding first-payment defaults</t>
        </is>
      </c>
      <c r="C28" s="14">
        <f>loss_rate_xfpd</f>
        <v/>
      </c>
      <c r="E28" s="14">
        <f>loss_rate_xfpd</f>
        <v/>
      </c>
      <c r="G28" s="14">
        <f>loss_rate_xfpd</f>
        <v/>
      </c>
      <c r="I28" s="14">
        <f>loss_rate_xfpd</f>
        <v/>
      </c>
      <c r="J28" s="6" t="inlineStr">
        <is>
          <t>See the Loss Rate tab. Principal 90+ days past due ÷ originated principal on statements whose due date is ≥90 days old, vintages since January 2026, gross of recoveries; first-payment-default accounts (never made a payment; fraud/identity rather than credit) excluded from numerator and denominator. The same rate is applied to every period.</t>
        </is>
      </c>
    </row>
    <row r="29">
      <c r="A29" s="10" t="inlineStr">
        <is>
          <t>Loss on receivables (loss rate × principal turnover)</t>
        </is>
      </c>
      <c r="B29" s="10" t="n"/>
      <c r="C29" s="12">
        <f>C28*C27</f>
        <v/>
      </c>
      <c r="D29" s="10" t="n"/>
      <c r="E29" s="12">
        <f>E28*E27</f>
        <v/>
      </c>
      <c r="F29" s="10" t="n"/>
      <c r="G29" s="12">
        <f>G28*G27</f>
        <v/>
      </c>
      <c r="H29" s="10" t="n"/>
      <c r="I29" s="12">
        <f>I28*I27</f>
        <v/>
      </c>
    </row>
    <row r="30"/>
    <row r="31">
      <c r="A31" s="7" t="inlineStr">
        <is>
          <t>Net yield</t>
        </is>
      </c>
      <c r="B31" s="8" t="n"/>
      <c r="C31" s="8" t="n"/>
      <c r="D31" s="8" t="n"/>
      <c r="E31" s="8" t="n"/>
      <c r="F31" s="8" t="n"/>
      <c r="G31" s="8" t="n"/>
      <c r="H31" s="8" t="n"/>
      <c r="I31" s="8" t="n"/>
      <c r="J31" s="8" t="n"/>
    </row>
    <row r="32">
      <c r="A32" s="10" t="inlineStr">
        <is>
          <t>Net yield — all revenue less loss on receivables</t>
        </is>
      </c>
      <c r="B32" s="10" t="n"/>
      <c r="C32" s="12">
        <f>C22-C29</f>
        <v/>
      </c>
      <c r="D32" s="10" t="n"/>
      <c r="E32" s="12">
        <f>E22-E29</f>
        <v/>
      </c>
      <c r="F32" s="10" t="n"/>
      <c r="G32" s="12">
        <f>G22-G29</f>
        <v/>
      </c>
      <c r="H32" s="10" t="n"/>
      <c r="I32" s="12">
        <f>I22-I29</f>
        <v/>
      </c>
      <c r="J32" s="6" t="inlineStr">
        <is>
          <t>Before operating, servicing and funding costs.</t>
        </is>
      </c>
    </row>
    <row r="33"/>
    <row r="34">
      <c r="A34" s="7" t="inlineStr">
        <is>
          <t>Memo — USD equivalents</t>
        </is>
      </c>
      <c r="B34" s="8" t="n"/>
      <c r="C34" s="8" t="n"/>
      <c r="D34" s="8" t="n"/>
      <c r="E34" s="8" t="n"/>
      <c r="F34" s="8" t="n"/>
      <c r="G34" s="8" t="n"/>
      <c r="H34" s="8" t="n"/>
      <c r="I34" s="8" t="n"/>
      <c r="J34" s="8" t="n"/>
    </row>
    <row r="35">
      <c r="A35" t="inlineStr">
        <is>
          <t>PHP per USD</t>
        </is>
      </c>
      <c r="B35" s="19" t="n">
        <v>55.8</v>
      </c>
      <c r="D35" s="19" t="n">
        <v>55.8</v>
      </c>
      <c r="F35" s="19" t="n">
        <v>55.8</v>
      </c>
      <c r="H35" s="19" t="n">
        <v>55.8</v>
      </c>
    </row>
    <row r="36">
      <c r="A36" t="inlineStr">
        <is>
          <t>Average receivables outstanding (USD)</t>
        </is>
      </c>
      <c r="B36" s="5">
        <f>B6/B35</f>
        <v/>
      </c>
      <c r="D36" s="5">
        <f>D6/D35</f>
        <v/>
      </c>
      <c r="F36" s="5">
        <f>F6/F35</f>
        <v/>
      </c>
      <c r="H36" s="5">
        <f>H6/H35</f>
        <v/>
      </c>
    </row>
    <row r="37">
      <c r="A37" t="inlineStr">
        <is>
          <t>Total revenue (USD)</t>
        </is>
      </c>
      <c r="B37" s="5">
        <f>B22/B35</f>
        <v/>
      </c>
      <c r="D37" s="5">
        <f>D22/D35</f>
        <v/>
      </c>
      <c r="F37" s="5">
        <f>F22/F35</f>
        <v/>
      </c>
      <c r="H37" s="5">
        <f>H22/H35</f>
        <v/>
      </c>
    </row>
    <row r="38">
      <c r="A38" t="inlineStr">
        <is>
          <t>Principal flow (USD)</t>
        </is>
      </c>
      <c r="B38" s="5">
        <f>B26/B35</f>
        <v/>
      </c>
      <c r="D38" s="5">
        <f>D26/D35</f>
        <v/>
      </c>
      <c r="F38" s="5">
        <f>F26/F35</f>
        <v/>
      </c>
      <c r="H38" s="5">
        <f>H26/H35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 t="inlineStr">
        <is>
          <t>PHP. Revenue is recognised in the month billed (interest and fees) or settled (interchange). Yields are annualized simply: month ÷ average receivables × 12.</t>
        </is>
      </c>
    </row>
    <row r="3"/>
    <row r="4">
      <c r="A4" s="3" t="inlineStr">
        <is>
          <t>Line</t>
        </is>
      </c>
      <c r="B4" s="3" t="inlineStr">
        <is>
          <t>Jan 2026</t>
        </is>
      </c>
      <c r="C4" s="3" t="inlineStr">
        <is>
          <t>Feb 2026</t>
        </is>
      </c>
      <c r="D4" s="3" t="inlineStr">
        <is>
          <t>Mar 2026</t>
        </is>
      </c>
      <c r="E4" s="3" t="inlineStr">
        <is>
          <t>Apr 2026</t>
        </is>
      </c>
      <c r="F4" s="3" t="inlineStr">
        <is>
          <t>May 2026</t>
        </is>
      </c>
      <c r="G4" s="3" t="inlineStr">
        <is>
          <t>Jun 2026</t>
        </is>
      </c>
      <c r="H4" s="3" t="inlineStr">
        <is>
          <t>Jul 2026</t>
        </is>
      </c>
      <c r="I4" s="3" t="inlineStr">
        <is>
          <t>Aug 2026</t>
        </is>
      </c>
      <c r="J4" s="3" t="inlineStr">
        <is>
          <t>Sep 2026</t>
        </is>
      </c>
      <c r="K4" s="3" t="inlineStr">
        <is>
          <t>Jul–Sep 2026</t>
        </is>
      </c>
    </row>
    <row r="5">
      <c r="A5" t="inlineStr">
        <is>
          <t>Revolving interest</t>
        </is>
      </c>
      <c r="B5" s="5" t="n">
        <v>0</v>
      </c>
      <c r="C5" s="5" t="n">
        <v>0</v>
      </c>
      <c r="D5" s="5" t="n">
        <v>0</v>
      </c>
      <c r="E5" s="5" t="n">
        <v>0</v>
      </c>
      <c r="F5" s="5" t="n">
        <v>0</v>
      </c>
      <c r="G5" s="5" t="n">
        <v>685463.409999999</v>
      </c>
      <c r="H5" s="5" t="n">
        <v>1501634.9</v>
      </c>
      <c r="I5" s="5" t="n">
        <v>1951592.03</v>
      </c>
      <c r="J5" s="5" t="n">
        <v>2229680.03</v>
      </c>
      <c r="K5" s="5">
        <f>SUM(H5:J5)</f>
        <v/>
      </c>
    </row>
    <row r="6">
      <c r="A6" t="inlineStr">
        <is>
          <t>Installment interest</t>
        </is>
      </c>
      <c r="B6" s="5" t="n">
        <v>1316.21</v>
      </c>
      <c r="C6" s="5" t="n">
        <v>47765.48</v>
      </c>
      <c r="D6" s="5" t="n">
        <v>134016.53</v>
      </c>
      <c r="E6" s="5" t="n">
        <v>220070.96</v>
      </c>
      <c r="F6" s="5" t="n">
        <v>257582.01</v>
      </c>
      <c r="G6" s="5" t="n">
        <v>340853.06</v>
      </c>
      <c r="H6" s="5" t="n">
        <v>403236.04</v>
      </c>
      <c r="I6" s="5" t="n">
        <v>445213.13</v>
      </c>
      <c r="J6" s="5" t="n">
        <v>486325.05</v>
      </c>
      <c r="K6" s="5">
        <f>SUM(H6:J6)</f>
        <v/>
      </c>
    </row>
    <row r="7">
      <c r="A7" t="inlineStr">
        <is>
          <t>Installment upfront fees</t>
        </is>
      </c>
      <c r="B7" s="5" t="n">
        <v>2185.69</v>
      </c>
      <c r="C7" s="5" t="n">
        <v>146390.53</v>
      </c>
      <c r="D7" s="5" t="n">
        <v>291311.38</v>
      </c>
      <c r="E7" s="5" t="n">
        <v>307856.48</v>
      </c>
      <c r="F7" s="5" t="n">
        <v>320397.94</v>
      </c>
      <c r="G7" s="5" t="n">
        <v>337749.34</v>
      </c>
      <c r="H7" s="5" t="n">
        <v>290513.47</v>
      </c>
      <c r="I7" s="5" t="n">
        <v>341458.41</v>
      </c>
      <c r="J7" s="5" t="n">
        <v>439733.93</v>
      </c>
      <c r="K7" s="5">
        <f>SUM(H7:J7)</f>
        <v/>
      </c>
    </row>
    <row r="8">
      <c r="A8" t="inlineStr">
        <is>
          <t>Late payment fees</t>
        </is>
      </c>
      <c r="B8" s="5" t="n">
        <v>64707.62</v>
      </c>
      <c r="C8" s="5" t="n">
        <v>71011.07000000001</v>
      </c>
      <c r="D8" s="5" t="n">
        <v>104805.31</v>
      </c>
      <c r="E8" s="5" t="n">
        <v>138112.4</v>
      </c>
      <c r="F8" s="5" t="n">
        <v>139049.93</v>
      </c>
      <c r="G8" s="5" t="n">
        <v>84871.59</v>
      </c>
      <c r="H8" s="5" t="n">
        <v>89421.49000000001</v>
      </c>
      <c r="I8" s="5" t="n">
        <v>108174.67</v>
      </c>
      <c r="J8" s="5" t="n">
        <v>126426.4</v>
      </c>
      <c r="K8" s="5">
        <f>SUM(H8:J8)</f>
        <v/>
      </c>
    </row>
    <row r="9">
      <c r="A9" t="inlineStr">
        <is>
          <t>Interchange</t>
        </is>
      </c>
      <c r="B9" s="5" t="n">
        <v>800466.96</v>
      </c>
      <c r="C9" s="5" t="n">
        <v>864632.9299999999</v>
      </c>
      <c r="D9" s="5" t="n">
        <v>1364620.690445234</v>
      </c>
      <c r="E9" s="5" t="n">
        <v>1521533.27</v>
      </c>
      <c r="F9" s="5" t="n">
        <v>1545608.623867449</v>
      </c>
      <c r="G9" s="5" t="n">
        <v>1963194.1105</v>
      </c>
      <c r="H9" s="5" t="n">
        <v>1811444.7469</v>
      </c>
      <c r="I9" s="5" t="n">
        <v>1892210.135992006</v>
      </c>
      <c r="J9" s="5" t="n">
        <v>2630889.798</v>
      </c>
      <c r="K9" s="5">
        <f>SUM(H9:J9)</f>
        <v/>
      </c>
    </row>
    <row r="10">
      <c r="A10" t="inlineStr">
        <is>
          <t>Total revenue — billed basis (ties to management reporting)</t>
        </is>
      </c>
      <c r="B10" s="5">
        <f>SUM(B5:B9)</f>
        <v/>
      </c>
      <c r="C10" s="5">
        <f>SUM(C5:C9)</f>
        <v/>
      </c>
      <c r="D10" s="5">
        <f>SUM(D5:D9)</f>
        <v/>
      </c>
      <c r="E10" s="5">
        <f>SUM(E5:E9)</f>
        <v/>
      </c>
      <c r="F10" s="5">
        <f>SUM(F5:F9)</f>
        <v/>
      </c>
      <c r="G10" s="5">
        <f>SUM(G5:G9)</f>
        <v/>
      </c>
      <c r="H10" s="5">
        <f>SUM(H5:H9)</f>
        <v/>
      </c>
      <c r="I10" s="5">
        <f>SUM(I5:I9)</f>
        <v/>
      </c>
      <c r="J10" s="5">
        <f>SUM(J5:J9)</f>
        <v/>
      </c>
      <c r="K10" s="5">
        <f>SUM(K5:K9)</f>
        <v/>
      </c>
    </row>
    <row r="11">
      <c r="A11" t="inlineStr">
        <is>
          <t>Revolving interest — accrued (calendar month)</t>
        </is>
      </c>
      <c r="H11" s="5" t="n">
        <v>1658171.4</v>
      </c>
      <c r="I11" s="5" t="n">
        <v>2023314.88</v>
      </c>
      <c r="J11" s="5" t="n">
        <v>2282599.61</v>
      </c>
      <c r="K11" s="5">
        <f>SUM(H11:J11)</f>
        <v/>
      </c>
    </row>
    <row r="12">
      <c r="A12" t="inlineStr">
        <is>
          <t>Installment interest — accrued (calendar month)</t>
        </is>
      </c>
      <c r="H12" s="5" t="n">
        <v>430644.66</v>
      </c>
      <c r="I12" s="5" t="n">
        <v>467199.88</v>
      </c>
      <c r="J12" s="5" t="n">
        <v>517295.33</v>
      </c>
      <c r="K12" s="5">
        <f>SUM(H12:J12)</f>
        <v/>
      </c>
    </row>
    <row r="13">
      <c r="A13" s="10" t="inlineStr">
        <is>
          <t>Total revenue — accrual basis (used in Yield Summary)</t>
        </is>
      </c>
      <c r="H13" s="11">
        <f>H11+H12+H7+H8+H9</f>
        <v/>
      </c>
      <c r="I13" s="11">
        <f>I11+I12+I7+I8+I9</f>
        <v/>
      </c>
      <c r="J13" s="11">
        <f>J11+J12+J7+J8+J9</f>
        <v/>
      </c>
      <c r="K13" s="11">
        <f>K11+K12+K7+K8+K9</f>
        <v/>
      </c>
    </row>
    <row r="14"/>
    <row r="15">
      <c r="A15" s="7" t="inlineStr">
        <is>
          <t>Balances and volumes</t>
        </is>
      </c>
      <c r="B15" s="8" t="n"/>
      <c r="C15" s="8" t="n"/>
      <c r="D15" s="8" t="n"/>
      <c r="E15" s="8" t="n"/>
      <c r="F15" s="8" t="n"/>
      <c r="G15" s="8" t="n"/>
      <c r="H15" s="8" t="n"/>
      <c r="I15" s="8" t="n"/>
      <c r="J15" s="8" t="n"/>
      <c r="K15" s="8" t="n"/>
    </row>
    <row r="16">
      <c r="A16" t="inlineStr">
        <is>
          <t>Average receivables outstanding</t>
        </is>
      </c>
      <c r="B16" s="5" t="n">
        <v>60876935.09</v>
      </c>
      <c r="C16" s="5" t="n">
        <v>61287125.635</v>
      </c>
      <c r="D16" s="5" t="n">
        <v>78004357.58999999</v>
      </c>
      <c r="E16" s="5" t="n">
        <v>105226683.72</v>
      </c>
      <c r="F16" s="5" t="n">
        <v>126178365.54</v>
      </c>
      <c r="G16" s="5" t="n">
        <v>143946231.47</v>
      </c>
      <c r="H16" s="5" t="n">
        <v>158604610.965</v>
      </c>
      <c r="I16" s="5" t="n">
        <v>176625299.92</v>
      </c>
      <c r="J16" s="5" t="n">
        <v>211159156.895</v>
      </c>
      <c r="K16" s="5">
        <f>AVERAGE(H16:J16)</f>
        <v/>
      </c>
    </row>
    <row r="17">
      <c r="A17" t="inlineStr">
        <is>
          <t>Receivables outstanding, end of month</t>
        </is>
      </c>
      <c r="B17" s="5" t="n">
        <v>59172827.04</v>
      </c>
      <c r="C17" s="5" t="n">
        <v>63401424.23</v>
      </c>
      <c r="D17" s="5" t="n">
        <v>92607290.94999999</v>
      </c>
      <c r="E17" s="5" t="n">
        <v>117846076.49</v>
      </c>
      <c r="F17" s="5" t="n">
        <v>134510654.59</v>
      </c>
      <c r="G17" s="5" t="n">
        <v>153381808.35</v>
      </c>
      <c r="H17" s="5" t="n">
        <v>163827413.58</v>
      </c>
      <c r="I17" s="5" t="n">
        <v>189423186.26</v>
      </c>
      <c r="J17" s="5" t="n">
        <v>232895127.53</v>
      </c>
      <c r="K17" s="5">
        <f>J17</f>
        <v/>
      </c>
    </row>
    <row r="18">
      <c r="A18" t="inlineStr">
        <is>
          <t>Principal originated, statement-month basis (base on which the loss rate is measured)</t>
        </is>
      </c>
      <c r="B18" s="5" t="n">
        <v>69900973.84</v>
      </c>
      <c r="C18" s="5" t="n">
        <v>60820771.28</v>
      </c>
      <c r="D18" s="5" t="n">
        <v>89743205.59</v>
      </c>
      <c r="E18" s="5" t="n">
        <v>107115373.17</v>
      </c>
      <c r="F18" s="5" t="n">
        <v>118184976.17</v>
      </c>
      <c r="G18" s="5" t="n">
        <v>136417479.48</v>
      </c>
      <c r="H18" s="5" t="n">
        <v>140624271.71</v>
      </c>
      <c r="I18" s="5" t="n">
        <v>141888335.14</v>
      </c>
      <c r="J18" s="5" t="n">
        <v>160221212.53</v>
      </c>
      <c r="K18" s="5">
        <f>SUM(H18:J18)</f>
        <v/>
      </c>
    </row>
    <row r="19">
      <c r="A19" t="inlineStr">
        <is>
          <t>Purchase volume settled (Mastercard, net of returns)</t>
        </is>
      </c>
      <c r="B19" s="5" t="n">
        <v>59671645.156</v>
      </c>
      <c r="C19" s="5" t="n">
        <v>60642780.726</v>
      </c>
      <c r="D19" s="5" t="n">
        <v>95344566</v>
      </c>
      <c r="E19" s="5" t="n">
        <v>105947213.036</v>
      </c>
      <c r="F19" s="5" t="n">
        <v>110400244.168</v>
      </c>
      <c r="G19" s="5" t="n">
        <v>137145988.384</v>
      </c>
      <c r="H19" s="5" t="n">
        <v>127249656.88</v>
      </c>
      <c r="I19" s="5" t="n">
        <v>130388896.484</v>
      </c>
      <c r="J19" s="5" t="n">
        <v>190860991.79</v>
      </c>
      <c r="K19" s="5">
        <f>SUM(H19:J19)</f>
        <v/>
      </c>
    </row>
    <row r="20">
      <c r="A20" t="inlineStr">
        <is>
          <t>Pay-a-friend transfers (cardholder-to-cardholder, charged to the card; no interchange)</t>
        </is>
      </c>
      <c r="B20" s="5" t="n">
        <v>1060000</v>
      </c>
      <c r="C20" s="5" t="n">
        <v>980000</v>
      </c>
      <c r="D20" s="5" t="n">
        <v>1900000</v>
      </c>
      <c r="E20" s="5" t="n">
        <v>1190000</v>
      </c>
      <c r="F20" s="5" t="n">
        <v>2250000</v>
      </c>
      <c r="G20" s="5" t="n">
        <v>2040000</v>
      </c>
      <c r="H20" s="5" t="n">
        <v>2730000</v>
      </c>
      <c r="I20" s="5" t="n">
        <v>2970000</v>
      </c>
      <c r="J20" s="5" t="n">
        <v>2650000</v>
      </c>
      <c r="K20" s="5">
        <f>SUM(H20:J20)</f>
        <v/>
      </c>
    </row>
    <row r="21">
      <c r="A21" s="10" t="inlineStr">
        <is>
          <t>Principal flow (purchase volume + pay-a-friend) — calendar-month loss base</t>
        </is>
      </c>
      <c r="B21" s="5">
        <f>B19+B20</f>
        <v/>
      </c>
      <c r="C21" s="5">
        <f>C19+C20</f>
        <v/>
      </c>
      <c r="D21" s="5">
        <f>D19+D20</f>
        <v/>
      </c>
      <c r="E21" s="5">
        <f>E19+E20</f>
        <v/>
      </c>
      <c r="F21" s="5">
        <f>F19+F20</f>
        <v/>
      </c>
      <c r="G21" s="5">
        <f>G19+G20</f>
        <v/>
      </c>
      <c r="H21" s="5">
        <f>H19+H20</f>
        <v/>
      </c>
      <c r="I21" s="5">
        <f>I19+I20</f>
        <v/>
      </c>
      <c r="J21" s="5">
        <f>J19+J20</f>
        <v/>
      </c>
      <c r="K21" s="5">
        <f>K19+K20</f>
        <v/>
      </c>
    </row>
    <row r="22"/>
    <row r="23">
      <c r="A23" s="7" t="inlineStr">
        <is>
          <t>Annualized yields on average receivables</t>
        </is>
      </c>
      <c r="B23" s="8" t="n"/>
      <c r="C23" s="8" t="n"/>
      <c r="D23" s="8" t="n"/>
      <c r="E23" s="8" t="n"/>
      <c r="F23" s="8" t="n"/>
      <c r="G23" s="8" t="n"/>
      <c r="H23" s="8" t="n"/>
      <c r="I23" s="8" t="n"/>
      <c r="J23" s="8" t="n"/>
      <c r="K23" s="8" t="n"/>
    </row>
    <row r="24">
      <c r="A24" t="inlineStr">
        <is>
          <t>Months in period</t>
        </is>
      </c>
      <c r="B24" t="n">
        <v>1</v>
      </c>
      <c r="C24" t="n">
        <v>1</v>
      </c>
      <c r="D24" t="n">
        <v>1</v>
      </c>
      <c r="E24" t="n">
        <v>1</v>
      </c>
      <c r="F24" t="n">
        <v>1</v>
      </c>
      <c r="G24" t="n">
        <v>1</v>
      </c>
      <c r="H24" t="n">
        <v>1</v>
      </c>
      <c r="I24" t="n">
        <v>1</v>
      </c>
      <c r="J24" t="n">
        <v>1</v>
      </c>
      <c r="K24" t="n">
        <v>3</v>
      </c>
    </row>
    <row r="25">
      <c r="A25" t="inlineStr">
        <is>
          <t>Interest and fees (revolving + installment + late) — accrual basis Jul–Sep, billed before</t>
        </is>
      </c>
      <c r="B25" s="9">
        <f>SUM(B5:B8)*12/B24/B16</f>
        <v/>
      </c>
      <c r="C25" s="9">
        <f>SUM(C5:C8)*12/C24/C16</f>
        <v/>
      </c>
      <c r="D25" s="9">
        <f>SUM(D5:D8)*12/D24/D16</f>
        <v/>
      </c>
      <c r="E25" s="9">
        <f>SUM(E5:E8)*12/E24/E16</f>
        <v/>
      </c>
      <c r="F25" s="9">
        <f>SUM(F5:F8)*12/F24/F16</f>
        <v/>
      </c>
      <c r="G25" s="9">
        <f>SUM(G5:G8)*12/G24/G16</f>
        <v/>
      </c>
      <c r="H25" s="9">
        <f>(H11+H12+H7+H8)*12/H24/H16</f>
        <v/>
      </c>
      <c r="I25" s="9">
        <f>(I11+I12+I7+I8)*12/I24/I16</f>
        <v/>
      </c>
      <c r="J25" s="9">
        <f>(J11+J12+J7+J8)*12/J24/J16</f>
        <v/>
      </c>
      <c r="K25" s="9">
        <f>(K11+K12+K7+K8)*12/K24/K16</f>
        <v/>
      </c>
    </row>
    <row r="26">
      <c r="A26" t="inlineStr">
        <is>
          <t>Interchange</t>
        </is>
      </c>
      <c r="B26" s="9">
        <f>B9*12/B24/B16</f>
        <v/>
      </c>
      <c r="C26" s="9">
        <f>C9*12/C24/C16</f>
        <v/>
      </c>
      <c r="D26" s="9">
        <f>D9*12/D24/D16</f>
        <v/>
      </c>
      <c r="E26" s="9">
        <f>E9*12/E24/E16</f>
        <v/>
      </c>
      <c r="F26" s="9">
        <f>F9*12/F24/F16</f>
        <v/>
      </c>
      <c r="G26" s="9">
        <f>G9*12/G24/G16</f>
        <v/>
      </c>
      <c r="H26" s="9">
        <f>H9*12/H24/H16</f>
        <v/>
      </c>
      <c r="I26" s="9">
        <f>I9*12/I24/I16</f>
        <v/>
      </c>
      <c r="J26" s="9">
        <f>J9*12/J24/J16</f>
        <v/>
      </c>
      <c r="K26" s="9">
        <f>K9*12/K24/K16</f>
        <v/>
      </c>
    </row>
    <row r="27">
      <c r="A27" s="10" t="inlineStr">
        <is>
          <t>Gross yield — all revenue</t>
        </is>
      </c>
      <c r="B27" s="12">
        <f>B10*12/B24/B16</f>
        <v/>
      </c>
      <c r="C27" s="12">
        <f>C10*12/C24/C16</f>
        <v/>
      </c>
      <c r="D27" s="12">
        <f>D10*12/D24/D16</f>
        <v/>
      </c>
      <c r="E27" s="12">
        <f>E10*12/E24/E16</f>
        <v/>
      </c>
      <c r="F27" s="12">
        <f>F10*12/F24/F16</f>
        <v/>
      </c>
      <c r="G27" s="12">
        <f>G10*12/G24/G16</f>
        <v/>
      </c>
      <c r="H27" s="12">
        <f>H13*12/H24/H16</f>
        <v/>
      </c>
      <c r="I27" s="12">
        <f>I13*12/I24/I16</f>
        <v/>
      </c>
      <c r="J27" s="12">
        <f>J13*12/J24/J16</f>
        <v/>
      </c>
      <c r="K27" s="12">
        <f>K13*12/K24/K16</f>
        <v/>
      </c>
    </row>
    <row r="28">
      <c r="A28" t="inlineStr">
        <is>
          <t>Principal turnover (annualized principal flow ÷ average receivables)</t>
        </is>
      </c>
      <c r="B28" s="13">
        <f>B21*12/B24/B16</f>
        <v/>
      </c>
      <c r="C28" s="13">
        <f>C21*12/C24/C16</f>
        <v/>
      </c>
      <c r="D28" s="13">
        <f>D21*12/D24/D16</f>
        <v/>
      </c>
      <c r="E28" s="13">
        <f>E21*12/E24/E16</f>
        <v/>
      </c>
      <c r="F28" s="13">
        <f>F21*12/F24/F16</f>
        <v/>
      </c>
      <c r="G28" s="13">
        <f>G21*12/G24/G16</f>
        <v/>
      </c>
      <c r="H28" s="13">
        <f>H21*12/H24/H16</f>
        <v/>
      </c>
      <c r="I28" s="13">
        <f>I21*12/I24/I16</f>
        <v/>
      </c>
      <c r="J28" s="13">
        <f>J21*12/J24/J16</f>
        <v/>
      </c>
      <c r="K28" s="13">
        <f>K21*12/K24/K16</f>
        <v/>
      </c>
    </row>
    <row r="29">
      <c r="A29" t="inlineStr">
        <is>
          <t>Purchase turnover (annualized purchase volume ÷ average receivables)</t>
        </is>
      </c>
      <c r="B29" s="13">
        <f>B19*12/B24/B16</f>
        <v/>
      </c>
      <c r="C29" s="13">
        <f>C19*12/C24/C16</f>
        <v/>
      </c>
      <c r="D29" s="13">
        <f>D19*12/D24/D16</f>
        <v/>
      </c>
      <c r="E29" s="13">
        <f>E19*12/E24/E16</f>
        <v/>
      </c>
      <c r="F29" s="13">
        <f>F19*12/F24/F16</f>
        <v/>
      </c>
      <c r="G29" s="13">
        <f>G19*12/G24/G16</f>
        <v/>
      </c>
      <c r="H29" s="13">
        <f>H19*12/H24/H16</f>
        <v/>
      </c>
      <c r="I29" s="13">
        <f>I19*12/I24/I16</f>
        <v/>
      </c>
      <c r="J29" s="13">
        <f>J19*12/J24/J16</f>
        <v/>
      </c>
      <c r="K29" s="13">
        <f>K19*12/K24/K16</f>
        <v/>
      </c>
    </row>
    <row r="30">
      <c r="A30" t="inlineStr">
        <is>
          <t>Interchange rate on purchase volume</t>
        </is>
      </c>
      <c r="B30" s="14">
        <f>B9/B19</f>
        <v/>
      </c>
      <c r="C30" s="14">
        <f>C9/C19</f>
        <v/>
      </c>
      <c r="D30" s="14">
        <f>D9/D19</f>
        <v/>
      </c>
      <c r="E30" s="14">
        <f>E9/E19</f>
        <v/>
      </c>
      <c r="F30" s="14">
        <f>F9/F19</f>
        <v/>
      </c>
      <c r="G30" s="14">
        <f>G9/G19</f>
        <v/>
      </c>
      <c r="H30" s="14">
        <f>H9/H19</f>
        <v/>
      </c>
      <c r="I30" s="14">
        <f>I9/I19</f>
        <v/>
      </c>
      <c r="J30" s="14">
        <f>J9/J19</f>
        <v/>
      </c>
      <c r="K30" s="14">
        <f>K9/K19</f>
        <v/>
      </c>
    </row>
    <row r="31"/>
    <row r="32">
      <c r="A32" s="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3" t="inlineStr">
        <is>
          <t>Origination month</t>
        </is>
      </c>
      <c r="B4" s="3" t="inlineStr">
        <is>
          <t>Accounts</t>
        </is>
      </c>
      <c r="C4" s="3" t="inlineStr">
        <is>
          <t>Principal originated</t>
        </is>
      </c>
      <c r="D4" s="3" t="inlineStr">
        <is>
          <t>Seasoned principal (due ≥90 days ago)</t>
        </is>
      </c>
      <c r="E4" s="3" t="inlineStr">
        <is>
          <t>Excluded: FPD principal 90+ DPD</t>
        </is>
      </c>
      <c r="F4" s="3" t="inlineStr">
        <is>
          <t>Denominator: seasoned, ex-FPD</t>
        </is>
      </c>
      <c r="G4" s="3" t="inlineStr">
        <is>
          <t>Numerator: 90+ DPD, ex-FPD</t>
        </is>
      </c>
      <c r="H4" s="3" t="inlineStr">
        <is>
          <t>Loss rate</t>
        </is>
      </c>
    </row>
    <row r="5">
      <c r="A5" t="inlineStr">
        <is>
          <t>Jan 2026</t>
        </is>
      </c>
      <c r="B5" s="5" t="n">
        <v>3828</v>
      </c>
      <c r="C5" s="5" t="n">
        <v>69900973.84</v>
      </c>
      <c r="D5" s="5" t="n">
        <v>69900973.84</v>
      </c>
      <c r="E5" s="5" t="n">
        <v>195035.55</v>
      </c>
      <c r="F5" s="5" t="n">
        <v>69690793.31</v>
      </c>
      <c r="G5" s="5" t="n">
        <v>1577286.85</v>
      </c>
      <c r="H5" s="14">
        <f>IF(F5=0,"not yet seasoned",G5/F5)</f>
        <v/>
      </c>
    </row>
    <row r="6">
      <c r="A6" t="inlineStr">
        <is>
          <t>Feb 2026</t>
        </is>
      </c>
      <c r="B6" s="5" t="n">
        <v>4029</v>
      </c>
      <c r="C6" s="5" t="n">
        <v>60820771.28</v>
      </c>
      <c r="D6" s="5" t="n">
        <v>60820771.28</v>
      </c>
      <c r="E6" s="5" t="n">
        <v>31366.54</v>
      </c>
      <c r="F6" s="5" t="n">
        <v>60789404.74</v>
      </c>
      <c r="G6" s="5" t="n">
        <v>685527.14</v>
      </c>
      <c r="H6" s="14">
        <f>IF(F6=0,"not yet seasoned",G6/F6)</f>
        <v/>
      </c>
    </row>
    <row r="7">
      <c r="A7" t="inlineStr">
        <is>
          <t>Mar 2026</t>
        </is>
      </c>
      <c r="B7" s="5" t="n">
        <v>5113</v>
      </c>
      <c r="C7" s="5" t="n">
        <v>89743205.59</v>
      </c>
      <c r="D7" s="5" t="n">
        <v>89743205.59</v>
      </c>
      <c r="E7" s="5" t="n">
        <v>562712.45</v>
      </c>
      <c r="F7" s="5" t="n">
        <v>89089554.73999999</v>
      </c>
      <c r="G7" s="5" t="n">
        <v>1404938.62</v>
      </c>
      <c r="H7" s="14">
        <f>IF(F7=0,"not yet seasoned",G7/F7)</f>
        <v/>
      </c>
    </row>
    <row r="8">
      <c r="A8" t="inlineStr">
        <is>
          <t>Apr 2026</t>
        </is>
      </c>
      <c r="B8" s="5" t="n">
        <v>6505</v>
      </c>
      <c r="C8" s="5" t="n">
        <v>107115373.17</v>
      </c>
      <c r="D8" s="5" t="n">
        <v>107115373.17</v>
      </c>
      <c r="E8" s="5" t="n">
        <v>911016.11</v>
      </c>
      <c r="F8" s="5" t="n">
        <v>106123235.92</v>
      </c>
      <c r="G8" s="5" t="n">
        <v>1471002.56</v>
      </c>
      <c r="H8" s="14">
        <f>IF(F8=0,"not yet seasoned",G8/F8)</f>
        <v/>
      </c>
    </row>
    <row r="9">
      <c r="A9" t="inlineStr">
        <is>
          <t>May 2026</t>
        </is>
      </c>
      <c r="B9" s="5" t="n">
        <v>7564</v>
      </c>
      <c r="C9" s="5" t="n">
        <v>118184976.17</v>
      </c>
      <c r="D9" s="5" t="n">
        <v>118184976.17</v>
      </c>
      <c r="E9" s="5" t="n">
        <v>889165.96</v>
      </c>
      <c r="F9" s="5" t="n">
        <v>117226741.83</v>
      </c>
      <c r="G9" s="5" t="n">
        <v>1061583</v>
      </c>
      <c r="H9" s="14">
        <f>IF(F9=0,"not yet seasoned",G9/F9)</f>
        <v/>
      </c>
    </row>
    <row r="10">
      <c r="A10" t="inlineStr">
        <is>
          <t>Jun 2026</t>
        </is>
      </c>
      <c r="B10" s="5" t="n">
        <v>9024</v>
      </c>
      <c r="C10" s="5" t="n">
        <v>136417479.48</v>
      </c>
      <c r="D10" s="5" t="n">
        <v>136417479.48</v>
      </c>
      <c r="E10" s="5" t="n">
        <v>499873.5</v>
      </c>
      <c r="F10" s="5" t="n">
        <v>135917605.98</v>
      </c>
      <c r="G10" s="5" t="n">
        <v>459463.31</v>
      </c>
      <c r="H10" s="14">
        <f>IF(F10=0,"not yet seasoned",G10/F10)</f>
        <v/>
      </c>
    </row>
    <row r="11">
      <c r="A11" t="inlineStr">
        <is>
          <t>Jul 2026</t>
        </is>
      </c>
      <c r="B11" s="5" t="n">
        <v>11366</v>
      </c>
      <c r="C11" s="5" t="n">
        <v>140624271.71</v>
      </c>
      <c r="D11" s="5" t="n">
        <v>0</v>
      </c>
      <c r="E11" s="5" t="n">
        <v>29390.51</v>
      </c>
      <c r="F11" s="5" t="n">
        <v>0</v>
      </c>
      <c r="G11" s="5" t="n">
        <v>8828.190000000001</v>
      </c>
      <c r="H11" s="14">
        <f>IF(F11=0,"not yet seasoned",G11/F11)</f>
        <v/>
      </c>
    </row>
    <row r="12">
      <c r="A12" t="inlineStr">
        <is>
          <t>Aug 2026</t>
        </is>
      </c>
      <c r="B12" s="5" t="n">
        <v>12347</v>
      </c>
      <c r="C12" s="5" t="n">
        <v>141888335.14</v>
      </c>
      <c r="D12" s="5" t="n">
        <v>0</v>
      </c>
      <c r="E12" s="5" t="n">
        <v>0</v>
      </c>
      <c r="F12" s="5" t="n">
        <v>0</v>
      </c>
      <c r="G12" s="5" t="n">
        <v>0</v>
      </c>
      <c r="H12" s="14">
        <f>IF(F12=0,"not yet seasoned",G12/F12)</f>
        <v/>
      </c>
    </row>
    <row r="13">
      <c r="A13" t="inlineStr">
        <is>
          <t>Sep 2026</t>
        </is>
      </c>
      <c r="B13" s="5" t="n">
        <v>13196</v>
      </c>
      <c r="C13" s="5" t="n">
        <v>160221212.53</v>
      </c>
      <c r="D13" s="5" t="n">
        <v>0</v>
      </c>
      <c r="E13" s="5" t="n">
        <v>0</v>
      </c>
      <c r="F13" s="5" t="n">
        <v>0</v>
      </c>
      <c r="G13" s="5" t="n">
        <v>0</v>
      </c>
      <c r="H13" s="14">
        <f>IF(F13=0,"not yet seasoned",G13/F13)</f>
        <v/>
      </c>
    </row>
    <row r="14">
      <c r="A14" s="15" t="inlineStr">
        <is>
          <t>Since January 2026 (all vintages above)</t>
        </is>
      </c>
      <c r="B14" s="16">
        <f>SUM(B5:B13)</f>
        <v/>
      </c>
      <c r="C14" s="16">
        <f>SUM(C5:C13)</f>
        <v/>
      </c>
      <c r="D14" s="16">
        <f>SUM(D5:D13)</f>
        <v/>
      </c>
      <c r="E14" s="16">
        <f>SUM(E5:E13)</f>
        <v/>
      </c>
      <c r="F14" s="16">
        <f>SUM(F5:F13)</f>
        <v/>
      </c>
      <c r="G14" s="16">
        <f>SUM(G5:G13)</f>
        <v/>
      </c>
      <c r="H14" s="20">
        <f>G14/F14</f>
        <v/>
      </c>
    </row>
    <row r="15"/>
    <row r="16" ht="15" customHeight="1">
      <c r="A16" s="21" t="inlineStr">
        <is>
          <t>How to read this table</t>
        </is>
      </c>
    </row>
    <row r="17" ht="48" customHeight="1">
      <c r="A17" s="6"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6"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6"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6" t="inlineStr">
        <is>
          <t>• Why January 2026. The current underwriting model (V2) was deployed in December 2025 and is the model that originates the portfolio today; earlier vintages were originated under the prior model.</t>
        </is>
      </c>
    </row>
    <row r="21"/>
    <row r="22">
      <c r="A22" s="7" t="inlineStr">
        <is>
          <t>Loss emergence — when a vintage's loss arrives (ex-FPD, same measure as the table above)</t>
        </is>
      </c>
      <c r="B22" s="8" t="n"/>
      <c r="C22" s="8" t="n"/>
      <c r="D22" s="8" t="n"/>
      <c r="E22" s="8" t="n"/>
      <c r="F22" s="8" t="n"/>
      <c r="G22" s="8" t="n"/>
      <c r="H22" s="8" t="n"/>
    </row>
    <row r="23" ht="32" customHeight="1">
      <c r="A23" s="3" t="inlineStr">
        <is>
          <t>Origination month</t>
        </is>
      </c>
      <c r="B23" s="3" t="inlineStr">
        <is>
          <t>By month 3 on book</t>
        </is>
      </c>
      <c r="C23" s="3" t="inlineStr">
        <is>
          <t>By month 4</t>
        </is>
      </c>
      <c r="D23" s="3" t="inlineStr">
        <is>
          <t>By month 5</t>
        </is>
      </c>
      <c r="E23" s="3" t="inlineStr">
        <is>
          <t>By month 6</t>
        </is>
      </c>
      <c r="F23" s="3" t="inlineStr">
        <is>
          <t>By month 8</t>
        </is>
      </c>
      <c r="G23" s="3" t="inlineStr">
        <is>
          <t>Today</t>
        </is>
      </c>
      <c r="H23" s="3" t="inlineStr">
        <is>
          <t>Months on book today</t>
        </is>
      </c>
    </row>
    <row r="24">
      <c r="A24" t="inlineStr">
        <is>
          <t>Jan 2026</t>
        </is>
      </c>
      <c r="B24" s="22" t="n">
        <v>0.00675</v>
      </c>
      <c r="C24" s="22" t="n">
        <v>0.02263</v>
      </c>
      <c r="D24" s="22" t="n">
        <v>0.02263</v>
      </c>
      <c r="E24" s="22" t="n">
        <v>0.02263</v>
      </c>
      <c r="F24" s="22" t="n">
        <v>0.02263</v>
      </c>
      <c r="G24" s="23" t="n">
        <v>0.02263</v>
      </c>
      <c r="H24" t="n">
        <v>9</v>
      </c>
    </row>
    <row r="25">
      <c r="A25" t="inlineStr">
        <is>
          <t>Feb 2026</t>
        </is>
      </c>
      <c r="B25" s="22" t="n">
        <v>0.00851</v>
      </c>
      <c r="C25" s="22" t="n">
        <v>0.01028</v>
      </c>
      <c r="D25" s="22" t="n">
        <v>0.01118</v>
      </c>
      <c r="E25" s="22" t="n">
        <v>0.01128</v>
      </c>
      <c r="F25" s="22" t="inlineStr">
        <is>
          <t>—</t>
        </is>
      </c>
      <c r="G25" s="23" t="n">
        <v>0.01128</v>
      </c>
      <c r="H25" t="n">
        <v>8</v>
      </c>
    </row>
    <row r="26">
      <c r="A26" t="inlineStr">
        <is>
          <t>Mar 2026</t>
        </is>
      </c>
      <c r="B26" s="22" t="n">
        <v>0.00455</v>
      </c>
      <c r="C26" s="22" t="n">
        <v>0.01469</v>
      </c>
      <c r="D26" s="22" t="n">
        <v>0.01577</v>
      </c>
      <c r="E26" s="22" t="n">
        <v>0.01577</v>
      </c>
      <c r="F26" s="22" t="inlineStr">
        <is>
          <t>—</t>
        </is>
      </c>
      <c r="G26" s="23" t="n">
        <v>0.01577</v>
      </c>
      <c r="H26" t="n">
        <v>7</v>
      </c>
    </row>
    <row r="27">
      <c r="A27" t="inlineStr">
        <is>
          <t>Apr 2026</t>
        </is>
      </c>
      <c r="B27" s="22" t="n">
        <v>0.00773</v>
      </c>
      <c r="C27" s="22" t="n">
        <v>0.01313</v>
      </c>
      <c r="D27" s="22" t="n">
        <v>0.01366</v>
      </c>
      <c r="E27" s="22" t="inlineStr">
        <is>
          <t>—</t>
        </is>
      </c>
      <c r="F27" s="22" t="inlineStr">
        <is>
          <t>—</t>
        </is>
      </c>
      <c r="G27" s="23" t="n">
        <v>0.01386</v>
      </c>
      <c r="H27" t="n">
        <v>6</v>
      </c>
    </row>
    <row r="28">
      <c r="A28" t="inlineStr">
        <is>
          <t>May 2026</t>
        </is>
      </c>
      <c r="B28" s="22" t="n">
        <v>0.00494</v>
      </c>
      <c r="C28" s="22" t="n">
        <v>0.00758</v>
      </c>
      <c r="D28" s="22" t="inlineStr">
        <is>
          <t>—</t>
        </is>
      </c>
      <c r="E28" s="22" t="inlineStr">
        <is>
          <t>—</t>
        </is>
      </c>
      <c r="F28" s="22" t="inlineStr">
        <is>
          <t>—</t>
        </is>
      </c>
      <c r="G28" s="23" t="n">
        <v>0.00906</v>
      </c>
      <c r="H28" t="n">
        <v>5</v>
      </c>
    </row>
    <row r="29">
      <c r="A29" t="inlineStr">
        <is>
          <t>Jun 2026</t>
        </is>
      </c>
      <c r="B29" s="22" t="n">
        <v>0.00215</v>
      </c>
      <c r="C29" s="22" t="inlineStr">
        <is>
          <t>—</t>
        </is>
      </c>
      <c r="D29" s="22" t="inlineStr">
        <is>
          <t>—</t>
        </is>
      </c>
      <c r="E29" s="22" t="inlineStr">
        <is>
          <t>—</t>
        </is>
      </c>
      <c r="F29" s="22" t="inlineStr">
        <is>
          <t>—</t>
        </is>
      </c>
      <c r="G29" s="23" t="n">
        <v>0.00338</v>
      </c>
      <c r="H29" t="n">
        <v>4</v>
      </c>
    </row>
    <row r="30" ht="15" customHeight="1">
      <c r="A30" s="21" t="inlineStr">
        <is>
          <t>How to read this table</t>
        </is>
      </c>
    </row>
    <row r="31" ht="44" customHeight="1">
      <c r="A31" s="6"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6"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6"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3" t="inlineStr">
        <is>
          <t>Item</t>
        </is>
      </c>
      <c r="B3" s="3" t="inlineStr">
        <is>
          <t>Definition</t>
        </is>
      </c>
    </row>
    <row r="4" ht="75" customHeight="1">
      <c r="A4" s="24" t="inlineStr">
        <is>
          <t>Scope</t>
        </is>
      </c>
      <c r="B4" s="6" t="inlineStr">
        <is>
          <t>Zed's Philippine credit card receivables, all cardholders. Yield Summary covers July, August and September 2026 and the quarter together —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60" customHeight="1">
      <c r="A5" s="24" t="inlineStr">
        <is>
          <t>Average receivables</t>
        </is>
      </c>
      <c r="B5" s="6" t="inlineStr">
        <is>
          <t>Monthly average of receivables outstanding (principal, interest and fees billed to cardholders, plus installment principal not yet billed). The July–September figure is the simple average of the three monthly averages, and yields for the quarter are revenue for the three months × 12 ÷ 3 ÷ that average.</t>
        </is>
      </c>
    </row>
    <row r="6" ht="30" customHeight="1">
      <c r="A6" s="24" t="inlineStr">
        <is>
          <t>Annualization</t>
        </is>
      </c>
      <c r="B6" s="6" t="inlineStr">
        <is>
          <t>Simple: monthly amount ÷ average receivables × 12. No compounding.</t>
        </is>
      </c>
    </row>
    <row r="7" ht="120" customHeight="1">
      <c r="A7" s="24" t="inlineStr">
        <is>
          <t>Revolving interest</t>
        </is>
      </c>
      <c r="B7" s="6"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so the numerator and the calendar-average denominator cover the same days; the billed basis is shown as a memo and ties to management reporting.</t>
        </is>
      </c>
    </row>
    <row r="8" ht="45" customHeight="1">
      <c r="A8" s="24" t="inlineStr">
        <is>
          <t>Installment interest and upfront fees</t>
        </is>
      </c>
      <c r="B8" s="6" t="inlineStr">
        <is>
          <t>Interest of 1% per month billed on installment plan balances (accrual basis in the Yield Summary, as for revolving interest), and an upfront conversion fee of 0.5% per month of term billed when a purchase is converted to installments.</t>
        </is>
      </c>
    </row>
    <row r="9" ht="30" customHeight="1">
      <c r="A9" s="24" t="inlineStr">
        <is>
          <t>Late payment fees</t>
        </is>
      </c>
      <c r="B9" s="6" t="inlineStr">
        <is>
          <t>Fee billed when the minimum payment is not received by the due date.</t>
        </is>
      </c>
    </row>
    <row r="10" ht="90" customHeight="1">
      <c r="A10" s="24" t="inlineStr">
        <is>
          <t>Interchange</t>
        </is>
      </c>
      <c r="B10" s="6"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4" t="inlineStr">
        <is>
          <t>Turnover</t>
        </is>
      </c>
      <c r="B11" s="6" t="inlineStr">
        <is>
          <t>Annualized flow ÷ average receivables. Purchase turnover uses Mastercard purchase volume (the interchange base); principal turnover uses principal flow (the loss base). They differ only by pay-a-friend transfers.</t>
        </is>
      </c>
    </row>
    <row r="12" ht="60" customHeight="1">
      <c r="A12" s="24" t="inlineStr">
        <is>
          <t>Principal flow</t>
        </is>
      </c>
      <c r="B12" s="6" t="inlineStr">
        <is>
          <t>Calendar-month flow of new receivables: Mastercard purchase volume net of returns plus pay-a-friend transfers (cardholder-to-cardholder transfers charged to the card, which earn no interchange). This is the loss base in the Yield Summary and is on the same calendar basis as average receivables.</t>
        </is>
      </c>
    </row>
    <row r="13" ht="90" customHeight="1">
      <c r="A13" s="24" t="inlineStr">
        <is>
          <t>Principal originated (Loss Rate tab)</t>
        </is>
      </c>
      <c r="B13" s="6"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4" t="inlineStr">
        <is>
          <t>Loss rate</t>
        </is>
      </c>
      <c r="B14" s="6"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4" t="inlineStr">
        <is>
          <t>Loss on receivables</t>
        </is>
      </c>
      <c r="B15" s="6" t="inlineStr">
        <is>
          <t>Loss rate on originated principal × principal turnover (annualized originations ÷ average receivables). Expresses a loss on amounts lent as an annual charge against the receivables balance, on the same basis as the yields.</t>
        </is>
      </c>
    </row>
    <row r="16" ht="30" customHeight="1">
      <c r="A16" s="24" t="inlineStr">
        <is>
          <t>Net yield</t>
        </is>
      </c>
      <c r="B16" s="6" t="inlineStr">
        <is>
          <t>Gross yield less loss on receivables. Before operating costs, servicing, processing and network costs, funding costs, taxes and FX.</t>
        </is>
      </c>
    </row>
    <row r="17" ht="75" customHeight="1">
      <c r="A17" s="24" t="inlineStr">
        <is>
          <t>Sources</t>
        </is>
      </c>
      <c r="B17" s="6"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8" ht="30" customHeight="1">
      <c r="A18" s="24" t="inlineStr">
        <is>
          <t>Prepared</t>
        </is>
      </c>
      <c r="B18" s="6"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2026-10-28T06:46:39Z</dcterms:created>
  <dcterms:modified xmlns:dcterms="http://purl.org/dc/terms/" xmlns:xsi="http://www.w3.org/2001/XMLSchema-instance" xsi:type="dcterms:W3CDTF">2026-10-28T06:46:39Z</dcterms:modified>
</cp:coreProperties>
</file>