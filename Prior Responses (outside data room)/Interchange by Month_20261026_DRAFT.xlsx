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change by 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0B3D3A"/>
      </patternFill>
    </fill>
  </fills>
  <borders count="2">
    <border>
      <left/>
      <right/>
      <top/>
      <bottom/>
      <diagonal/>
    </border>
    <border>
      <top style="thin">
        <color rgb="00D9DEDD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3" fontId="0" fillId="0" borderId="0" pivotButton="0" quotePrefix="0" xfId="0"/>
    <xf numFmtId="10" fontId="0" fillId="0" borderId="0" pivotButton="0" quotePrefix="0" xfId="0"/>
    <xf numFmtId="0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6" customWidth="1" min="9" max="9"/>
    <col width="16" customWidth="1" min="10" max="10"/>
  </cols>
  <sheetData>
    <row r="1">
      <c r="A1" s="1" t="inlineStr">
        <is>
          <t>Zed — Interchange fee income by month</t>
        </is>
      </c>
    </row>
    <row r="2" ht="58" customHeight="1">
      <c r="A2" s="2" t="inlineStr">
        <is>
          <t>Gross interchange earned on the merchant side of each settled card transaction, per the i2c Network Settlement Summary. No network, processor or other costs are netted. Rate = interchange fee income ÷ settlement volume (gross settlements less returns), computed within each settlement currency. PHP settlements = domestic; USD settlements = international. USD figures use Mastercard's actual average forex for the month.</t>
        </is>
      </c>
    </row>
    <row r="4" ht="48" customHeight="1">
      <c r="A4" s="3" t="inlineStr">
        <is>
          <t>Month</t>
        </is>
      </c>
      <c r="B4" s="3" t="inlineStr">
        <is>
          <t>Settlement volume — total (USD)</t>
        </is>
      </c>
      <c r="C4" s="3" t="inlineStr">
        <is>
          <t>Settlement volume — PHP settlements (USD)</t>
        </is>
      </c>
      <c r="D4" s="3" t="inlineStr">
        <is>
          <t>Settlement volume — USD settlements (USD)</t>
        </is>
      </c>
      <c r="E4" s="3" t="inlineStr">
        <is>
          <t>Interchange fee income — total (USD)</t>
        </is>
      </c>
      <c r="F4" s="3" t="inlineStr">
        <is>
          <t>Interchange — PHP settlements (USD)</t>
        </is>
      </c>
      <c r="G4" s="3" t="inlineStr">
        <is>
          <t>Interchange — USD settlements (USD)</t>
        </is>
      </c>
      <c r="H4" s="3" t="inlineStr">
        <is>
          <t>Interchange rate — blended</t>
        </is>
      </c>
      <c r="I4" s="3" t="inlineStr">
        <is>
          <t>Interchange rate — PHP settlements (domestic)</t>
        </is>
      </c>
      <c r="J4" s="3" t="inlineStr">
        <is>
          <t>Interchange rate — USD settlements (international)</t>
        </is>
      </c>
    </row>
    <row r="5">
      <c r="A5" t="inlineStr">
        <is>
          <t>Jan 2025</t>
        </is>
      </c>
      <c r="B5" s="4" t="n">
        <v>255008.13</v>
      </c>
      <c r="C5" s="4" t="n">
        <v>162634.29</v>
      </c>
      <c r="D5" s="4" t="n">
        <v>92373.84</v>
      </c>
      <c r="E5" s="4" t="n">
        <v>4140.06</v>
      </c>
      <c r="F5" s="4" t="n">
        <v>2380.58</v>
      </c>
      <c r="G5" s="4" t="n">
        <v>1759.48</v>
      </c>
      <c r="H5" s="5">
        <f>E5/B5</f>
        <v/>
      </c>
      <c r="I5" s="5">
        <f>F5/C5</f>
        <v/>
      </c>
      <c r="J5" s="5">
        <f>G5/D5</f>
        <v/>
      </c>
    </row>
    <row r="6">
      <c r="A6" t="inlineStr">
        <is>
          <t>Feb 2025</t>
        </is>
      </c>
      <c r="B6" s="4" t="n">
        <v>246756.61</v>
      </c>
      <c r="C6" s="4" t="n">
        <v>161358.51</v>
      </c>
      <c r="D6" s="4" t="n">
        <v>85398.10000000001</v>
      </c>
      <c r="E6" s="4" t="n">
        <v>4135.85</v>
      </c>
      <c r="F6" s="4" t="n">
        <v>2588.77</v>
      </c>
      <c r="G6" s="4" t="n">
        <v>1547.07</v>
      </c>
      <c r="H6" s="5">
        <f>E6/B6</f>
        <v/>
      </c>
      <c r="I6" s="5">
        <f>F6/C6</f>
        <v/>
      </c>
      <c r="J6" s="5">
        <f>G6/D6</f>
        <v/>
      </c>
    </row>
    <row r="7">
      <c r="A7" t="inlineStr">
        <is>
          <t>Mar 2025</t>
        </is>
      </c>
      <c r="B7" s="4" t="n">
        <v>311498.22</v>
      </c>
      <c r="C7" s="4" t="n">
        <v>181955.47</v>
      </c>
      <c r="D7" s="4" t="n">
        <v>129542.75</v>
      </c>
      <c r="E7" s="4" t="n">
        <v>4719.05</v>
      </c>
      <c r="F7" s="4" t="n">
        <v>2744.33</v>
      </c>
      <c r="G7" s="4" t="n">
        <v>1974.72</v>
      </c>
      <c r="H7" s="5">
        <f>E7/B7</f>
        <v/>
      </c>
      <c r="I7" s="5">
        <f>F7/C7</f>
        <v/>
      </c>
      <c r="J7" s="5">
        <f>G7/D7</f>
        <v/>
      </c>
    </row>
    <row r="8">
      <c r="A8" t="inlineStr">
        <is>
          <t>Apr 2025</t>
        </is>
      </c>
      <c r="B8" s="4" t="n">
        <v>375555.3</v>
      </c>
      <c r="C8" s="4" t="n">
        <v>229174.95</v>
      </c>
      <c r="D8" s="4" t="n">
        <v>146380.35</v>
      </c>
      <c r="E8" s="4" t="n">
        <v>5586.82</v>
      </c>
      <c r="F8" s="4" t="n">
        <v>3411.87</v>
      </c>
      <c r="G8" s="4" t="n">
        <v>2174.95</v>
      </c>
      <c r="H8" s="5">
        <f>E8/B8</f>
        <v/>
      </c>
      <c r="I8" s="5">
        <f>F8/C8</f>
        <v/>
      </c>
      <c r="J8" s="5">
        <f>G8/D8</f>
        <v/>
      </c>
    </row>
    <row r="9">
      <c r="A9" t="inlineStr">
        <is>
          <t>May 2025</t>
        </is>
      </c>
      <c r="B9" s="4" t="n">
        <v>416469.92</v>
      </c>
      <c r="C9" s="4" t="n">
        <v>266292.62</v>
      </c>
      <c r="D9" s="4" t="n">
        <v>150177.3</v>
      </c>
      <c r="E9" s="4" t="n">
        <v>6278.08</v>
      </c>
      <c r="F9" s="4" t="n">
        <v>3983.19</v>
      </c>
      <c r="G9" s="4" t="n">
        <v>2294.89</v>
      </c>
      <c r="H9" s="5">
        <f>E9/B9</f>
        <v/>
      </c>
      <c r="I9" s="5">
        <f>F9/C9</f>
        <v/>
      </c>
      <c r="J9" s="5">
        <f>G9/D9</f>
        <v/>
      </c>
    </row>
    <row r="10">
      <c r="A10" t="inlineStr">
        <is>
          <t>Jun 2025</t>
        </is>
      </c>
      <c r="B10" s="4" t="n">
        <v>562584.22</v>
      </c>
      <c r="C10" s="4" t="n">
        <v>368352.19</v>
      </c>
      <c r="D10" s="4" t="n">
        <v>194232.03</v>
      </c>
      <c r="E10" s="4" t="n">
        <v>8405.690000000001</v>
      </c>
      <c r="F10" s="4" t="n">
        <v>5110.16</v>
      </c>
      <c r="G10" s="4" t="n">
        <v>3295.53</v>
      </c>
      <c r="H10" s="5">
        <f>E10/B10</f>
        <v/>
      </c>
      <c r="I10" s="5">
        <f>F10/C10</f>
        <v/>
      </c>
      <c r="J10" s="5">
        <f>G10/D10</f>
        <v/>
      </c>
    </row>
    <row r="11">
      <c r="A11" t="inlineStr">
        <is>
          <t>Jul 2025</t>
        </is>
      </c>
      <c r="B11" s="4" t="n">
        <v>692006.46</v>
      </c>
      <c r="C11" s="4" t="n">
        <v>467597.03</v>
      </c>
      <c r="D11" s="4" t="n">
        <v>224409.43</v>
      </c>
      <c r="E11" s="4" t="n">
        <v>10333.66</v>
      </c>
      <c r="F11" s="4" t="n">
        <v>6305.74</v>
      </c>
      <c r="G11" s="4" t="n">
        <v>4027.92</v>
      </c>
      <c r="H11" s="5">
        <f>E11/B11</f>
        <v/>
      </c>
      <c r="I11" s="5">
        <f>F11/C11</f>
        <v/>
      </c>
      <c r="J11" s="5">
        <f>G11/D11</f>
        <v/>
      </c>
    </row>
    <row r="12">
      <c r="A12" t="inlineStr">
        <is>
          <t>Aug 2025</t>
        </is>
      </c>
      <c r="B12" s="4" t="n">
        <v>724773.35</v>
      </c>
      <c r="C12" s="4" t="n">
        <v>489421.6</v>
      </c>
      <c r="D12" s="4" t="n">
        <v>235351.75</v>
      </c>
      <c r="E12" s="4" t="n">
        <v>10940.77</v>
      </c>
      <c r="F12" s="4" t="n">
        <v>6711.69</v>
      </c>
      <c r="G12" s="4" t="n">
        <v>4229.08</v>
      </c>
      <c r="H12" s="5">
        <f>E12/B12</f>
        <v/>
      </c>
      <c r="I12" s="5">
        <f>F12/C12</f>
        <v/>
      </c>
      <c r="J12" s="5">
        <f>G12/D12</f>
        <v/>
      </c>
    </row>
    <row r="13">
      <c r="A13" t="inlineStr">
        <is>
          <t>Sep 2025</t>
        </is>
      </c>
      <c r="B13" s="4" t="n">
        <v>1033093.32</v>
      </c>
      <c r="C13" s="4" t="n">
        <v>667873.59</v>
      </c>
      <c r="D13" s="4" t="n">
        <v>365219.73</v>
      </c>
      <c r="E13" s="4" t="n">
        <v>15741.12</v>
      </c>
      <c r="F13" s="4" t="n">
        <v>9407.450000000001</v>
      </c>
      <c r="G13" s="4" t="n">
        <v>6333.67</v>
      </c>
      <c r="H13" s="5">
        <f>E13/B13</f>
        <v/>
      </c>
      <c r="I13" s="5">
        <f>F13/C13</f>
        <v/>
      </c>
      <c r="J13" s="5">
        <f>G13/D13</f>
        <v/>
      </c>
    </row>
    <row r="14">
      <c r="A14" t="inlineStr">
        <is>
          <t>Oct 2025</t>
        </is>
      </c>
      <c r="B14" s="4" t="n">
        <v>1052181.67</v>
      </c>
      <c r="C14" s="4" t="n">
        <v>660873.28</v>
      </c>
      <c r="D14" s="4" t="n">
        <v>391308.39</v>
      </c>
      <c r="E14" s="4" t="n">
        <v>16256.26</v>
      </c>
      <c r="F14" s="4" t="n">
        <v>9164.35</v>
      </c>
      <c r="G14" s="4" t="n">
        <v>7091.91</v>
      </c>
      <c r="H14" s="5">
        <f>E14/B14</f>
        <v/>
      </c>
      <c r="I14" s="5">
        <f>F14/C14</f>
        <v/>
      </c>
      <c r="J14" s="5">
        <f>G14/D14</f>
        <v/>
      </c>
    </row>
    <row r="15">
      <c r="A15" t="inlineStr">
        <is>
          <t>Nov 2025</t>
        </is>
      </c>
      <c r="B15" s="4" t="n">
        <v>1080921.74</v>
      </c>
      <c r="C15" s="4" t="n">
        <v>715543.5</v>
      </c>
      <c r="D15" s="4" t="n">
        <v>365378.24</v>
      </c>
      <c r="E15" s="4" t="n">
        <v>15971.62</v>
      </c>
      <c r="F15" s="4" t="n">
        <v>9394.09</v>
      </c>
      <c r="G15" s="4" t="n">
        <v>6577.52</v>
      </c>
      <c r="H15" s="5">
        <f>E15/B15</f>
        <v/>
      </c>
      <c r="I15" s="5">
        <f>F15/C15</f>
        <v/>
      </c>
      <c r="J15" s="5">
        <f>G15/D15</f>
        <v/>
      </c>
    </row>
    <row r="16">
      <c r="A16" t="inlineStr">
        <is>
          <t>Dec 2025</t>
        </is>
      </c>
      <c r="B16" s="4" t="n">
        <v>1247187.94</v>
      </c>
      <c r="C16" s="4" t="n">
        <v>815015.34</v>
      </c>
      <c r="D16" s="4" t="n">
        <v>432172.6</v>
      </c>
      <c r="E16" s="4" t="n">
        <v>18911.8</v>
      </c>
      <c r="F16" s="4" t="n">
        <v>11024.57</v>
      </c>
      <c r="G16" s="4" t="n">
        <v>7887.23</v>
      </c>
      <c r="H16" s="5">
        <f>E16/B16</f>
        <v/>
      </c>
      <c r="I16" s="5">
        <f>F16/C16</f>
        <v/>
      </c>
      <c r="J16" s="5">
        <f>G16/D16</f>
        <v/>
      </c>
    </row>
    <row r="17">
      <c r="A17" t="inlineStr">
        <is>
          <t>Jan 2026</t>
        </is>
      </c>
      <c r="B17" s="4" t="n">
        <v>1069384.32</v>
      </c>
      <c r="C17" s="4" t="n">
        <v>705962.7</v>
      </c>
      <c r="D17" s="4" t="n">
        <v>363421.62</v>
      </c>
      <c r="E17" s="4" t="n">
        <v>14345.29</v>
      </c>
      <c r="F17" s="4" t="n">
        <v>7670.8</v>
      </c>
      <c r="G17" s="4" t="n">
        <v>6674.49</v>
      </c>
      <c r="H17" s="5">
        <f>E17/B17</f>
        <v/>
      </c>
      <c r="I17" s="5">
        <f>F17/C17</f>
        <v/>
      </c>
      <c r="J17" s="5">
        <f>G17/D17</f>
        <v/>
      </c>
    </row>
    <row r="18">
      <c r="A18" t="inlineStr">
        <is>
          <t>Feb 2026</t>
        </is>
      </c>
      <c r="B18" s="4" t="n">
        <v>1086788.19</v>
      </c>
      <c r="C18" s="4" t="n">
        <v>700600.97</v>
      </c>
      <c r="D18" s="4" t="n">
        <v>386187.22</v>
      </c>
      <c r="E18" s="4" t="n">
        <v>15495.21</v>
      </c>
      <c r="F18" s="4" t="n">
        <v>8432.219999999999</v>
      </c>
      <c r="G18" s="4" t="n">
        <v>7062.99</v>
      </c>
      <c r="H18" s="5">
        <f>E18/B18</f>
        <v/>
      </c>
      <c r="I18" s="5">
        <f>F18/C18</f>
        <v/>
      </c>
      <c r="J18" s="5">
        <f>G18/D18</f>
        <v/>
      </c>
    </row>
    <row r="19">
      <c r="A19" t="inlineStr">
        <is>
          <t>Mar 2026</t>
        </is>
      </c>
      <c r="B19" s="4" t="n">
        <v>1708683.98</v>
      </c>
      <c r="C19" s="4" t="n">
        <v>1067690.88</v>
      </c>
      <c r="D19" s="4" t="n">
        <v>640993.1</v>
      </c>
      <c r="E19" s="4" t="n">
        <v>24455.57</v>
      </c>
      <c r="F19" s="4" t="n">
        <v>12787.59</v>
      </c>
      <c r="G19" s="4" t="n">
        <v>11667.98</v>
      </c>
      <c r="H19" s="5">
        <f>E19/B19</f>
        <v/>
      </c>
      <c r="I19" s="5">
        <f>F19/C19</f>
        <v/>
      </c>
      <c r="J19" s="5">
        <f>G19/D19</f>
        <v/>
      </c>
    </row>
    <row r="20">
      <c r="A20" t="inlineStr">
        <is>
          <t>Apr 2026</t>
        </is>
      </c>
      <c r="B20" s="4" t="n">
        <v>1898695.57</v>
      </c>
      <c r="C20" s="4" t="n">
        <v>1148143.65</v>
      </c>
      <c r="D20" s="4" t="n">
        <v>750551.92</v>
      </c>
      <c r="E20" s="4" t="n">
        <v>27267.62</v>
      </c>
      <c r="F20" s="4" t="n">
        <v>13363.04</v>
      </c>
      <c r="G20" s="4" t="n">
        <v>13904.58</v>
      </c>
      <c r="H20" s="5">
        <f>E20/B20</f>
        <v/>
      </c>
      <c r="I20" s="5">
        <f>F20/C20</f>
        <v/>
      </c>
      <c r="J20" s="5">
        <f>G20/D20</f>
        <v/>
      </c>
    </row>
    <row r="21">
      <c r="A21" t="inlineStr">
        <is>
          <t>May 2026</t>
        </is>
      </c>
      <c r="B21" s="4" t="n">
        <v>1978499</v>
      </c>
      <c r="C21" s="4" t="n">
        <v>1312104.84</v>
      </c>
      <c r="D21" s="4" t="n">
        <v>666394.16</v>
      </c>
      <c r="E21" s="4" t="n">
        <v>27699.08</v>
      </c>
      <c r="F21" s="4" t="n">
        <v>15447.84</v>
      </c>
      <c r="G21" s="4" t="n">
        <v>12251.23</v>
      </c>
      <c r="H21" s="5">
        <f>E21/B21</f>
        <v/>
      </c>
      <c r="I21" s="5">
        <f>F21/C21</f>
        <v/>
      </c>
      <c r="J21" s="5">
        <f>G21/D21</f>
        <v/>
      </c>
    </row>
    <row r="22">
      <c r="A22" t="inlineStr">
        <is>
          <t>Jun 2026</t>
        </is>
      </c>
      <c r="B22" s="4" t="n">
        <v>2457813.41</v>
      </c>
      <c r="C22" s="4" t="n">
        <v>1520355.98</v>
      </c>
      <c r="D22" s="4" t="n">
        <v>937457.4300000001</v>
      </c>
      <c r="E22" s="4" t="n">
        <v>35182.69</v>
      </c>
      <c r="F22" s="4" t="n">
        <v>18015.86</v>
      </c>
      <c r="G22" s="4" t="n">
        <v>17166.83</v>
      </c>
      <c r="H22" s="5">
        <f>E22/B22</f>
        <v/>
      </c>
      <c r="I22" s="5">
        <f>F22/C22</f>
        <v/>
      </c>
      <c r="J22" s="5">
        <f>G22/D22</f>
        <v/>
      </c>
    </row>
    <row r="23">
      <c r="A23" t="inlineStr">
        <is>
          <t>Jul 2026</t>
        </is>
      </c>
      <c r="B23" s="4" t="n">
        <v>2280459.8</v>
      </c>
      <c r="C23" s="4" t="n">
        <v>1342961.45</v>
      </c>
      <c r="D23" s="4" t="n">
        <v>937498.35</v>
      </c>
      <c r="E23" s="4" t="n">
        <v>32463.17</v>
      </c>
      <c r="F23" s="4" t="n">
        <v>15243.88</v>
      </c>
      <c r="G23" s="4" t="n">
        <v>17219.29</v>
      </c>
      <c r="H23" s="5">
        <f>E23/B23</f>
        <v/>
      </c>
      <c r="I23" s="5">
        <f>F23/C23</f>
        <v/>
      </c>
      <c r="J23" s="5">
        <f>G23/D23</f>
        <v/>
      </c>
    </row>
    <row r="24">
      <c r="A24" t="inlineStr">
        <is>
          <t>Aug 2026</t>
        </is>
      </c>
      <c r="B24" s="4" t="n">
        <v>2336718.57</v>
      </c>
      <c r="C24" s="4" t="n">
        <v>1349569.19</v>
      </c>
      <c r="D24" s="4" t="n">
        <v>987149.38</v>
      </c>
      <c r="E24" s="4" t="n">
        <v>33910.58</v>
      </c>
      <c r="F24" s="4" t="n">
        <v>15413.82</v>
      </c>
      <c r="G24" s="4" t="n">
        <v>18496.75</v>
      </c>
      <c r="H24" s="5">
        <f>E24/B24</f>
        <v/>
      </c>
      <c r="I24" s="5">
        <f>F24/C24</f>
        <v/>
      </c>
      <c r="J24" s="5">
        <f>G24/D24</f>
        <v/>
      </c>
    </row>
    <row r="25">
      <c r="A25" t="inlineStr">
        <is>
          <t>Sep 2026</t>
        </is>
      </c>
      <c r="B25" s="4" t="n">
        <v>3273308.88</v>
      </c>
      <c r="C25" s="4" t="n">
        <v>2077572.94</v>
      </c>
      <c r="D25" s="4" t="n">
        <v>1195735.94</v>
      </c>
      <c r="E25" s="4" t="n">
        <v>47148.56</v>
      </c>
      <c r="F25" s="4" t="n">
        <v>24756.7</v>
      </c>
      <c r="G25" s="4" t="n">
        <v>22391.86</v>
      </c>
      <c r="H25" s="5">
        <f>E25/B25</f>
        <v/>
      </c>
      <c r="I25" s="5">
        <f>F25/C25</f>
        <v/>
      </c>
      <c r="J25" s="5">
        <f>G25/D25</f>
        <v/>
      </c>
    </row>
    <row r="27">
      <c r="A27" s="6" t="inlineStr">
        <is>
          <t>Full year 2025 (Jan – Dec 2025)</t>
        </is>
      </c>
      <c r="B27" s="7">
        <f>SUM(B5:B16)</f>
        <v/>
      </c>
      <c r="C27" s="7">
        <f>SUM(C5:C16)</f>
        <v/>
      </c>
      <c r="D27" s="7">
        <f>SUM(D5:D16)</f>
        <v/>
      </c>
      <c r="E27" s="7">
        <f>SUM(E5:E16)</f>
        <v/>
      </c>
      <c r="F27" s="7">
        <f>SUM(F5:F16)</f>
        <v/>
      </c>
      <c r="G27" s="7">
        <f>SUM(G5:G16)</f>
        <v/>
      </c>
      <c r="H27" s="8">
        <f>E27/B27</f>
        <v/>
      </c>
      <c r="I27" s="8">
        <f>F27/C27</f>
        <v/>
      </c>
      <c r="J27" s="8">
        <f>G27/D27</f>
        <v/>
      </c>
    </row>
    <row r="28">
      <c r="A28" s="6" t="inlineStr">
        <is>
          <t>Trailing 12 months (Oct 2025 – Sep 2026)</t>
        </is>
      </c>
      <c r="B28" s="7">
        <f>SUM(B14:B25)</f>
        <v/>
      </c>
      <c r="C28" s="7">
        <f>SUM(C14:C25)</f>
        <v/>
      </c>
      <c r="D28" s="7">
        <f>SUM(D14:D25)</f>
        <v/>
      </c>
      <c r="E28" s="7">
        <f>SUM(E14:E25)</f>
        <v/>
      </c>
      <c r="F28" s="7">
        <f>SUM(F14:F25)</f>
        <v/>
      </c>
      <c r="G28" s="7">
        <f>SUM(G14:G25)</f>
        <v/>
      </c>
      <c r="H28" s="8">
        <f>E28/B28</f>
        <v/>
      </c>
      <c r="I28" s="8">
        <f>F28/C28</f>
        <v/>
      </c>
      <c r="J28" s="8">
        <f>G28/D28</f>
        <v/>
      </c>
    </row>
    <row r="29">
      <c r="A29" s="6" t="inlineStr">
        <is>
          <t>Trailing 6 months (Apr – Sep 2026)</t>
        </is>
      </c>
      <c r="B29" s="7">
        <f>SUM(B20:B25)</f>
        <v/>
      </c>
      <c r="C29" s="7">
        <f>SUM(C20:C25)</f>
        <v/>
      </c>
      <c r="D29" s="7">
        <f>SUM(D20:D25)</f>
        <v/>
      </c>
      <c r="E29" s="7">
        <f>SUM(E20:E25)</f>
        <v/>
      </c>
      <c r="F29" s="7">
        <f>SUM(F20:F25)</f>
        <v/>
      </c>
      <c r="G29" s="7">
        <f>SUM(G20:G25)</f>
        <v/>
      </c>
      <c r="H29" s="8">
        <f>E29/B29</f>
        <v/>
      </c>
      <c r="I29" s="8">
        <f>F29/C29</f>
        <v/>
      </c>
      <c r="J29" s="8">
        <f>G29/D29</f>
        <v/>
      </c>
    </row>
    <row r="30">
      <c r="A30" s="6" t="inlineStr">
        <is>
          <t>Since inception shown (Jan 2025 – Sep 2026)</t>
        </is>
      </c>
      <c r="B30" s="7">
        <f>SUM(B5:B25)</f>
        <v/>
      </c>
      <c r="C30" s="7">
        <f>SUM(C5:C25)</f>
        <v/>
      </c>
      <c r="D30" s="7">
        <f>SUM(D5:D25)</f>
        <v/>
      </c>
      <c r="E30" s="7">
        <f>SUM(E5:E25)</f>
        <v/>
      </c>
      <c r="F30" s="7">
        <f>SUM(F5:F25)</f>
        <v/>
      </c>
      <c r="G30" s="7">
        <f>SUM(G5:G25)</f>
        <v/>
      </c>
      <c r="H30" s="8">
        <f>E30/B30</f>
        <v/>
      </c>
      <c r="I30" s="8">
        <f>F30/C30</f>
        <v/>
      </c>
      <c r="J30" s="8">
        <f>G30/D30</f>
        <v/>
      </c>
    </row>
    <row r="32">
      <c r="A32" s="9" t="inlineStr">
        <is>
          <t>Source: Zed KPI Dashboard (Monthly) — interchange fee income, settlement volume and rates by settlement currency, built from the i2c Network Settlement Summary. Updated through September 2026.</t>
        </is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2026-10-27T03:37:18Z</dcterms:created>
  <dcterms:modified xmlns:dcterms="http://purl.org/dc/terms/" xmlns:xsi="http://www.w3.org/2001/XMLSchema-instance" xsi:type="dcterms:W3CDTF">2026-10-27T03:37:18Z</dcterms:modified>
</cp:coreProperties>
</file>