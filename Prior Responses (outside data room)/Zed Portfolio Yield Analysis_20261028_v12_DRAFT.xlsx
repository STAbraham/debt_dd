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first-payment defaults</t>
        </is>
      </c>
      <c r="C24" s="14">
        <f>loss_rate_xfpd</f>
        <v/>
      </c>
      <c r="E24" s="14">
        <f>loss_rate_xfpd</f>
        <v/>
      </c>
      <c r="G24" s="14">
        <f>loss_rate_xfpd</f>
        <v/>
      </c>
      <c r="I24" s="14">
        <f>loss_rate_xfpd</f>
        <v/>
      </c>
      <c r="J24" s="9" t="inlineStr">
        <is>
          <t>Loss Rate tab: 90+ DPD ÷ principal seasoned 90 days, vintages since Jan 2026, ex-FPD,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5" t="inlineStr">
        <is>
          <t>Origination month</t>
        </is>
      </c>
      <c r="B4" s="6" t="inlineStr">
        <is>
          <t>Accounts</t>
        </is>
      </c>
      <c r="C4" s="6" t="inlineStr">
        <is>
          <t>Principal originated</t>
        </is>
      </c>
      <c r="D4" s="6" t="inlineStr">
        <is>
          <t>Seasoned principal (due ≥90 days ago)</t>
        </is>
      </c>
      <c r="E4" s="6" t="inlineStr">
        <is>
          <t>Excluded: FPD principal 90+ DPD</t>
        </is>
      </c>
      <c r="F4" s="6" t="inlineStr">
        <is>
          <t>Denominator: seasoned, ex-FPD</t>
        </is>
      </c>
      <c r="G4" s="6" t="inlineStr">
        <is>
          <t>Numerator: 90+ DPD, ex-FPD</t>
        </is>
      </c>
      <c r="H4" s="6" t="inlineStr">
        <is>
          <t>Loss rate</t>
        </is>
      </c>
    </row>
    <row r="5">
      <c r="A5" t="inlineStr">
        <is>
          <t>Jan 2026</t>
        </is>
      </c>
      <c r="B5" s="12" t="n">
        <v>3828</v>
      </c>
      <c r="C5" s="12" t="n">
        <v>69900973.84</v>
      </c>
      <c r="D5" s="12" t="n">
        <v>69900973.84</v>
      </c>
      <c r="E5" s="12" t="n">
        <v>195035.55</v>
      </c>
      <c r="F5" s="12" t="n">
        <v>69690793.31</v>
      </c>
      <c r="G5" s="12" t="n">
        <v>1577286.85</v>
      </c>
      <c r="H5" s="14">
        <f>IF(F5=0,"not yet seasoned",G5/F5)</f>
        <v/>
      </c>
    </row>
    <row r="6">
      <c r="A6" t="inlineStr">
        <is>
          <t>Feb 2026</t>
        </is>
      </c>
      <c r="B6" s="12" t="n">
        <v>4029</v>
      </c>
      <c r="C6" s="12" t="n">
        <v>60820771.28</v>
      </c>
      <c r="D6" s="12" t="n">
        <v>60820771.28</v>
      </c>
      <c r="E6" s="12" t="n">
        <v>31366.54</v>
      </c>
      <c r="F6" s="12" t="n">
        <v>60789404.74</v>
      </c>
      <c r="G6" s="12" t="n">
        <v>685527.14</v>
      </c>
      <c r="H6" s="14">
        <f>IF(F6=0,"not yet seasoned",G6/F6)</f>
        <v/>
      </c>
    </row>
    <row r="7">
      <c r="A7" t="inlineStr">
        <is>
          <t>Mar 2026</t>
        </is>
      </c>
      <c r="B7" s="12" t="n">
        <v>5113</v>
      </c>
      <c r="C7" s="12" t="n">
        <v>89743205.59</v>
      </c>
      <c r="D7" s="12" t="n">
        <v>89743205.59</v>
      </c>
      <c r="E7" s="12" t="n">
        <v>562712.45</v>
      </c>
      <c r="F7" s="12" t="n">
        <v>89089554.73999999</v>
      </c>
      <c r="G7" s="12" t="n">
        <v>1404938.62</v>
      </c>
      <c r="H7" s="14">
        <f>IF(F7=0,"not yet seasoned",G7/F7)</f>
        <v/>
      </c>
    </row>
    <row r="8">
      <c r="A8" t="inlineStr">
        <is>
          <t>Apr 2026</t>
        </is>
      </c>
      <c r="B8" s="12" t="n">
        <v>6505</v>
      </c>
      <c r="C8" s="12" t="n">
        <v>107115373.17</v>
      </c>
      <c r="D8" s="12" t="n">
        <v>107115373.17</v>
      </c>
      <c r="E8" s="12" t="n">
        <v>911016.11</v>
      </c>
      <c r="F8" s="12" t="n">
        <v>106123235.92</v>
      </c>
      <c r="G8" s="12" t="n">
        <v>1471002.56</v>
      </c>
      <c r="H8" s="14">
        <f>IF(F8=0,"not yet seasoned",G8/F8)</f>
        <v/>
      </c>
    </row>
    <row r="9">
      <c r="A9" t="inlineStr">
        <is>
          <t>May 2026</t>
        </is>
      </c>
      <c r="B9" s="12" t="n">
        <v>7564</v>
      </c>
      <c r="C9" s="12" t="n">
        <v>118184976.17</v>
      </c>
      <c r="D9" s="12" t="n">
        <v>118184976.17</v>
      </c>
      <c r="E9" s="12" t="n">
        <v>889165.96</v>
      </c>
      <c r="F9" s="12" t="n">
        <v>117226741.83</v>
      </c>
      <c r="G9" s="12" t="n">
        <v>1061583</v>
      </c>
      <c r="H9" s="14">
        <f>IF(F9=0,"not yet seasoned",G9/F9)</f>
        <v/>
      </c>
    </row>
    <row r="10">
      <c r="A10" t="inlineStr">
        <is>
          <t>Jun 2026</t>
        </is>
      </c>
      <c r="B10" s="12" t="n">
        <v>9024</v>
      </c>
      <c r="C10" s="12" t="n">
        <v>136417479.48</v>
      </c>
      <c r="D10" s="12" t="n">
        <v>136417479.48</v>
      </c>
      <c r="E10" s="12" t="n">
        <v>499873.5</v>
      </c>
      <c r="F10" s="12" t="n">
        <v>135917605.98</v>
      </c>
      <c r="G10" s="12" t="n">
        <v>459463.31</v>
      </c>
      <c r="H10" s="14">
        <f>IF(F10=0,"not yet seasoned",G10/F10)</f>
        <v/>
      </c>
    </row>
    <row r="11">
      <c r="A11" t="inlineStr">
        <is>
          <t>Jul 2026</t>
        </is>
      </c>
      <c r="B11" s="12" t="n">
        <v>11366</v>
      </c>
      <c r="C11" s="12" t="n">
        <v>140624271.71</v>
      </c>
      <c r="D11" s="12" t="n">
        <v>0</v>
      </c>
      <c r="E11" s="12" t="n">
        <v>29390.51</v>
      </c>
      <c r="F11" s="12" t="n">
        <v>0</v>
      </c>
      <c r="G11" s="12" t="n">
        <v>8828.190000000001</v>
      </c>
      <c r="H11" s="14">
        <f>IF(F11=0,"not yet seasoned",G11/F11)</f>
        <v/>
      </c>
    </row>
    <row r="12">
      <c r="A12" t="inlineStr">
        <is>
          <t>Aug 2026</t>
        </is>
      </c>
      <c r="B12" s="12" t="n">
        <v>12347</v>
      </c>
      <c r="C12" s="12" t="n">
        <v>141888335.14</v>
      </c>
      <c r="D12" s="12" t="n">
        <v>0</v>
      </c>
      <c r="E12" s="12" t="n">
        <v>0</v>
      </c>
      <c r="F12" s="12" t="n">
        <v>0</v>
      </c>
      <c r="G12" s="12" t="n">
        <v>0</v>
      </c>
      <c r="H12" s="14">
        <f>IF(F12=0,"not yet seasoned",G12/F12)</f>
        <v/>
      </c>
    </row>
    <row r="13">
      <c r="A13" t="inlineStr">
        <is>
          <t>Sep 2026</t>
        </is>
      </c>
      <c r="B13" s="12" t="n">
        <v>13196</v>
      </c>
      <c r="C13" s="12" t="n">
        <v>160221212.53</v>
      </c>
      <c r="D13" s="12" t="n">
        <v>0</v>
      </c>
      <c r="E13" s="12" t="n">
        <v>0</v>
      </c>
      <c r="F13" s="12" t="n">
        <v>0</v>
      </c>
      <c r="G13" s="12" t="n">
        <v>0</v>
      </c>
      <c r="H13" s="14">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3">
        <f>G14/F14</f>
        <v/>
      </c>
    </row>
    <row r="15"/>
    <row r="16" ht="15" customHeight="1">
      <c r="A16" s="24" t="inlineStr">
        <is>
          <t>How to read this table</t>
        </is>
      </c>
    </row>
    <row r="17" ht="48" customHeight="1">
      <c r="A17" s="25"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25"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25" t="inlineStr">
        <is>
          <t>• First-payment defaults (FPD). An account whose first statement was never paid: billed once, no payment at all. Zed treats these as fraud and identity losses for its own account rather than credit losses, and excludes them here on that basis. The principal excluded is shown in column E.</t>
        </is>
      </c>
    </row>
    <row r="20" ht="48" customHeight="1">
      <c r="A20" s="25" t="inlineStr">
        <is>
          <t>• Fraud controls and their timing. Basic duplicate-applicant checks have been part of decisioning since May 2026 and the first set of major improvements to our second generation credit model were released on 5 May 2026 (v2.1). Version 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is>
      </c>
    </row>
    <row r="21" ht="48" customHeight="1">
      <c r="A21" s="25" t="inlineStr">
        <is>
          <t>• Why January 2026. The current underwriting model (V2) was deployed in December 2025 and is the model that originates the portfolio today; earlier vintages were originated under the prior model.</t>
        </is>
      </c>
    </row>
  </sheetData>
  <mergeCells count="6">
    <mergeCell ref="A18:H18"/>
    <mergeCell ref="A21:H21"/>
    <mergeCell ref="A20:H20"/>
    <mergeCell ref="A16:H16"/>
    <mergeCell ref="A19:H19"/>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6" t="inlineStr">
        <is>
          <t>Scope</t>
        </is>
      </c>
      <c r="B4" s="25"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6" t="inlineStr">
        <is>
          <t>Book month (yield basis)</t>
        </is>
      </c>
      <c r="B5" s="25"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6" t="inlineStr">
        <is>
          <t>Annualization</t>
        </is>
      </c>
      <c r="B6" s="25" t="inlineStr">
        <is>
          <t>Simple: monthly amount ÷ the book month's average receivables × 12. No compounding.</t>
        </is>
      </c>
    </row>
    <row r="7" ht="105" customHeight="1">
      <c r="A7" s="26" t="inlineStr">
        <is>
          <t>Revolving interest</t>
        </is>
      </c>
      <c r="B7" s="25"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6" t="inlineStr">
        <is>
          <t>Installment interest and upfront fees</t>
        </is>
      </c>
      <c r="B8" s="25"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6" t="inlineStr">
        <is>
          <t>Late payment fees</t>
        </is>
      </c>
      <c r="B9" s="25" t="inlineStr">
        <is>
          <t>Fee billed when the minimum payment is not received by the due date.</t>
        </is>
      </c>
    </row>
    <row r="10" ht="90" customHeight="1">
      <c r="A10" s="26" t="inlineStr">
        <is>
          <t>Interchange</t>
        </is>
      </c>
      <c r="B10" s="25"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6" t="inlineStr">
        <is>
          <t>Turnover</t>
        </is>
      </c>
      <c r="B11" s="25"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6" t="inlineStr">
        <is>
          <t>Principal flow</t>
        </is>
      </c>
      <c r="B12" s="25"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6" t="inlineStr">
        <is>
          <t>Principal originated (Loss Rate tab)</t>
        </is>
      </c>
      <c r="B13" s="25"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6" t="inlineStr">
        <is>
          <t>Loss rate</t>
        </is>
      </c>
      <c r="B14" s="25"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6" t="inlineStr">
        <is>
          <t>Loss on receivables</t>
        </is>
      </c>
      <c r="B15" s="25"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6" t="inlineStr">
        <is>
          <t>Net yield</t>
        </is>
      </c>
      <c r="B16" s="25" t="inlineStr">
        <is>
          <t>Gross yield less loss on receivables. Before operating costs, servicing, processing and network costs, funding costs, taxes and FX.</t>
        </is>
      </c>
    </row>
    <row r="17" ht="60" customHeight="1">
      <c r="A17" s="26" t="inlineStr">
        <is>
          <t>Sources</t>
        </is>
      </c>
      <c r="B17" s="25"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is>
      </c>
    </row>
    <row r="18" ht="30" customHeight="1">
      <c r="A18" s="26" t="inlineStr">
        <is>
          <t>Prepared</t>
        </is>
      </c>
      <c r="B18" s="25" t="inlineStr">
        <is>
          <t>Zed Financial, October 2026, in connection with the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2026-10-29T01:41:34Z</dcterms:created>
  <dcterms:modified xmlns:dcterms="http://purl.org/dc/terms/" xmlns:xsi="http://www.w3.org/2001/XMLSchema-instance" xsi:type="dcterms:W3CDTF">2026-10-29T01:41:34Z</dcterms:modified>
</cp:coreProperties>
</file>