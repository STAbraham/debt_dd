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_xfpd">'Loss Rate'!$H$14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1" fontId="0" fillId="0" borderId="0" pivotButton="0" quotePrefix="0" xfId="0"/>
    <xf numFmtId="3" fontId="0"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164" fontId="0" fillId="0" borderId="0" pivotButton="0" quotePrefix="0" xfId="0"/>
    <xf numFmtId="0" fontId="4" fillId="0" borderId="0" pivotButton="0" quotePrefix="0" xfId="0"/>
    <xf numFmtId="3" fontId="4" fillId="0" borderId="0" pivotButton="0" quotePrefix="0" xfId="0"/>
    <xf numFmtId="164" fontId="4" fillId="0" borderId="0" pivotButton="0" quotePrefix="0" xfId="0"/>
    <xf numFmtId="165" fontId="0" fillId="0" borderId="0" pivotButton="0" quotePrefix="0" xfId="0"/>
    <xf numFmtId="10" fontId="0"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applyAlignment="1" pivotButton="0" quotePrefix="0" xfId="0">
      <alignment vertical="top" wrapText="1"/>
    </xf>
    <xf numFmtId="166" fontId="0" fillId="0" borderId="0" pivotButton="0" quotePrefix="0" xfId="0"/>
    <xf numFmtId="10" fontId="4" fillId="4" borderId="1" pivotButton="0" quotePrefix="0" xfId="0"/>
    <xf numFmtId="0" fontId="4" fillId="0" borderId="0" applyAlignment="1" pivotButton="0" quotePrefix="0" xfId="0">
      <alignment vertical="top" wrapText="1"/>
    </xf>
    <xf numFmtId="10" fontId="0" fillId="0" borderId="0" applyAlignment="1" pivotButton="0" quotePrefix="0" xfId="0">
      <alignment horizontal="right"/>
    </xf>
    <xf numFmtId="10" fontId="4" fillId="0" borderId="0" pivotButton="0" quotePrefix="0" xfId="0"/>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2" customWidth="1" min="3" max="3"/>
    <col width="15" customWidth="1" min="4" max="4"/>
    <col width="12" customWidth="1" min="5" max="5"/>
    <col width="15" customWidth="1" min="6" max="6"/>
    <col width="12" customWidth="1" min="7" max="7"/>
    <col width="15" customWidth="1" min="8" max="8"/>
    <col width="12" customWidth="1" min="9" max="9"/>
    <col width="66" customWidth="1" min="10" max="10"/>
  </cols>
  <sheetData>
    <row r="1">
      <c r="A1" s="1" t="inlineStr">
        <is>
          <t>Zed — Portfolio yield on receivables</t>
        </is>
      </c>
    </row>
    <row r="2">
      <c r="A2" s="2" t="inlineStr">
        <is>
          <t>Gross and net yield on average receivables outstanding, annualized. July, August and September 2026 and the quarter together. PHP; before operating, servicing and funding costs.</t>
        </is>
      </c>
    </row>
    <row r="3"/>
    <row r="4">
      <c r="A4" s="3" t="inlineStr"/>
      <c r="B4" s="3" t="inlineStr">
        <is>
          <t>Jul 2026</t>
        </is>
      </c>
      <c r="C4" s="3" t="inlineStr">
        <is>
          <t>Annualized</t>
        </is>
      </c>
      <c r="D4" s="3" t="inlineStr">
        <is>
          <t>Aug 2026</t>
        </is>
      </c>
      <c r="E4" s="3" t="inlineStr">
        <is>
          <t>Annualized</t>
        </is>
      </c>
      <c r="F4" s="3" t="inlineStr">
        <is>
          <t>Sep 2026</t>
        </is>
      </c>
      <c r="G4" s="3" t="inlineStr">
        <is>
          <t>Annualized</t>
        </is>
      </c>
      <c r="H4" s="3" t="inlineStr">
        <is>
          <t>Jul–Sep 2026</t>
        </is>
      </c>
      <c r="I4" s="3" t="inlineStr">
        <is>
          <t>Annualized</t>
        </is>
      </c>
      <c r="J4" s="3" t="inlineStr">
        <is>
          <t>Notes</t>
        </is>
      </c>
    </row>
    <row r="5">
      <c r="A5" t="inlineStr">
        <is>
          <t>Months in period</t>
        </is>
      </c>
      <c r="B5" s="4" t="n">
        <v>1</v>
      </c>
      <c r="D5" s="4" t="n">
        <v>1</v>
      </c>
      <c r="F5" s="4" t="n">
        <v>1</v>
      </c>
      <c r="H5" s="4" t="n">
        <v>3</v>
      </c>
    </row>
    <row r="6" ht="34" customHeight="1">
      <c r="A6" t="inlineStr">
        <is>
          <t>Average receivables outstanding</t>
        </is>
      </c>
      <c r="B6" s="5">
        <f>'Monthly Detail'!H13</f>
        <v/>
      </c>
      <c r="D6" s="5">
        <f>'Monthly Detail'!I13</f>
        <v/>
      </c>
      <c r="F6" s="5">
        <f>'Monthly Detail'!J13</f>
        <v/>
      </c>
      <c r="H6" s="5">
        <f>'Monthly Detail'!K13</f>
        <v/>
      </c>
      <c r="J6" s="6" t="inlineStr">
        <is>
          <t>Monthly average of daily receivables; the quarter is the average of the three monthly averages.</t>
        </is>
      </c>
    </row>
    <row r="7">
      <c r="A7" s="7" t="inlineStr">
        <is>
          <t>Interest and fees — earned on balances</t>
        </is>
      </c>
      <c r="B7" s="8" t="n"/>
      <c r="C7" s="8" t="n"/>
      <c r="D7" s="8" t="n"/>
      <c r="E7" s="8" t="n"/>
      <c r="F7" s="8" t="n"/>
      <c r="G7" s="8" t="n"/>
      <c r="H7" s="8" t="n"/>
      <c r="I7" s="8" t="n"/>
      <c r="J7" s="8" t="n"/>
    </row>
    <row r="8" ht="34" customHeight="1">
      <c r="A8" t="inlineStr">
        <is>
          <t>Revolving interest</t>
        </is>
      </c>
      <c r="B8" s="5">
        <f>'Monthly Detail'!H5</f>
        <v/>
      </c>
      <c r="C8" s="9">
        <f>B8*12/B$5/B$6</f>
        <v/>
      </c>
      <c r="D8" s="5">
        <f>'Monthly Detail'!I5</f>
        <v/>
      </c>
      <c r="E8" s="9">
        <f>D8*12/D$5/D$6</f>
        <v/>
      </c>
      <c r="F8" s="5">
        <f>'Monthly Detail'!J5</f>
        <v/>
      </c>
      <c r="G8" s="9">
        <f>F8*12/F$5/F$6</f>
        <v/>
      </c>
      <c r="H8" s="5">
        <f>'Monthly Detail'!K5</f>
        <v/>
      </c>
      <c r="I8" s="9">
        <f>H8*12/H$5/H$6</f>
        <v/>
      </c>
      <c r="J8" s="6" t="inlineStr">
        <is>
          <t>3% per month on revolving balances (BSP cap). Introduced with the June 2026 statement cycle.</t>
        </is>
      </c>
    </row>
    <row r="9">
      <c r="A9" t="inlineStr">
        <is>
          <t>Installment interest</t>
        </is>
      </c>
      <c r="B9" s="5">
        <f>'Monthly Detail'!H6</f>
        <v/>
      </c>
      <c r="C9" s="9">
        <f>B9*12/B$5/B$6</f>
        <v/>
      </c>
      <c r="D9" s="5">
        <f>'Monthly Detail'!I6</f>
        <v/>
      </c>
      <c r="E9" s="9">
        <f>D9*12/D$5/D$6</f>
        <v/>
      </c>
      <c r="F9" s="5">
        <f>'Monthly Detail'!J6</f>
        <v/>
      </c>
      <c r="G9" s="9">
        <f>F9*12/F$5/F$6</f>
        <v/>
      </c>
      <c r="H9" s="5">
        <f>'Monthly Detail'!K6</f>
        <v/>
      </c>
      <c r="I9" s="9">
        <f>H9*12/H$5/H$6</f>
        <v/>
      </c>
      <c r="J9" s="6" t="inlineStr">
        <is>
          <t>1% per month on installment balances.</t>
        </is>
      </c>
    </row>
    <row r="10">
      <c r="A10" t="inlineStr">
        <is>
          <t>Installment upfront fees</t>
        </is>
      </c>
      <c r="B10" s="5">
        <f>'Monthly Detail'!H7</f>
        <v/>
      </c>
      <c r="C10" s="9">
        <f>B10*12/B$5/B$6</f>
        <v/>
      </c>
      <c r="D10" s="5">
        <f>'Monthly Detail'!I7</f>
        <v/>
      </c>
      <c r="E10" s="9">
        <f>D10*12/D$5/D$6</f>
        <v/>
      </c>
      <c r="F10" s="5">
        <f>'Monthly Detail'!J7</f>
        <v/>
      </c>
      <c r="G10" s="9">
        <f>F10*12/F$5/F$6</f>
        <v/>
      </c>
      <c r="H10" s="5">
        <f>'Monthly Detail'!K7</f>
        <v/>
      </c>
      <c r="I10" s="9">
        <f>H10*12/H$5/H$6</f>
        <v/>
      </c>
      <c r="J10" s="6" t="inlineStr">
        <is>
          <t>0.5% × term in months, billed at conversion.</t>
        </is>
      </c>
    </row>
    <row r="11">
      <c r="A11" t="inlineStr">
        <is>
          <t>Late payment fees</t>
        </is>
      </c>
      <c r="B11" s="5">
        <f>'Monthly Detail'!H8</f>
        <v/>
      </c>
      <c r="C11" s="9">
        <f>B11*12/B$5/B$6</f>
        <v/>
      </c>
      <c r="D11" s="5">
        <f>'Monthly Detail'!I8</f>
        <v/>
      </c>
      <c r="E11" s="9">
        <f>D11*12/D$5/D$6</f>
        <v/>
      </c>
      <c r="F11" s="5">
        <f>'Monthly Detail'!J8</f>
        <v/>
      </c>
      <c r="G11" s="9">
        <f>F11*12/F$5/F$6</f>
        <v/>
      </c>
      <c r="H11" s="5">
        <f>'Monthly Detail'!K8</f>
        <v/>
      </c>
      <c r="I11" s="9">
        <f>H11*12/H$5/H$6</f>
        <v/>
      </c>
    </row>
    <row r="12">
      <c r="A12" s="10" t="inlineStr">
        <is>
          <t>Interest and fees</t>
        </is>
      </c>
      <c r="B12" s="11">
        <f>SUM(B8:B11)</f>
        <v/>
      </c>
      <c r="C12" s="12">
        <f>B12*12/B$5/B$6</f>
        <v/>
      </c>
      <c r="D12" s="11">
        <f>SUM(D8:D11)</f>
        <v/>
      </c>
      <c r="E12" s="12">
        <f>D12*12/D$5/D$6</f>
        <v/>
      </c>
      <c r="F12" s="11">
        <f>SUM(F8:F11)</f>
        <v/>
      </c>
      <c r="G12" s="12">
        <f>F12*12/F$5/F$6</f>
        <v/>
      </c>
      <c r="H12" s="11">
        <f>SUM(H8:H11)</f>
        <v/>
      </c>
      <c r="I12" s="12">
        <f>H12*12/H$5/H$6</f>
        <v/>
      </c>
    </row>
    <row r="13"/>
    <row r="14">
      <c r="A14" s="7" t="inlineStr">
        <is>
          <t>Interchange — earned on purchases, so a function of turnover</t>
        </is>
      </c>
      <c r="B14" s="8" t="n"/>
      <c r="C14" s="8" t="n"/>
      <c r="D14" s="8" t="n"/>
      <c r="E14" s="8" t="n"/>
      <c r="F14" s="8" t="n"/>
      <c r="G14" s="8" t="n"/>
      <c r="H14" s="8" t="n"/>
      <c r="I14" s="8" t="n"/>
      <c r="J14" s="8" t="n"/>
    </row>
    <row r="15" ht="34" customHeight="1">
      <c r="A15" t="inlineStr">
        <is>
          <t>Purchase volume settled</t>
        </is>
      </c>
      <c r="B15" s="5">
        <f>'Monthly Detail'!H16</f>
        <v/>
      </c>
      <c r="D15" s="5">
        <f>'Monthly Detail'!I16</f>
        <v/>
      </c>
      <c r="F15" s="5">
        <f>'Monthly Detail'!J16</f>
        <v/>
      </c>
      <c r="H15" s="5">
        <f>'Monthly Detail'!K16</f>
        <v/>
      </c>
      <c r="J15" s="6" t="inlineStr">
        <is>
          <t>Cardholder purchases settled through Mastercard, net of returns.</t>
        </is>
      </c>
    </row>
    <row r="16" ht="34" customHeight="1">
      <c r="A16" t="inlineStr">
        <is>
          <t>Purchase turnover (annualized purchase volume ÷ average receivables)</t>
        </is>
      </c>
      <c r="C16" s="13">
        <f>B15*12/B$5/B$6</f>
        <v/>
      </c>
      <c r="E16" s="13">
        <f>D15*12/D$5/D$6</f>
        <v/>
      </c>
      <c r="G16" s="13">
        <f>F15*12/F$5/F$6</f>
        <v/>
      </c>
      <c r="I16" s="13">
        <f>H15*12/H$5/H$6</f>
        <v/>
      </c>
      <c r="J16" s="6" t="inlineStr">
        <is>
          <t>How many times a year the book is re-spent. Falls as more of the book revolves.</t>
        </is>
      </c>
    </row>
    <row r="17" ht="34" customHeight="1">
      <c r="A17" t="inlineStr">
        <is>
          <t>Interchange rate on purchase volume</t>
        </is>
      </c>
      <c r="C17" s="14">
        <f>B18/B15</f>
        <v/>
      </c>
      <c r="E17" s="14">
        <f>D18/D15</f>
        <v/>
      </c>
      <c r="G17" s="14">
        <f>F18/F15</f>
        <v/>
      </c>
      <c r="I17" s="14">
        <f>H18/H15</f>
        <v/>
      </c>
      <c r="J17" s="6" t="inlineStr">
        <is>
          <t>Set by Mastercard by merchant category and domestic/foreign; gross of network and processing costs.</t>
        </is>
      </c>
    </row>
    <row r="18" ht="80" customHeight="1">
      <c r="A18" s="10" t="inlineStr">
        <is>
          <t>Interchange income</t>
        </is>
      </c>
      <c r="B18" s="11">
        <f>'Monthly Detail'!H9</f>
        <v/>
      </c>
      <c r="C18" s="12">
        <f>C17*C16</f>
        <v/>
      </c>
      <c r="D18" s="11">
        <f>'Monthly Detail'!I9</f>
        <v/>
      </c>
      <c r="E18" s="12">
        <f>E17*E16</f>
        <v/>
      </c>
      <c r="F18" s="11">
        <f>'Monthly Detail'!J9</f>
        <v/>
      </c>
      <c r="G18" s="12">
        <f>G17*G16</f>
        <v/>
      </c>
      <c r="H18" s="11">
        <f>'Monthly Detail'!K9</f>
        <v/>
      </c>
      <c r="I18" s="12">
        <f>I17*I16</f>
        <v/>
      </c>
      <c r="J18" s="6" t="inlineStr">
        <is>
          <t>Yield on receivables = interchange rate × purchase turnover. Mastercard settles each purchase to the merchant net of interchange and the cardholder is billed the full amount, so interchange is collected through cardholder payments. It is earned once, when the receivable is created; a balance that then revolves earns interest, not further interchange.</t>
        </is>
      </c>
    </row>
    <row r="19"/>
    <row r="20">
      <c r="A20" s="7" t="inlineStr">
        <is>
          <t>Gross yield (annualized, on average receivables)</t>
        </is>
      </c>
      <c r="B20" s="8" t="n"/>
      <c r="C20" s="8" t="n"/>
      <c r="D20" s="8" t="n"/>
      <c r="E20" s="8" t="n"/>
      <c r="F20" s="8" t="n"/>
      <c r="G20" s="8" t="n"/>
      <c r="H20" s="8" t="n"/>
      <c r="I20" s="8" t="n"/>
      <c r="J20" s="8" t="n"/>
    </row>
    <row r="21">
      <c r="A21" t="inlineStr">
        <is>
          <t>Gross yield — interest and fees</t>
        </is>
      </c>
      <c r="C21" s="9">
        <f>C12</f>
        <v/>
      </c>
      <c r="E21" s="9">
        <f>E12</f>
        <v/>
      </c>
      <c r="G21" s="9">
        <f>G12</f>
        <v/>
      </c>
      <c r="I21" s="9">
        <f>I12</f>
        <v/>
      </c>
    </row>
    <row r="22" ht="34" customHeight="1">
      <c r="A22" s="15" t="inlineStr">
        <is>
          <t>Gross yield — all revenue, including interchange</t>
        </is>
      </c>
      <c r="B22" s="16">
        <f>B12+B18</f>
        <v/>
      </c>
      <c r="C22" s="17">
        <f>C12+C18</f>
        <v/>
      </c>
      <c r="D22" s="16">
        <f>D12+D18</f>
        <v/>
      </c>
      <c r="E22" s="17">
        <f>E12+E18</f>
        <v/>
      </c>
      <c r="F22" s="16">
        <f>F12+F18</f>
        <v/>
      </c>
      <c r="G22" s="17">
        <f>G12+G18</f>
        <v/>
      </c>
      <c r="H22" s="16">
        <f>H12+H18</f>
        <v/>
      </c>
      <c r="I22" s="17">
        <f>I12+I18</f>
        <v/>
      </c>
      <c r="J22" s="18" t="inlineStr">
        <is>
          <t>Amount column: total revenue for the period (ties to Monthly Detail).</t>
        </is>
      </c>
    </row>
    <row r="23"/>
    <row r="24">
      <c r="A24" s="7" t="inlineStr">
        <is>
          <t>Loss on receivables — also a function of turnover</t>
        </is>
      </c>
      <c r="B24" s="8" t="n"/>
      <c r="C24" s="8" t="n"/>
      <c r="D24" s="8" t="n"/>
      <c r="E24" s="8" t="n"/>
      <c r="F24" s="8" t="n"/>
      <c r="G24" s="8" t="n"/>
      <c r="H24" s="8" t="n"/>
      <c r="I24" s="8" t="n"/>
      <c r="J24" s="8" t="n"/>
    </row>
    <row r="25" ht="34" customHeight="1">
      <c r="A25" t="inlineStr">
        <is>
          <t>Principal flow in period (purchase volume + pay-a-friend transfers)</t>
        </is>
      </c>
      <c r="B25" s="5">
        <f>'Monthly Detail'!H18</f>
        <v/>
      </c>
      <c r="D25" s="5">
        <f>'Monthly Detail'!I18</f>
        <v/>
      </c>
      <c r="F25" s="5">
        <f>'Monthly Detail'!J18</f>
        <v/>
      </c>
      <c r="H25" s="5">
        <f>'Monthly Detail'!K18</f>
        <v/>
      </c>
      <c r="J25" s="6" t="inlineStr">
        <is>
          <t>Everything that became a receivable in the month: Mastercard purchases net of returns plus pay-a-friend transfers (which earn no interchange). Calendar-month, same basis as average receivables.</t>
        </is>
      </c>
    </row>
    <row r="26" ht="34" customHeight="1">
      <c r="A26" t="inlineStr">
        <is>
          <t>Principal turnover (annualized principal flow ÷ average receivables)</t>
        </is>
      </c>
      <c r="C26" s="13">
        <f>B25*12/B$5/B$6</f>
        <v/>
      </c>
      <c r="E26" s="13">
        <f>D25*12/D$5/D$6</f>
        <v/>
      </c>
      <c r="G26" s="13">
        <f>F25*12/F$5/F$6</f>
        <v/>
      </c>
      <c r="I26" s="13">
        <f>H25*12/H$5/H$6</f>
        <v/>
      </c>
      <c r="J26" s="6" t="inlineStr">
        <is>
          <t>Each peso of receivables is re-lent several times a year, so a loss rate on originations must be multiplied by turnover to compare it with a yield on balances. Differs from purchase turnover only by pay-a-friend.</t>
        </is>
      </c>
    </row>
    <row r="27" ht="80" customHeight="1">
      <c r="A27" t="inlineStr">
        <is>
          <t>Loss rate on originated principal — ≥90 DPD, excluding first-payment defaults</t>
        </is>
      </c>
      <c r="C27" s="14">
        <f>loss_rate_xfpd</f>
        <v/>
      </c>
      <c r="E27" s="14">
        <f>loss_rate_xfpd</f>
        <v/>
      </c>
      <c r="G27" s="14">
        <f>loss_rate_xfpd</f>
        <v/>
      </c>
      <c r="I27" s="14">
        <f>loss_rate_xfpd</f>
        <v/>
      </c>
      <c r="J27" s="6" t="inlineStr">
        <is>
          <t>See the Loss Rate tab. Principal 90+ days past due ÷ originated principal on statements whose due date is ≥90 days old, vintages since January 2026, gross of recoveries; first-payment-default accounts (never made a payment; fraud/identity rather than credit) excluded from numerator and denominator. The same rate is applied to every period.</t>
        </is>
      </c>
    </row>
    <row r="28">
      <c r="A28" s="10" t="inlineStr">
        <is>
          <t>Loss on receivables (loss rate × principal turnover)</t>
        </is>
      </c>
      <c r="B28" s="10" t="n"/>
      <c r="C28" s="12">
        <f>C27*C26</f>
        <v/>
      </c>
      <c r="D28" s="10" t="n"/>
      <c r="E28" s="12">
        <f>E27*E26</f>
        <v/>
      </c>
      <c r="F28" s="10" t="n"/>
      <c r="G28" s="12">
        <f>G27*G26</f>
        <v/>
      </c>
      <c r="H28" s="10" t="n"/>
      <c r="I28" s="12">
        <f>I27*I26</f>
        <v/>
      </c>
    </row>
    <row r="29"/>
    <row r="30">
      <c r="A30" s="7" t="inlineStr">
        <is>
          <t>Net yield</t>
        </is>
      </c>
      <c r="B30" s="8" t="n"/>
      <c r="C30" s="8" t="n"/>
      <c r="D30" s="8" t="n"/>
      <c r="E30" s="8" t="n"/>
      <c r="F30" s="8" t="n"/>
      <c r="G30" s="8" t="n"/>
      <c r="H30" s="8" t="n"/>
      <c r="I30" s="8" t="n"/>
      <c r="J30" s="8" t="n"/>
    </row>
    <row r="31">
      <c r="A31" s="10" t="inlineStr">
        <is>
          <t>Net yield — all revenue less loss on receivables</t>
        </is>
      </c>
      <c r="B31" s="10" t="n"/>
      <c r="C31" s="12">
        <f>C22-C28</f>
        <v/>
      </c>
      <c r="D31" s="10" t="n"/>
      <c r="E31" s="12">
        <f>E22-E28</f>
        <v/>
      </c>
      <c r="F31" s="10" t="n"/>
      <c r="G31" s="12">
        <f>G22-G28</f>
        <v/>
      </c>
      <c r="H31" s="10" t="n"/>
      <c r="I31" s="12">
        <f>I22-I28</f>
        <v/>
      </c>
      <c r="J31" s="6" t="inlineStr">
        <is>
          <t>Before operating, servicing and funding costs.</t>
        </is>
      </c>
    </row>
    <row r="32"/>
    <row r="33">
      <c r="A33" s="7" t="inlineStr">
        <is>
          <t>Memo — USD equivalents</t>
        </is>
      </c>
      <c r="B33" s="8" t="n"/>
      <c r="C33" s="8" t="n"/>
      <c r="D33" s="8" t="n"/>
      <c r="E33" s="8" t="n"/>
      <c r="F33" s="8" t="n"/>
      <c r="G33" s="8" t="n"/>
      <c r="H33" s="8" t="n"/>
      <c r="I33" s="8" t="n"/>
      <c r="J33" s="8" t="n"/>
    </row>
    <row r="34">
      <c r="A34" t="inlineStr">
        <is>
          <t>PHP per USD</t>
        </is>
      </c>
      <c r="B34" s="19" t="n">
        <v>55.8</v>
      </c>
      <c r="D34" s="19" t="n">
        <v>55.8</v>
      </c>
      <c r="F34" s="19" t="n">
        <v>55.8</v>
      </c>
      <c r="H34" s="19" t="n">
        <v>55.8</v>
      </c>
    </row>
    <row r="35">
      <c r="A35" t="inlineStr">
        <is>
          <t>Average receivables outstanding (USD)</t>
        </is>
      </c>
      <c r="B35" s="5">
        <f>B6/B34</f>
        <v/>
      </c>
      <c r="D35" s="5">
        <f>D6/D34</f>
        <v/>
      </c>
      <c r="F35" s="5">
        <f>F6/F34</f>
        <v/>
      </c>
      <c r="H35" s="5">
        <f>H6/H34</f>
        <v/>
      </c>
    </row>
    <row r="36">
      <c r="A36" t="inlineStr">
        <is>
          <t>Total revenue (USD)</t>
        </is>
      </c>
      <c r="B36" s="5">
        <f>B22/B34</f>
        <v/>
      </c>
      <c r="D36" s="5">
        <f>D22/D34</f>
        <v/>
      </c>
      <c r="F36" s="5">
        <f>F22/F34</f>
        <v/>
      </c>
      <c r="H36" s="5">
        <f>H22/H34</f>
        <v/>
      </c>
    </row>
    <row r="37">
      <c r="A37" t="inlineStr">
        <is>
          <t>Principal flow (USD)</t>
        </is>
      </c>
      <c r="B37" s="5">
        <f>B25/B34</f>
        <v/>
      </c>
      <c r="D37" s="5">
        <f>D25/D34</f>
        <v/>
      </c>
      <c r="F37" s="5">
        <f>F25/F34</f>
        <v/>
      </c>
      <c r="H37" s="5">
        <f>H25/H34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 t="inlineStr">
        <is>
          <t>PHP. Revenue is recognised in the month billed (interest and fees) or settled (interchange). Yields are annualized simply: month ÷ average receivables × 12.</t>
        </is>
      </c>
    </row>
    <row r="3"/>
    <row r="4">
      <c r="A4" s="3" t="inlineStr">
        <is>
          <t>Line</t>
        </is>
      </c>
      <c r="B4" s="3" t="inlineStr">
        <is>
          <t>Jan 2026</t>
        </is>
      </c>
      <c r="C4" s="3" t="inlineStr">
        <is>
          <t>Feb 2026</t>
        </is>
      </c>
      <c r="D4" s="3" t="inlineStr">
        <is>
          <t>Mar 2026</t>
        </is>
      </c>
      <c r="E4" s="3" t="inlineStr">
        <is>
          <t>Apr 2026</t>
        </is>
      </c>
      <c r="F4" s="3" t="inlineStr">
        <is>
          <t>May 2026</t>
        </is>
      </c>
      <c r="G4" s="3" t="inlineStr">
        <is>
          <t>Jun 2026</t>
        </is>
      </c>
      <c r="H4" s="3" t="inlineStr">
        <is>
          <t>Jul 2026</t>
        </is>
      </c>
      <c r="I4" s="3" t="inlineStr">
        <is>
          <t>Aug 2026</t>
        </is>
      </c>
      <c r="J4" s="3" t="inlineStr">
        <is>
          <t>Sep 2026</t>
        </is>
      </c>
      <c r="K4" s="3" t="inlineStr">
        <is>
          <t>Jul–Sep 2026</t>
        </is>
      </c>
    </row>
    <row r="5">
      <c r="A5" t="inlineStr">
        <is>
          <t>Revolving interest</t>
        </is>
      </c>
      <c r="B5" s="5" t="n">
        <v>0</v>
      </c>
      <c r="C5" s="5" t="n">
        <v>0</v>
      </c>
      <c r="D5" s="5" t="n">
        <v>0</v>
      </c>
      <c r="E5" s="5" t="n">
        <v>0</v>
      </c>
      <c r="F5" s="5" t="n">
        <v>0</v>
      </c>
      <c r="G5" s="5" t="n">
        <v>685463.409999999</v>
      </c>
      <c r="H5" s="5" t="n">
        <v>1501634.9</v>
      </c>
      <c r="I5" s="5" t="n">
        <v>1951592.03</v>
      </c>
      <c r="J5" s="5" t="n">
        <v>2229680.03</v>
      </c>
      <c r="K5" s="5">
        <f>SUM(H5:J5)</f>
        <v/>
      </c>
    </row>
    <row r="6">
      <c r="A6" t="inlineStr">
        <is>
          <t>Installment interest</t>
        </is>
      </c>
      <c r="B6" s="5" t="n">
        <v>1316.21</v>
      </c>
      <c r="C6" s="5" t="n">
        <v>47765.48</v>
      </c>
      <c r="D6" s="5" t="n">
        <v>134016.53</v>
      </c>
      <c r="E6" s="5" t="n">
        <v>220070.96</v>
      </c>
      <c r="F6" s="5" t="n">
        <v>257582.01</v>
      </c>
      <c r="G6" s="5" t="n">
        <v>340853.06</v>
      </c>
      <c r="H6" s="5" t="n">
        <v>403236.04</v>
      </c>
      <c r="I6" s="5" t="n">
        <v>445213.13</v>
      </c>
      <c r="J6" s="5" t="n">
        <v>486325.05</v>
      </c>
      <c r="K6" s="5">
        <f>SUM(H6:J6)</f>
        <v/>
      </c>
    </row>
    <row r="7">
      <c r="A7" t="inlineStr">
        <is>
          <t>Installment upfront fees</t>
        </is>
      </c>
      <c r="B7" s="5" t="n">
        <v>2185.69</v>
      </c>
      <c r="C7" s="5" t="n">
        <v>146390.53</v>
      </c>
      <c r="D7" s="5" t="n">
        <v>291311.38</v>
      </c>
      <c r="E7" s="5" t="n">
        <v>307856.48</v>
      </c>
      <c r="F7" s="5" t="n">
        <v>320397.94</v>
      </c>
      <c r="G7" s="5" t="n">
        <v>337749.34</v>
      </c>
      <c r="H7" s="5" t="n">
        <v>290513.47</v>
      </c>
      <c r="I7" s="5" t="n">
        <v>341458.41</v>
      </c>
      <c r="J7" s="5" t="n">
        <v>439733.93</v>
      </c>
      <c r="K7" s="5">
        <f>SUM(H7:J7)</f>
        <v/>
      </c>
    </row>
    <row r="8">
      <c r="A8" t="inlineStr">
        <is>
          <t>Late payment fees</t>
        </is>
      </c>
      <c r="B8" s="5" t="n">
        <v>64707.62</v>
      </c>
      <c r="C8" s="5" t="n">
        <v>71011.07000000001</v>
      </c>
      <c r="D8" s="5" t="n">
        <v>104805.31</v>
      </c>
      <c r="E8" s="5" t="n">
        <v>138112.4</v>
      </c>
      <c r="F8" s="5" t="n">
        <v>139049.93</v>
      </c>
      <c r="G8" s="5" t="n">
        <v>84871.59</v>
      </c>
      <c r="H8" s="5" t="n">
        <v>89421.49000000001</v>
      </c>
      <c r="I8" s="5" t="n">
        <v>108174.67</v>
      </c>
      <c r="J8" s="5" t="n">
        <v>126426.4</v>
      </c>
      <c r="K8" s="5">
        <f>SUM(H8:J8)</f>
        <v/>
      </c>
    </row>
    <row r="9">
      <c r="A9" t="inlineStr">
        <is>
          <t>Interchange</t>
        </is>
      </c>
      <c r="B9" s="5" t="n">
        <v>800466.96</v>
      </c>
      <c r="C9" s="5" t="n">
        <v>864632.9299999999</v>
      </c>
      <c r="D9" s="5" t="n">
        <v>1364620.690445234</v>
      </c>
      <c r="E9" s="5" t="n">
        <v>1521533.27</v>
      </c>
      <c r="F9" s="5" t="n">
        <v>1545608.623867449</v>
      </c>
      <c r="G9" s="5" t="n">
        <v>1963194.1105</v>
      </c>
      <c r="H9" s="5" t="n">
        <v>1811444.7469</v>
      </c>
      <c r="I9" s="5" t="n">
        <v>1892210.135992006</v>
      </c>
      <c r="J9" s="5" t="n">
        <v>2630889.798</v>
      </c>
      <c r="K9" s="5">
        <f>SUM(H9:J9)</f>
        <v/>
      </c>
    </row>
    <row r="10">
      <c r="A10" s="10" t="inlineStr">
        <is>
          <t>Total revenue</t>
        </is>
      </c>
      <c r="B10" s="11">
        <f>SUM(B5:B9)</f>
        <v/>
      </c>
      <c r="C10" s="11">
        <f>SUM(C5:C9)</f>
        <v/>
      </c>
      <c r="D10" s="11">
        <f>SUM(D5:D9)</f>
        <v/>
      </c>
      <c r="E10" s="11">
        <f>SUM(E5:E9)</f>
        <v/>
      </c>
      <c r="F10" s="11">
        <f>SUM(F5:F9)</f>
        <v/>
      </c>
      <c r="G10" s="11">
        <f>SUM(G5:G9)</f>
        <v/>
      </c>
      <c r="H10" s="11">
        <f>SUM(H5:H9)</f>
        <v/>
      </c>
      <c r="I10" s="11">
        <f>SUM(I5:I9)</f>
        <v/>
      </c>
      <c r="J10" s="11">
        <f>SUM(J5:J9)</f>
        <v/>
      </c>
      <c r="K10" s="11">
        <f>SUM(K5:K9)</f>
        <v/>
      </c>
    </row>
    <row r="11"/>
    <row r="12">
      <c r="A12" s="7" t="inlineStr">
        <is>
          <t>Balances and volumes</t>
        </is>
      </c>
      <c r="B12" s="8" t="n"/>
      <c r="C12" s="8" t="n"/>
      <c r="D12" s="8" t="n"/>
      <c r="E12" s="8" t="n"/>
      <c r="F12" s="8" t="n"/>
      <c r="G12" s="8" t="n"/>
      <c r="H12" s="8" t="n"/>
      <c r="I12" s="8" t="n"/>
      <c r="J12" s="8" t="n"/>
      <c r="K12" s="8" t="n"/>
    </row>
    <row r="13">
      <c r="A13" t="inlineStr">
        <is>
          <t>Average receivables outstanding</t>
        </is>
      </c>
      <c r="B13" s="5" t="n">
        <v>60876935.09</v>
      </c>
      <c r="C13" s="5" t="n">
        <v>61287125.635</v>
      </c>
      <c r="D13" s="5" t="n">
        <v>78004357.58999999</v>
      </c>
      <c r="E13" s="5" t="n">
        <v>105226683.72</v>
      </c>
      <c r="F13" s="5" t="n">
        <v>126178365.54</v>
      </c>
      <c r="G13" s="5" t="n">
        <v>143946231.47</v>
      </c>
      <c r="H13" s="5" t="n">
        <v>158604610.965</v>
      </c>
      <c r="I13" s="5" t="n">
        <v>176625299.92</v>
      </c>
      <c r="J13" s="5" t="n">
        <v>211159156.895</v>
      </c>
      <c r="K13" s="5">
        <f>AVERAGE(H13:J13)</f>
        <v/>
      </c>
    </row>
    <row r="14">
      <c r="A14" t="inlineStr">
        <is>
          <t>Receivables outstanding, end of month</t>
        </is>
      </c>
      <c r="B14" s="5" t="n">
        <v>59172827.04</v>
      </c>
      <c r="C14" s="5" t="n">
        <v>63401424.23</v>
      </c>
      <c r="D14" s="5" t="n">
        <v>92607290.94999999</v>
      </c>
      <c r="E14" s="5" t="n">
        <v>117846076.49</v>
      </c>
      <c r="F14" s="5" t="n">
        <v>134510654.59</v>
      </c>
      <c r="G14" s="5" t="n">
        <v>153381808.35</v>
      </c>
      <c r="H14" s="5" t="n">
        <v>163827413.58</v>
      </c>
      <c r="I14" s="5" t="n">
        <v>189423186.26</v>
      </c>
      <c r="J14" s="5" t="n">
        <v>232895127.53</v>
      </c>
      <c r="K14" s="5">
        <f>J14</f>
        <v/>
      </c>
    </row>
    <row r="15">
      <c r="A15" t="inlineStr">
        <is>
          <t>Principal originated, statement-month basis (base on which the loss rate is measured)</t>
        </is>
      </c>
      <c r="B15" s="5" t="n">
        <v>69900973.84</v>
      </c>
      <c r="C15" s="5" t="n">
        <v>60820771.28</v>
      </c>
      <c r="D15" s="5" t="n">
        <v>89743205.59</v>
      </c>
      <c r="E15" s="5" t="n">
        <v>107115373.17</v>
      </c>
      <c r="F15" s="5" t="n">
        <v>118184976.17</v>
      </c>
      <c r="G15" s="5" t="n">
        <v>136417479.48</v>
      </c>
      <c r="H15" s="5" t="n">
        <v>140624271.71</v>
      </c>
      <c r="I15" s="5" t="n">
        <v>141888335.14</v>
      </c>
      <c r="J15" s="5" t="n">
        <v>160221212.53</v>
      </c>
      <c r="K15" s="5">
        <f>SUM(H15:J15)</f>
        <v/>
      </c>
    </row>
    <row r="16">
      <c r="A16" t="inlineStr">
        <is>
          <t>Purchase volume settled (Mastercard, net of returns)</t>
        </is>
      </c>
      <c r="B16" s="5" t="n">
        <v>59671645.156</v>
      </c>
      <c r="C16" s="5" t="n">
        <v>60642780.726</v>
      </c>
      <c r="D16" s="5" t="n">
        <v>95344566</v>
      </c>
      <c r="E16" s="5" t="n">
        <v>105947213.036</v>
      </c>
      <c r="F16" s="5" t="n">
        <v>110400244.168</v>
      </c>
      <c r="G16" s="5" t="n">
        <v>137145988.384</v>
      </c>
      <c r="H16" s="5" t="n">
        <v>127249656.88</v>
      </c>
      <c r="I16" s="5" t="n">
        <v>130388896.484</v>
      </c>
      <c r="J16" s="5" t="n">
        <v>190860991.79</v>
      </c>
      <c r="K16" s="5">
        <f>SUM(H16:J16)</f>
        <v/>
      </c>
    </row>
    <row r="17">
      <c r="A17" t="inlineStr">
        <is>
          <t>Pay-a-friend transfers (cardholder-to-cardholder, charged to the card; no interchange)</t>
        </is>
      </c>
      <c r="B17" s="5" t="n">
        <v>1060000</v>
      </c>
      <c r="C17" s="5" t="n">
        <v>980000</v>
      </c>
      <c r="D17" s="5" t="n">
        <v>1900000</v>
      </c>
      <c r="E17" s="5" t="n">
        <v>1190000</v>
      </c>
      <c r="F17" s="5" t="n">
        <v>2250000</v>
      </c>
      <c r="G17" s="5" t="n">
        <v>2040000</v>
      </c>
      <c r="H17" s="5" t="n">
        <v>2730000</v>
      </c>
      <c r="I17" s="5" t="n">
        <v>2970000</v>
      </c>
      <c r="J17" s="5" t="n">
        <v>2650000</v>
      </c>
      <c r="K17" s="5">
        <f>SUM(H17:J17)</f>
        <v/>
      </c>
    </row>
    <row r="18">
      <c r="A18" s="10" t="inlineStr">
        <is>
          <t>Principal flow (purchase volume + pay-a-friend) — calendar-month loss base</t>
        </is>
      </c>
      <c r="B18" s="5">
        <f>B16+B17</f>
        <v/>
      </c>
      <c r="C18" s="5">
        <f>C16+C17</f>
        <v/>
      </c>
      <c r="D18" s="5">
        <f>D16+D17</f>
        <v/>
      </c>
      <c r="E18" s="5">
        <f>E16+E17</f>
        <v/>
      </c>
      <c r="F18" s="5">
        <f>F16+F17</f>
        <v/>
      </c>
      <c r="G18" s="5">
        <f>G16+G17</f>
        <v/>
      </c>
      <c r="H18" s="5">
        <f>H16+H17</f>
        <v/>
      </c>
      <c r="I18" s="5">
        <f>I16+I17</f>
        <v/>
      </c>
      <c r="J18" s="5">
        <f>J16+J17</f>
        <v/>
      </c>
      <c r="K18" s="5">
        <f>K16+K17</f>
        <v/>
      </c>
    </row>
    <row r="19"/>
    <row r="20">
      <c r="A20" s="7" t="inlineStr">
        <is>
          <t>Annualized yields on average receivables</t>
        </is>
      </c>
      <c r="B20" s="8" t="n"/>
      <c r="C20" s="8" t="n"/>
      <c r="D20" s="8" t="n"/>
      <c r="E20" s="8" t="n"/>
      <c r="F20" s="8" t="n"/>
      <c r="G20" s="8" t="n"/>
      <c r="H20" s="8" t="n"/>
      <c r="I20" s="8" t="n"/>
      <c r="J20" s="8" t="n"/>
      <c r="K20" s="8" t="n"/>
    </row>
    <row r="21">
      <c r="A21" t="inlineStr">
        <is>
          <t>Months in period</t>
        </is>
      </c>
      <c r="B21" t="n">
        <v>1</v>
      </c>
      <c r="C21" t="n">
        <v>1</v>
      </c>
      <c r="D21" t="n">
        <v>1</v>
      </c>
      <c r="E21" t="n">
        <v>1</v>
      </c>
      <c r="F21" t="n">
        <v>1</v>
      </c>
      <c r="G21" t="n">
        <v>1</v>
      </c>
      <c r="H21" t="n">
        <v>1</v>
      </c>
      <c r="I21" t="n">
        <v>1</v>
      </c>
      <c r="J21" t="n">
        <v>1</v>
      </c>
      <c r="K21" t="n">
        <v>3</v>
      </c>
    </row>
    <row r="22">
      <c r="A22" t="inlineStr">
        <is>
          <t>Interest and fees (revolving + installment + late)</t>
        </is>
      </c>
      <c r="B22" s="9">
        <f>SUM(B5:B8)*12/B21/B13</f>
        <v/>
      </c>
      <c r="C22" s="9">
        <f>SUM(C5:C8)*12/C21/C13</f>
        <v/>
      </c>
      <c r="D22" s="9">
        <f>SUM(D5:D8)*12/D21/D13</f>
        <v/>
      </c>
      <c r="E22" s="9">
        <f>SUM(E5:E8)*12/E21/E13</f>
        <v/>
      </c>
      <c r="F22" s="9">
        <f>SUM(F5:F8)*12/F21/F13</f>
        <v/>
      </c>
      <c r="G22" s="9">
        <f>SUM(G5:G8)*12/G21/G13</f>
        <v/>
      </c>
      <c r="H22" s="9">
        <f>SUM(H5:H8)*12/H21/H13</f>
        <v/>
      </c>
      <c r="I22" s="9">
        <f>SUM(I5:I8)*12/I21/I13</f>
        <v/>
      </c>
      <c r="J22" s="9">
        <f>SUM(J5:J8)*12/J21/J13</f>
        <v/>
      </c>
      <c r="K22" s="9">
        <f>SUM(K5:K8)*12/K21/K13</f>
        <v/>
      </c>
    </row>
    <row r="23">
      <c r="A23" t="inlineStr">
        <is>
          <t>Interchange</t>
        </is>
      </c>
      <c r="B23" s="9">
        <f>B9*12/B21/B13</f>
        <v/>
      </c>
      <c r="C23" s="9">
        <f>C9*12/C21/C13</f>
        <v/>
      </c>
      <c r="D23" s="9">
        <f>D9*12/D21/D13</f>
        <v/>
      </c>
      <c r="E23" s="9">
        <f>E9*12/E21/E13</f>
        <v/>
      </c>
      <c r="F23" s="9">
        <f>F9*12/F21/F13</f>
        <v/>
      </c>
      <c r="G23" s="9">
        <f>G9*12/G21/G13</f>
        <v/>
      </c>
      <c r="H23" s="9">
        <f>H9*12/H21/H13</f>
        <v/>
      </c>
      <c r="I23" s="9">
        <f>I9*12/I21/I13</f>
        <v/>
      </c>
      <c r="J23" s="9">
        <f>J9*12/J21/J13</f>
        <v/>
      </c>
      <c r="K23" s="9">
        <f>K9*12/K21/K13</f>
        <v/>
      </c>
    </row>
    <row r="24">
      <c r="A24" s="10" t="inlineStr">
        <is>
          <t>Gross yield — all revenue</t>
        </is>
      </c>
      <c r="B24" s="12">
        <f>B10*12/B21/B13</f>
        <v/>
      </c>
      <c r="C24" s="12">
        <f>C10*12/C21/C13</f>
        <v/>
      </c>
      <c r="D24" s="12">
        <f>D10*12/D21/D13</f>
        <v/>
      </c>
      <c r="E24" s="12">
        <f>E10*12/E21/E13</f>
        <v/>
      </c>
      <c r="F24" s="12">
        <f>F10*12/F21/F13</f>
        <v/>
      </c>
      <c r="G24" s="12">
        <f>G10*12/G21/G13</f>
        <v/>
      </c>
      <c r="H24" s="12">
        <f>H10*12/H21/H13</f>
        <v/>
      </c>
      <c r="I24" s="12">
        <f>I10*12/I21/I13</f>
        <v/>
      </c>
      <c r="J24" s="12">
        <f>J10*12/J21/J13</f>
        <v/>
      </c>
      <c r="K24" s="12">
        <f>K10*12/K21/K13</f>
        <v/>
      </c>
    </row>
    <row r="25">
      <c r="A25" t="inlineStr">
        <is>
          <t>Principal turnover (annualized principal flow ÷ average receivables)</t>
        </is>
      </c>
      <c r="B25" s="13">
        <f>B18*12/B21/B13</f>
        <v/>
      </c>
      <c r="C25" s="13">
        <f>C18*12/C21/C13</f>
        <v/>
      </c>
      <c r="D25" s="13">
        <f>D18*12/D21/D13</f>
        <v/>
      </c>
      <c r="E25" s="13">
        <f>E18*12/E21/E13</f>
        <v/>
      </c>
      <c r="F25" s="13">
        <f>F18*12/F21/F13</f>
        <v/>
      </c>
      <c r="G25" s="13">
        <f>G18*12/G21/G13</f>
        <v/>
      </c>
      <c r="H25" s="13">
        <f>H18*12/H21/H13</f>
        <v/>
      </c>
      <c r="I25" s="13">
        <f>I18*12/I21/I13</f>
        <v/>
      </c>
      <c r="J25" s="13">
        <f>J18*12/J21/J13</f>
        <v/>
      </c>
      <c r="K25" s="13">
        <f>K18*12/K21/K13</f>
        <v/>
      </c>
    </row>
    <row r="26">
      <c r="A26" t="inlineStr">
        <is>
          <t>Purchase turnover (annualized purchase volume ÷ average receivables)</t>
        </is>
      </c>
      <c r="B26" s="13">
        <f>B16*12/B21/B13</f>
        <v/>
      </c>
      <c r="C26" s="13">
        <f>C16*12/C21/C13</f>
        <v/>
      </c>
      <c r="D26" s="13">
        <f>D16*12/D21/D13</f>
        <v/>
      </c>
      <c r="E26" s="13">
        <f>E16*12/E21/E13</f>
        <v/>
      </c>
      <c r="F26" s="13">
        <f>F16*12/F21/F13</f>
        <v/>
      </c>
      <c r="G26" s="13">
        <f>G16*12/G21/G13</f>
        <v/>
      </c>
      <c r="H26" s="13">
        <f>H16*12/H21/H13</f>
        <v/>
      </c>
      <c r="I26" s="13">
        <f>I16*12/I21/I13</f>
        <v/>
      </c>
      <c r="J26" s="13">
        <f>J16*12/J21/J13</f>
        <v/>
      </c>
      <c r="K26" s="13">
        <f>K16*12/K21/K13</f>
        <v/>
      </c>
    </row>
    <row r="27">
      <c r="A27" t="inlineStr">
        <is>
          <t>Interchange rate on purchase volume</t>
        </is>
      </c>
      <c r="B27" s="14">
        <f>B9/B16</f>
        <v/>
      </c>
      <c r="C27" s="14">
        <f>C9/C16</f>
        <v/>
      </c>
      <c r="D27" s="14">
        <f>D9/D16</f>
        <v/>
      </c>
      <c r="E27" s="14">
        <f>E9/E16</f>
        <v/>
      </c>
      <c r="F27" s="14">
        <f>F9/F16</f>
        <v/>
      </c>
      <c r="G27" s="14">
        <f>G9/G16</f>
        <v/>
      </c>
      <c r="H27" s="14">
        <f>H9/H16</f>
        <v/>
      </c>
      <c r="I27" s="14">
        <f>I9/I16</f>
        <v/>
      </c>
      <c r="J27" s="14">
        <f>J9/J16</f>
        <v/>
      </c>
      <c r="K27" s="14">
        <f>K9/K16</f>
        <v/>
      </c>
    </row>
    <row r="28"/>
    <row r="29">
      <c r="A29" s="2" t="inlineStr">
        <is>
          <t>Installment plans scaled from March 2026 and revolving interest was introduced with the June 2026 statement cycle, so July–September 2026 is the first quarter with every revenue line in place. Earlier months are shown for completeness.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showGridLines="0" workbookViewId="0">
      <selection activeCell="A1" sqref="A1"/>
    </sheetView>
  </sheetViews>
  <sheetFormatPr baseColWidth="8" defaultRowHeight="15"/>
  <cols>
    <col width="34" customWidth="1" min="1" max="1"/>
    <col width="14" customWidth="1" min="2" max="2"/>
    <col width="18" customWidth="1" min="3" max="3"/>
    <col width="22" customWidth="1" min="4" max="4"/>
    <col width="22" customWidth="1" min="5" max="5"/>
    <col width="18" customWidth="1" min="6" max="6"/>
    <col width="18" customWidth="1" min="7" max="7"/>
    <col width="20" customWidth="1" min="8" max="8"/>
  </cols>
  <sheetData>
    <row r="1">
      <c r="A1" s="1" t="inlineStr">
        <is>
          <t>Loss rate on originated principal — 90+ days past due, vintages since January 2026</t>
        </is>
      </c>
    </row>
    <row r="2">
      <c r="A2" s="2"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75" customHeight="1">
      <c r="A4" s="3" t="inlineStr">
        <is>
          <t>Origination month</t>
        </is>
      </c>
      <c r="B4" s="3" t="inlineStr">
        <is>
          <t>Accounts originating</t>
        </is>
      </c>
      <c r="C4" s="3" t="inlineStr">
        <is>
          <t>Principal originated</t>
        </is>
      </c>
      <c r="D4" s="3" t="inlineStr">
        <is>
          <t>Of which seasoned: due date ≥90 days ago, so old enough to be measured</t>
        </is>
      </c>
      <c r="E4" s="3" t="inlineStr">
        <is>
          <t>Excluded: principal 90+ DPD on first-payment-default accounts</t>
        </is>
      </c>
      <c r="F4" s="3" t="inlineStr">
        <is>
          <t>Denominator: seasoned principal excluding FPD accounts</t>
        </is>
      </c>
      <c r="G4" s="3" t="inlineStr">
        <is>
          <t>Numerator: principal 90+ DPD excluding FPD accounts</t>
        </is>
      </c>
      <c r="H4" s="3" t="inlineStr">
        <is>
          <t>Loss rate = numerator ÷ denominator</t>
        </is>
      </c>
    </row>
    <row r="5">
      <c r="A5" t="inlineStr">
        <is>
          <t>Jan 2026</t>
        </is>
      </c>
      <c r="B5" s="5" t="n">
        <v>3828</v>
      </c>
      <c r="C5" s="5" t="n">
        <v>69900973.84</v>
      </c>
      <c r="D5" s="5" t="n">
        <v>69900973.84</v>
      </c>
      <c r="E5" s="5" t="n">
        <v>195035.55</v>
      </c>
      <c r="F5" s="5" t="n">
        <v>69690793.31</v>
      </c>
      <c r="G5" s="5" t="n">
        <v>1577286.85</v>
      </c>
      <c r="H5" s="14">
        <f>IF(F5=0,"not yet seasoned",G5/F5)</f>
        <v/>
      </c>
    </row>
    <row r="6">
      <c r="A6" t="inlineStr">
        <is>
          <t>Feb 2026</t>
        </is>
      </c>
      <c r="B6" s="5" t="n">
        <v>4029</v>
      </c>
      <c r="C6" s="5" t="n">
        <v>60820771.28</v>
      </c>
      <c r="D6" s="5" t="n">
        <v>60820771.28</v>
      </c>
      <c r="E6" s="5" t="n">
        <v>31366.54</v>
      </c>
      <c r="F6" s="5" t="n">
        <v>60789404.74</v>
      </c>
      <c r="G6" s="5" t="n">
        <v>685527.14</v>
      </c>
      <c r="H6" s="14">
        <f>IF(F6=0,"not yet seasoned",G6/F6)</f>
        <v/>
      </c>
    </row>
    <row r="7">
      <c r="A7" t="inlineStr">
        <is>
          <t>Mar 2026</t>
        </is>
      </c>
      <c r="B7" s="5" t="n">
        <v>5113</v>
      </c>
      <c r="C7" s="5" t="n">
        <v>89743205.59</v>
      </c>
      <c r="D7" s="5" t="n">
        <v>89743205.59</v>
      </c>
      <c r="E7" s="5" t="n">
        <v>562712.45</v>
      </c>
      <c r="F7" s="5" t="n">
        <v>89089554.73999999</v>
      </c>
      <c r="G7" s="5" t="n">
        <v>1404938.62</v>
      </c>
      <c r="H7" s="14">
        <f>IF(F7=0,"not yet seasoned",G7/F7)</f>
        <v/>
      </c>
    </row>
    <row r="8">
      <c r="A8" t="inlineStr">
        <is>
          <t>Apr 2026</t>
        </is>
      </c>
      <c r="B8" s="5" t="n">
        <v>6505</v>
      </c>
      <c r="C8" s="5" t="n">
        <v>107115373.17</v>
      </c>
      <c r="D8" s="5" t="n">
        <v>107115373.17</v>
      </c>
      <c r="E8" s="5" t="n">
        <v>911016.11</v>
      </c>
      <c r="F8" s="5" t="n">
        <v>106123235.92</v>
      </c>
      <c r="G8" s="5" t="n">
        <v>1471002.56</v>
      </c>
      <c r="H8" s="14">
        <f>IF(F8=0,"not yet seasoned",G8/F8)</f>
        <v/>
      </c>
    </row>
    <row r="9">
      <c r="A9" t="inlineStr">
        <is>
          <t>May 2026</t>
        </is>
      </c>
      <c r="B9" s="5" t="n">
        <v>7564</v>
      </c>
      <c r="C9" s="5" t="n">
        <v>118184976.17</v>
      </c>
      <c r="D9" s="5" t="n">
        <v>118184976.17</v>
      </c>
      <c r="E9" s="5" t="n">
        <v>889165.96</v>
      </c>
      <c r="F9" s="5" t="n">
        <v>117226741.83</v>
      </c>
      <c r="G9" s="5" t="n">
        <v>1061583</v>
      </c>
      <c r="H9" s="14">
        <f>IF(F9=0,"not yet seasoned",G9/F9)</f>
        <v/>
      </c>
    </row>
    <row r="10">
      <c r="A10" t="inlineStr">
        <is>
          <t>Jun 2026</t>
        </is>
      </c>
      <c r="B10" s="5" t="n">
        <v>9024</v>
      </c>
      <c r="C10" s="5" t="n">
        <v>136417479.48</v>
      </c>
      <c r="D10" s="5" t="n">
        <v>136417479.48</v>
      </c>
      <c r="E10" s="5" t="n">
        <v>499873.5</v>
      </c>
      <c r="F10" s="5" t="n">
        <v>135917605.98</v>
      </c>
      <c r="G10" s="5" t="n">
        <v>459463.31</v>
      </c>
      <c r="H10" s="14">
        <f>IF(F10=0,"not yet seasoned",G10/F10)</f>
        <v/>
      </c>
    </row>
    <row r="11">
      <c r="A11" t="inlineStr">
        <is>
          <t>Jul 2026</t>
        </is>
      </c>
      <c r="B11" s="5" t="n">
        <v>11366</v>
      </c>
      <c r="C11" s="5" t="n">
        <v>140624271.71</v>
      </c>
      <c r="D11" s="5" t="n">
        <v>0</v>
      </c>
      <c r="E11" s="5" t="n">
        <v>29390.51</v>
      </c>
      <c r="F11" s="5" t="n">
        <v>0</v>
      </c>
      <c r="G11" s="5" t="n">
        <v>8828.190000000001</v>
      </c>
      <c r="H11" s="14">
        <f>IF(F11=0,"not yet seasoned",G11/F11)</f>
        <v/>
      </c>
    </row>
    <row r="12">
      <c r="A12" t="inlineStr">
        <is>
          <t>Aug 2026</t>
        </is>
      </c>
      <c r="B12" s="5" t="n">
        <v>12347</v>
      </c>
      <c r="C12" s="5" t="n">
        <v>141888335.14</v>
      </c>
      <c r="D12" s="5" t="n">
        <v>0</v>
      </c>
      <c r="E12" s="5" t="n">
        <v>0</v>
      </c>
      <c r="F12" s="5" t="n">
        <v>0</v>
      </c>
      <c r="G12" s="5" t="n">
        <v>0</v>
      </c>
      <c r="H12" s="14">
        <f>IF(F12=0,"not yet seasoned",G12/F12)</f>
        <v/>
      </c>
    </row>
    <row r="13">
      <c r="A13" t="inlineStr">
        <is>
          <t>Sep 2026</t>
        </is>
      </c>
      <c r="B13" s="5" t="n">
        <v>13196</v>
      </c>
      <c r="C13" s="5" t="n">
        <v>160221212.53</v>
      </c>
      <c r="D13" s="5" t="n">
        <v>0</v>
      </c>
      <c r="E13" s="5" t="n">
        <v>0</v>
      </c>
      <c r="F13" s="5" t="n">
        <v>0</v>
      </c>
      <c r="G13" s="5" t="n">
        <v>0</v>
      </c>
      <c r="H13" s="14">
        <f>IF(F13=0,"not yet seasoned",G13/F13)</f>
        <v/>
      </c>
    </row>
    <row r="14">
      <c r="A14" s="15" t="inlineStr">
        <is>
          <t>Since January 2026 (all vintages above)</t>
        </is>
      </c>
      <c r="B14" s="16">
        <f>SUM(B5:B13)</f>
        <v/>
      </c>
      <c r="C14" s="16">
        <f>SUM(C5:C13)</f>
        <v/>
      </c>
      <c r="D14" s="16">
        <f>SUM(D5:D13)</f>
        <v/>
      </c>
      <c r="E14" s="16">
        <f>SUM(E5:E13)</f>
        <v/>
      </c>
      <c r="F14" s="16">
        <f>SUM(F5:F13)</f>
        <v/>
      </c>
      <c r="G14" s="16">
        <f>SUM(G5:G13)</f>
        <v/>
      </c>
      <c r="H14" s="20">
        <f>G14/F14</f>
        <v/>
      </c>
    </row>
    <row r="15"/>
    <row r="16" ht="15" customHeight="1">
      <c r="A16" s="21" t="inlineStr">
        <is>
          <t>How to read this table</t>
        </is>
      </c>
    </row>
    <row r="17" ht="48" customHeight="1">
      <c r="A17" s="6"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8" ht="48" customHeight="1">
      <c r="A18" s="6"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is>
      </c>
    </row>
    <row r="19" ht="48" customHeight="1">
      <c r="A19" s="6" t="inlineStr">
        <is>
          <t>• First-payment defaults (FPD). An account whose first-ever statement was the one missed, i.e. a cardholder who never made a payment. These are fraud or identity cases rather than credit losses and are excluded from the loss rate; the principal excluded is shown in column E so the adjustment is visible. Receivables of this kind would ordinarily fall outside facility eligibility criteria. First-payment default is managed separately from credit underwriting: duplicate-applicant checks (exact name and date of birth, ID number) have been in place since 1 October 2026, and from the 24 October 2026 decisioning run every application is screened for bank account numbers shared with another applicant, repeated selfie or ID images, invite-name mismatches and past-due bureau tradelines, with business-owner limits set on half of declared income pending documents.</t>
        </is>
      </c>
    </row>
    <row r="20" ht="48" customHeight="1">
      <c r="A20" s="6" t="inlineStr">
        <is>
          <t>• Why January 2026. The current underwriting model (V2) was deployed in December 2025 and is the model that originates the portfolio today; earlier vintages were originated under the prior model.</t>
        </is>
      </c>
    </row>
    <row r="21"/>
    <row r="22">
      <c r="A22" s="7" t="inlineStr">
        <is>
          <t>Loss emergence — when a vintage's loss arrives (ex-FPD, same measure as the table above)</t>
        </is>
      </c>
      <c r="B22" s="8" t="n"/>
      <c r="C22" s="8" t="n"/>
      <c r="D22" s="8" t="n"/>
      <c r="E22" s="8" t="n"/>
      <c r="F22" s="8" t="n"/>
      <c r="G22" s="8" t="n"/>
      <c r="H22" s="8" t="n"/>
    </row>
    <row r="23" ht="32" customHeight="1">
      <c r="A23" s="3" t="inlineStr">
        <is>
          <t>Origination month</t>
        </is>
      </c>
      <c r="B23" s="3" t="inlineStr">
        <is>
          <t>By month 3 on book</t>
        </is>
      </c>
      <c r="C23" s="3" t="inlineStr">
        <is>
          <t>By month 4</t>
        </is>
      </c>
      <c r="D23" s="3" t="inlineStr">
        <is>
          <t>By month 5</t>
        </is>
      </c>
      <c r="E23" s="3" t="inlineStr">
        <is>
          <t>By month 6</t>
        </is>
      </c>
      <c r="F23" s="3" t="inlineStr">
        <is>
          <t>By month 8</t>
        </is>
      </c>
      <c r="G23" s="3" t="inlineStr">
        <is>
          <t>Today</t>
        </is>
      </c>
      <c r="H23" s="3" t="inlineStr">
        <is>
          <t>Months on book today</t>
        </is>
      </c>
    </row>
    <row r="24">
      <c r="A24" t="inlineStr">
        <is>
          <t>Jan 2026</t>
        </is>
      </c>
      <c r="B24" s="22" t="n">
        <v>0.00675</v>
      </c>
      <c r="C24" s="22" t="n">
        <v>0.02263</v>
      </c>
      <c r="D24" s="22" t="n">
        <v>0.02263</v>
      </c>
      <c r="E24" s="22" t="n">
        <v>0.02263</v>
      </c>
      <c r="F24" s="22" t="n">
        <v>0.02263</v>
      </c>
      <c r="G24" s="23" t="n">
        <v>0.02263</v>
      </c>
      <c r="H24" t="n">
        <v>9</v>
      </c>
    </row>
    <row r="25">
      <c r="A25" t="inlineStr">
        <is>
          <t>Feb 2026</t>
        </is>
      </c>
      <c r="B25" s="22" t="n">
        <v>0.00851</v>
      </c>
      <c r="C25" s="22" t="n">
        <v>0.01028</v>
      </c>
      <c r="D25" s="22" t="n">
        <v>0.01118</v>
      </c>
      <c r="E25" s="22" t="n">
        <v>0.01128</v>
      </c>
      <c r="F25" s="22" t="inlineStr">
        <is>
          <t>—</t>
        </is>
      </c>
      <c r="G25" s="23" t="n">
        <v>0.01128</v>
      </c>
      <c r="H25" t="n">
        <v>8</v>
      </c>
    </row>
    <row r="26">
      <c r="A26" t="inlineStr">
        <is>
          <t>Mar 2026</t>
        </is>
      </c>
      <c r="B26" s="22" t="n">
        <v>0.00455</v>
      </c>
      <c r="C26" s="22" t="n">
        <v>0.01469</v>
      </c>
      <c r="D26" s="22" t="n">
        <v>0.01577</v>
      </c>
      <c r="E26" s="22" t="n">
        <v>0.01577</v>
      </c>
      <c r="F26" s="22" t="inlineStr">
        <is>
          <t>—</t>
        </is>
      </c>
      <c r="G26" s="23" t="n">
        <v>0.01577</v>
      </c>
      <c r="H26" t="n">
        <v>7</v>
      </c>
    </row>
    <row r="27">
      <c r="A27" t="inlineStr">
        <is>
          <t>Apr 2026</t>
        </is>
      </c>
      <c r="B27" s="22" t="n">
        <v>0.00773</v>
      </c>
      <c r="C27" s="22" t="n">
        <v>0.01313</v>
      </c>
      <c r="D27" s="22" t="n">
        <v>0.01366</v>
      </c>
      <c r="E27" s="22" t="inlineStr">
        <is>
          <t>—</t>
        </is>
      </c>
      <c r="F27" s="22" t="inlineStr">
        <is>
          <t>—</t>
        </is>
      </c>
      <c r="G27" s="23" t="n">
        <v>0.01386</v>
      </c>
      <c r="H27" t="n">
        <v>6</v>
      </c>
    </row>
    <row r="28">
      <c r="A28" t="inlineStr">
        <is>
          <t>May 2026</t>
        </is>
      </c>
      <c r="B28" s="22" t="n">
        <v>0.00494</v>
      </c>
      <c r="C28" s="22" t="n">
        <v>0.00758</v>
      </c>
      <c r="D28" s="22" t="inlineStr">
        <is>
          <t>—</t>
        </is>
      </c>
      <c r="E28" s="22" t="inlineStr">
        <is>
          <t>—</t>
        </is>
      </c>
      <c r="F28" s="22" t="inlineStr">
        <is>
          <t>—</t>
        </is>
      </c>
      <c r="G28" s="23" t="n">
        <v>0.00906</v>
      </c>
      <c r="H28" t="n">
        <v>5</v>
      </c>
    </row>
    <row r="29">
      <c r="A29" t="inlineStr">
        <is>
          <t>Jun 2026</t>
        </is>
      </c>
      <c r="B29" s="22" t="n">
        <v>0.00215</v>
      </c>
      <c r="C29" s="22" t="inlineStr">
        <is>
          <t>—</t>
        </is>
      </c>
      <c r="D29" s="22" t="inlineStr">
        <is>
          <t>—</t>
        </is>
      </c>
      <c r="E29" s="22" t="inlineStr">
        <is>
          <t>—</t>
        </is>
      </c>
      <c r="F29" s="22" t="inlineStr">
        <is>
          <t>—</t>
        </is>
      </c>
      <c r="G29" s="23" t="n">
        <v>0.00338</v>
      </c>
      <c r="H29" t="n">
        <v>4</v>
      </c>
    </row>
    <row r="30" ht="15" customHeight="1">
      <c r="A30" s="21" t="inlineStr">
        <is>
          <t>How to read this table</t>
        </is>
      </c>
    </row>
    <row r="31" ht="44" customHeight="1">
      <c r="A31" s="6" t="inlineStr">
        <is>
          <t>• Each cell is the part of the vintage's loss rate (principal ≥90 DPD today ÷ seasoned principal, ex-FPD — the same measure as the table above) that comes from accounts which had reached 90 days past due by the end of month n after the origination month. 'Today' is the full current loss rate. Cells are blank where month n has not yet ended.</t>
        </is>
      </c>
    </row>
    <row r="32" ht="44" customHeight="1">
      <c r="A32" s="6" t="inlineStr">
        <is>
          <t>• The loss on a vintage is essentially complete by month 4 on book: January–March 2026 show no further movement from month 4 to month 6–8. Because cash is applied to the oldest balances first, an account that defaults later has already repaid its earlier months' purchases, so late defaults fall on later vintages rather than reopening old ones.</t>
        </is>
      </c>
    </row>
    <row r="33" ht="44" customHeight="1">
      <c r="A33" s="6" t="inlineStr">
        <is>
          <t>• Read across the 'Today' column for the trend in fully emerged vintages: 2.26% (Jan), 1.13% (Feb), 1.58% (Mar), 1.39% (Apr), 0.91% (May, at month 5 — effectively final). June is at month 4 with one month of emergence still to come.</t>
        </is>
      </c>
    </row>
  </sheetData>
  <mergeCells count="9">
    <mergeCell ref="A18:H18"/>
    <mergeCell ref="A30:H30"/>
    <mergeCell ref="A20:H20"/>
    <mergeCell ref="A16:H16"/>
    <mergeCell ref="A19:H19"/>
    <mergeCell ref="A33:H33"/>
    <mergeCell ref="A32:H32"/>
    <mergeCell ref="A31:H31"/>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3" t="inlineStr">
        <is>
          <t>Item</t>
        </is>
      </c>
      <c r="B3" s="3" t="inlineStr">
        <is>
          <t>Definition</t>
        </is>
      </c>
    </row>
    <row r="4" ht="75" customHeight="1">
      <c r="A4" s="24" t="inlineStr">
        <is>
          <t>Scope</t>
        </is>
      </c>
      <c r="B4" s="6" t="inlineStr">
        <is>
          <t>Zed's Philippine credit card receivables, all cardholders. Yield Summary covers July, August and September 2026 and the quarter together — the first quarter with every revenue line in place (installment plans scaled from March 2026; revolving interest introduced with the June 2026 cycle). Monthly Detail shows January–September 2026. All figures in PHP unless marked USD (converted at 55.8 for reference only).</t>
        </is>
      </c>
    </row>
    <row r="5" ht="60" customHeight="1">
      <c r="A5" s="24" t="inlineStr">
        <is>
          <t>Average receivables</t>
        </is>
      </c>
      <c r="B5" s="6" t="inlineStr">
        <is>
          <t>Monthly average of receivables outstanding (principal, interest and fees billed to cardholders, plus installment principal not yet billed). The July–September figure is the simple average of the three monthly averages, and yields for the quarter are revenue for the three months × 12 ÷ 3 ÷ that average.</t>
        </is>
      </c>
    </row>
    <row r="6" ht="30" customHeight="1">
      <c r="A6" s="24" t="inlineStr">
        <is>
          <t>Annualization</t>
        </is>
      </c>
      <c r="B6" s="6" t="inlineStr">
        <is>
          <t>Simple: monthly amount ÷ average receivables × 12. No compounding.</t>
        </is>
      </c>
    </row>
    <row r="7" ht="30" customHeight="1">
      <c r="A7" s="24" t="inlineStr">
        <is>
          <t>Revolving interest</t>
        </is>
      </c>
      <c r="B7" s="6" t="inlineStr">
        <is>
          <t>Finance charge billed on statements where the prior balance was not paid in full by the due date; 3% per month, the BSP ceiling. Launched with the statement cycle closing 30 June 2026.</t>
        </is>
      </c>
    </row>
    <row r="8" ht="30" customHeight="1">
      <c r="A8" s="24" t="inlineStr">
        <is>
          <t>Installment interest and upfront fees</t>
        </is>
      </c>
      <c r="B8" s="6" t="inlineStr">
        <is>
          <t>Interest of 1% per month billed on installment plan balances, and an upfront conversion fee of 0.5% per month of term billed when a purchase is converted to installments.</t>
        </is>
      </c>
    </row>
    <row r="9" ht="30" customHeight="1">
      <c r="A9" s="24" t="inlineStr">
        <is>
          <t>Late payment fees</t>
        </is>
      </c>
      <c r="B9" s="6" t="inlineStr">
        <is>
          <t>Fee billed when the minimum payment is not received by the due date.</t>
        </is>
      </c>
    </row>
    <row r="10" ht="90" customHeight="1">
      <c r="A10" s="24" t="inlineStr">
        <is>
          <t>Interchange</t>
        </is>
      </c>
      <c r="B10" s="6" t="inlineStr">
        <is>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average receivables) — the same construction as the loss line. Mastercard settles the merchant net of interchange and the cardholder is billed the full purchase amount, so the interchange margin is collected as part of the cardholder's payment.</t>
        </is>
      </c>
    </row>
    <row r="11" ht="45" customHeight="1">
      <c r="A11" s="24" t="inlineStr">
        <is>
          <t>Turnover</t>
        </is>
      </c>
      <c r="B11" s="6" t="inlineStr">
        <is>
          <t>Annualized flow ÷ average receivables. Purchase turnover uses Mastercard purchase volume (the interchange base); principal turnover uses principal flow (the loss base). They differ only by pay-a-friend transfers.</t>
        </is>
      </c>
    </row>
    <row r="12" ht="60" customHeight="1">
      <c r="A12" s="24" t="inlineStr">
        <is>
          <t>Principal flow</t>
        </is>
      </c>
      <c r="B12" s="6" t="inlineStr">
        <is>
          <t>Calendar-month flow of new receivables: Mastercard purchase volume net of returns plus pay-a-friend transfers (cardholder-to-cardholder transfers charged to the card, which earn no interchange). This is the loss base in the Yield Summary and is on the same calendar basis as average receivables.</t>
        </is>
      </c>
    </row>
    <row r="13" ht="90" customHeight="1">
      <c r="A13" s="24" t="inlineStr">
        <is>
          <t>Principal originated (Loss Rate tab)</t>
        </is>
      </c>
      <c r="B13" s="6" t="inlineStr">
        <is>
          <t>The same quantity measured by statement month: charges on statements closing in the month (cycles close on the 14th and the last day), net of refunds, chargebacks and cancelled installment-plan re-bookings. The loss rate is measured on this basis because delinquency is tracked by statement; a statement month covers roughly the second half of the prior calendar month and the first half of the current one, so individual months differ from the calendar flow by timing while the two agree over longer windows (Jan–Sep 2026: ₱1,025M vs ₱1,035M).</t>
        </is>
      </c>
    </row>
    <row r="14" ht="90" customHeight="1">
      <c r="A14" s="24" t="inlineStr">
        <is>
          <t>Loss rate</t>
        </is>
      </c>
      <c r="B14" s="6" t="inlineStr">
        <is>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is>
      </c>
    </row>
    <row r="15" ht="45" customHeight="1">
      <c r="A15" s="24" t="inlineStr">
        <is>
          <t>Loss on receivables</t>
        </is>
      </c>
      <c r="B15" s="6" t="inlineStr">
        <is>
          <t>Loss rate on originated principal × principal turnover (annualized originations ÷ average receivables). Expresses a loss on amounts lent as an annual charge against the receivables balance, on the same basis as the yields.</t>
        </is>
      </c>
    </row>
    <row r="16" ht="30" customHeight="1">
      <c r="A16" s="24" t="inlineStr">
        <is>
          <t>Net yield</t>
        </is>
      </c>
      <c r="B16" s="6" t="inlineStr">
        <is>
          <t>Gross yield less loss on receivables. Before operating costs, servicing, processing and network costs, funding costs, taxes and FX.</t>
        </is>
      </c>
    </row>
    <row r="17" ht="75" customHeight="1">
      <c r="A17" s="24" t="inlineStr">
        <is>
          <t>Sources</t>
        </is>
      </c>
      <c r="B17" s="6" t="inlineStr">
        <is>
          <t>Zed management reporting built from the i2c transaction and settlement extracts (revenue, receivables, purchase volume; as of 26 October 2026), the processor transaction feed (pay-a-friend transfers) and Zed's statement and delinquency data (originations, delinquency by origination month and delinquency history for the emergence table; as of 27 October 2026). September 2026 is the latest complete month.</t>
        </is>
      </c>
    </row>
    <row r="18" ht="30" customHeight="1">
      <c r="A18" s="24" t="inlineStr">
        <is>
          <t>Prepared</t>
        </is>
      </c>
      <c r="B18" s="6"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2026-10-28T06:10:41Z</dcterms:created>
  <dcterms:modified xmlns:dcterms="http://purl.org/dc/terms/" xmlns:xsi="http://www.w3.org/2001/XMLSchema-instance" xsi:type="dcterms:W3CDTF">2026-10-28T06:10:41Z</dcterms:modified>
</cp:coreProperties>
</file>