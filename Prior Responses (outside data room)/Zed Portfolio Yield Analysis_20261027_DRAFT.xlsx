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ield Summary" sheetId="1" state="visible" r:id="rId1"/>
    <sheet xmlns:r="http://schemas.openxmlformats.org/officeDocument/2006/relationships" name="Monthly Detail" sheetId="2" state="visible" r:id="rId2"/>
    <sheet xmlns:r="http://schemas.openxmlformats.org/officeDocument/2006/relationships" name="Loss Rate" sheetId="3" state="visible" r:id="rId3"/>
    <sheet xmlns:r="http://schemas.openxmlformats.org/officeDocument/2006/relationships" name="Notes" sheetId="4" state="visible" r:id="rId4"/>
  </sheets>
  <definedNames>
    <definedName name="loss_rate_xfpd">'Loss Rate'!$H$14</definedName>
  </definedNames>
  <calcPr calcId="124519" fullCalcOnLoad="1"/>
</workbook>
</file>

<file path=xl/styles.xml><?xml version="1.0" encoding="utf-8"?>
<styleSheet xmlns="http://schemas.openxmlformats.org/spreadsheetml/2006/main">
  <numFmts count="3">
    <numFmt numFmtId="164" formatCode="0.0%"/>
    <numFmt numFmtId="165" formatCode="0.0&quot;x&quot;"/>
    <numFmt numFmtId="166" formatCode="0.0"/>
  </numFmts>
  <fonts count="5">
    <font>
      <name val="Calibri"/>
      <family val="2"/>
      <color theme="1"/>
      <sz val="11"/>
      <scheme val="minor"/>
    </font>
    <font>
      <b val="1"/>
      <sz val="14"/>
    </font>
    <font>
      <i val="1"/>
      <color rgb="00555555"/>
    </font>
    <font>
      <b val="1"/>
      <color rgb="00FFFFFF"/>
    </font>
    <font>
      <b val="1"/>
    </font>
  </fonts>
  <fills count="5">
    <fill>
      <patternFill/>
    </fill>
    <fill>
      <patternFill patternType="gray125"/>
    </fill>
    <fill>
      <patternFill patternType="solid">
        <fgColor rgb="001F3A5F"/>
      </patternFill>
    </fill>
    <fill>
      <patternFill patternType="solid">
        <fgColor rgb="00E8EEF5"/>
      </patternFill>
    </fill>
    <fill>
      <patternFill patternType="solid">
        <fgColor rgb="00FFF4CC"/>
      </patternFill>
    </fill>
  </fills>
  <borders count="2">
    <border>
      <left/>
      <right/>
      <top/>
      <bottom/>
      <diagonal/>
    </border>
    <border>
      <top style="thin">
        <color rgb="00BBBBBB"/>
      </top>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1" fontId="0" fillId="0" borderId="0" pivotButton="0" quotePrefix="0" xfId="0"/>
    <xf numFmtId="3" fontId="0" fillId="0" borderId="0" pivotButton="0" quotePrefix="0" xfId="0"/>
    <xf numFmtId="0" fontId="0" fillId="0" borderId="0" applyAlignment="1" pivotButton="0" quotePrefix="0" xfId="0">
      <alignment vertical="top" wrapText="1"/>
    </xf>
    <xf numFmtId="0" fontId="4" fillId="3" borderId="0" pivotButton="0" quotePrefix="0" xfId="0"/>
    <xf numFmtId="0" fontId="0" fillId="3" borderId="0" pivotButton="0" quotePrefix="0" xfId="0"/>
    <xf numFmtId="164" fontId="0" fillId="0" borderId="0" pivotButton="0" quotePrefix="0" xfId="0"/>
    <xf numFmtId="0" fontId="4" fillId="0" borderId="0" pivotButton="0" quotePrefix="0" xfId="0"/>
    <xf numFmtId="3" fontId="4" fillId="0" borderId="0" pivotButton="0" quotePrefix="0" xfId="0"/>
    <xf numFmtId="164" fontId="4" fillId="0" borderId="0" pivotButton="0" quotePrefix="0" xfId="0"/>
    <xf numFmtId="165" fontId="0" fillId="0" borderId="0" pivotButton="0" quotePrefix="0" xfId="0"/>
    <xf numFmtId="10" fontId="0" fillId="0" borderId="0" pivotButton="0" quotePrefix="0" xfId="0"/>
    <xf numFmtId="0" fontId="4" fillId="0" borderId="1" pivotButton="0" quotePrefix="0" xfId="0"/>
    <xf numFmtId="3" fontId="4" fillId="0" borderId="1" pivotButton="0" quotePrefix="0" xfId="0"/>
    <xf numFmtId="164" fontId="4" fillId="0" borderId="1" pivotButton="0" quotePrefix="0" xfId="0"/>
    <xf numFmtId="0" fontId="0" fillId="0" borderId="1" applyAlignment="1" pivotButton="0" quotePrefix="0" xfId="0">
      <alignment vertical="top" wrapText="1"/>
    </xf>
    <xf numFmtId="166" fontId="0" fillId="0" borderId="0" pivotButton="0" quotePrefix="0" xfId="0"/>
    <xf numFmtId="10" fontId="4" fillId="4" borderId="1" pivotButton="0" quotePrefix="0" xfId="0"/>
    <xf numFmtId="0" fontId="4" fillId="0" borderId="0" applyAlignment="1" pivotButton="0" quotePrefix="0" xfId="0">
      <alignment vertical="top" wrapText="1"/>
    </xf>
    <xf numFmtId="0" fontId="4"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2" customWidth="1" min="3" max="3"/>
    <col width="15" customWidth="1" min="4" max="4"/>
    <col width="12" customWidth="1" min="5" max="5"/>
    <col width="15" customWidth="1" min="6" max="6"/>
    <col width="12" customWidth="1" min="7" max="7"/>
    <col width="15" customWidth="1" min="8" max="8"/>
    <col width="12" customWidth="1" min="9" max="9"/>
    <col width="66" customWidth="1" min="10" max="10"/>
  </cols>
  <sheetData>
    <row r="1">
      <c r="A1" s="1" t="inlineStr">
        <is>
          <t>Zed — Portfolio yield on receivables</t>
        </is>
      </c>
    </row>
    <row r="2">
      <c r="A2" s="2" t="inlineStr">
        <is>
          <t>Gross and net yield on average receivables outstanding, annualized. July, August and September 2026 and the quarter together. PHP; before operating, servicing and funding costs.</t>
        </is>
      </c>
    </row>
    <row r="3"/>
    <row r="4">
      <c r="A4" s="3" t="inlineStr"/>
      <c r="B4" s="3" t="inlineStr">
        <is>
          <t>Jul 2026</t>
        </is>
      </c>
      <c r="C4" s="3" t="inlineStr">
        <is>
          <t>Annualized</t>
        </is>
      </c>
      <c r="D4" s="3" t="inlineStr">
        <is>
          <t>Aug 2026</t>
        </is>
      </c>
      <c r="E4" s="3" t="inlineStr">
        <is>
          <t>Annualized</t>
        </is>
      </c>
      <c r="F4" s="3" t="inlineStr">
        <is>
          <t>Sep 2026</t>
        </is>
      </c>
      <c r="G4" s="3" t="inlineStr">
        <is>
          <t>Annualized</t>
        </is>
      </c>
      <c r="H4" s="3" t="inlineStr">
        <is>
          <t>Jul–Sep 2026</t>
        </is>
      </c>
      <c r="I4" s="3" t="inlineStr">
        <is>
          <t>Annualized</t>
        </is>
      </c>
      <c r="J4" s="3" t="inlineStr">
        <is>
          <t>Notes</t>
        </is>
      </c>
    </row>
    <row r="5">
      <c r="A5" t="inlineStr">
        <is>
          <t>Months in period</t>
        </is>
      </c>
      <c r="B5" s="4" t="n">
        <v>1</v>
      </c>
      <c r="D5" s="4" t="n">
        <v>1</v>
      </c>
      <c r="F5" s="4" t="n">
        <v>1</v>
      </c>
      <c r="H5" s="4" t="n">
        <v>3</v>
      </c>
    </row>
    <row r="6" ht="34" customHeight="1">
      <c r="A6" t="inlineStr">
        <is>
          <t>Average receivables outstanding</t>
        </is>
      </c>
      <c r="B6" s="5">
        <f>'Monthly Detail'!H13</f>
        <v/>
      </c>
      <c r="D6" s="5">
        <f>'Monthly Detail'!I13</f>
        <v/>
      </c>
      <c r="F6" s="5">
        <f>'Monthly Detail'!J13</f>
        <v/>
      </c>
      <c r="H6" s="5">
        <f>'Monthly Detail'!K13</f>
        <v/>
      </c>
      <c r="J6" s="6" t="inlineStr">
        <is>
          <t>Monthly average of daily receivables; the quarter is the average of the three monthly averages.</t>
        </is>
      </c>
    </row>
    <row r="7">
      <c r="A7" s="7" t="inlineStr">
        <is>
          <t>Interest and fees — earned on balances</t>
        </is>
      </c>
      <c r="B7" s="8" t="n"/>
      <c r="C7" s="8" t="n"/>
      <c r="D7" s="8" t="n"/>
      <c r="E7" s="8" t="n"/>
      <c r="F7" s="8" t="n"/>
      <c r="G7" s="8" t="n"/>
      <c r="H7" s="8" t="n"/>
      <c r="I7" s="8" t="n"/>
      <c r="J7" s="8" t="n"/>
    </row>
    <row r="8" ht="34" customHeight="1">
      <c r="A8" t="inlineStr">
        <is>
          <t>Revolving interest</t>
        </is>
      </c>
      <c r="B8" s="5">
        <f>'Monthly Detail'!H5</f>
        <v/>
      </c>
      <c r="C8" s="9">
        <f>B8*12/B$5/B$6</f>
        <v/>
      </c>
      <c r="D8" s="5">
        <f>'Monthly Detail'!I5</f>
        <v/>
      </c>
      <c r="E8" s="9">
        <f>D8*12/D$5/D$6</f>
        <v/>
      </c>
      <c r="F8" s="5">
        <f>'Monthly Detail'!J5</f>
        <v/>
      </c>
      <c r="G8" s="9">
        <f>F8*12/F$5/F$6</f>
        <v/>
      </c>
      <c r="H8" s="5">
        <f>'Monthly Detail'!K5</f>
        <v/>
      </c>
      <c r="I8" s="9">
        <f>H8*12/H$5/H$6</f>
        <v/>
      </c>
      <c r="J8" s="6" t="inlineStr">
        <is>
          <t>3% per month on revolving balances (BSP cap). Introduced with the June 2026 statement cycle.</t>
        </is>
      </c>
    </row>
    <row r="9">
      <c r="A9" t="inlineStr">
        <is>
          <t>Installment interest</t>
        </is>
      </c>
      <c r="B9" s="5">
        <f>'Monthly Detail'!H6</f>
        <v/>
      </c>
      <c r="C9" s="9">
        <f>B9*12/B$5/B$6</f>
        <v/>
      </c>
      <c r="D9" s="5">
        <f>'Monthly Detail'!I6</f>
        <v/>
      </c>
      <c r="E9" s="9">
        <f>D9*12/D$5/D$6</f>
        <v/>
      </c>
      <c r="F9" s="5">
        <f>'Monthly Detail'!J6</f>
        <v/>
      </c>
      <c r="G9" s="9">
        <f>F9*12/F$5/F$6</f>
        <v/>
      </c>
      <c r="H9" s="5">
        <f>'Monthly Detail'!K6</f>
        <v/>
      </c>
      <c r="I9" s="9">
        <f>H9*12/H$5/H$6</f>
        <v/>
      </c>
      <c r="J9" s="6" t="inlineStr">
        <is>
          <t>1% per month on installment balances.</t>
        </is>
      </c>
    </row>
    <row r="10">
      <c r="A10" t="inlineStr">
        <is>
          <t>Installment upfront fees</t>
        </is>
      </c>
      <c r="B10" s="5">
        <f>'Monthly Detail'!H7</f>
        <v/>
      </c>
      <c r="C10" s="9">
        <f>B10*12/B$5/B$6</f>
        <v/>
      </c>
      <c r="D10" s="5">
        <f>'Monthly Detail'!I7</f>
        <v/>
      </c>
      <c r="E10" s="9">
        <f>D10*12/D$5/D$6</f>
        <v/>
      </c>
      <c r="F10" s="5">
        <f>'Monthly Detail'!J7</f>
        <v/>
      </c>
      <c r="G10" s="9">
        <f>F10*12/F$5/F$6</f>
        <v/>
      </c>
      <c r="H10" s="5">
        <f>'Monthly Detail'!K7</f>
        <v/>
      </c>
      <c r="I10" s="9">
        <f>H10*12/H$5/H$6</f>
        <v/>
      </c>
      <c r="J10" s="6" t="inlineStr">
        <is>
          <t>0.5% × term in months, billed at conversion.</t>
        </is>
      </c>
    </row>
    <row r="11">
      <c r="A11" t="inlineStr">
        <is>
          <t>Late payment fees</t>
        </is>
      </c>
      <c r="B11" s="5">
        <f>'Monthly Detail'!H8</f>
        <v/>
      </c>
      <c r="C11" s="9">
        <f>B11*12/B$5/B$6</f>
        <v/>
      </c>
      <c r="D11" s="5">
        <f>'Monthly Detail'!I8</f>
        <v/>
      </c>
      <c r="E11" s="9">
        <f>D11*12/D$5/D$6</f>
        <v/>
      </c>
      <c r="F11" s="5">
        <f>'Monthly Detail'!J8</f>
        <v/>
      </c>
      <c r="G11" s="9">
        <f>F11*12/F$5/F$6</f>
        <v/>
      </c>
      <c r="H11" s="5">
        <f>'Monthly Detail'!K8</f>
        <v/>
      </c>
      <c r="I11" s="9">
        <f>H11*12/H$5/H$6</f>
        <v/>
      </c>
    </row>
    <row r="12">
      <c r="A12" s="10" t="inlineStr">
        <is>
          <t>Interest and fees</t>
        </is>
      </c>
      <c r="B12" s="11">
        <f>SUM(B8:B11)</f>
        <v/>
      </c>
      <c r="C12" s="12">
        <f>B12*12/B$5/B$6</f>
        <v/>
      </c>
      <c r="D12" s="11">
        <f>SUM(D8:D11)</f>
        <v/>
      </c>
      <c r="E12" s="12">
        <f>D12*12/D$5/D$6</f>
        <v/>
      </c>
      <c r="F12" s="11">
        <f>SUM(F8:F11)</f>
        <v/>
      </c>
      <c r="G12" s="12">
        <f>F12*12/F$5/F$6</f>
        <v/>
      </c>
      <c r="H12" s="11">
        <f>SUM(H8:H11)</f>
        <v/>
      </c>
      <c r="I12" s="12">
        <f>H12*12/H$5/H$6</f>
        <v/>
      </c>
    </row>
    <row r="13"/>
    <row r="14">
      <c r="A14" s="7" t="inlineStr">
        <is>
          <t>Interchange — earned on purchases, so a function of turnover</t>
        </is>
      </c>
      <c r="B14" s="8" t="n"/>
      <c r="C14" s="8" t="n"/>
      <c r="D14" s="8" t="n"/>
      <c r="E14" s="8" t="n"/>
      <c r="F14" s="8" t="n"/>
      <c r="G14" s="8" t="n"/>
      <c r="H14" s="8" t="n"/>
      <c r="I14" s="8" t="n"/>
      <c r="J14" s="8" t="n"/>
    </row>
    <row r="15" ht="34" customHeight="1">
      <c r="A15" t="inlineStr">
        <is>
          <t>Purchase volume settled</t>
        </is>
      </c>
      <c r="B15" s="5">
        <f>'Monthly Detail'!H16</f>
        <v/>
      </c>
      <c r="D15" s="5">
        <f>'Monthly Detail'!I16</f>
        <v/>
      </c>
      <c r="F15" s="5">
        <f>'Monthly Detail'!J16</f>
        <v/>
      </c>
      <c r="H15" s="5">
        <f>'Monthly Detail'!K16</f>
        <v/>
      </c>
      <c r="J15" s="6" t="inlineStr">
        <is>
          <t>Cardholder purchases settled through Mastercard, net of returns.</t>
        </is>
      </c>
    </row>
    <row r="16" ht="34" customHeight="1">
      <c r="A16" t="inlineStr">
        <is>
          <t>Purchase turnover (annualized purchase volume ÷ average receivables)</t>
        </is>
      </c>
      <c r="C16" s="13">
        <f>B15*12/B$5/B$6</f>
        <v/>
      </c>
      <c r="E16" s="13">
        <f>D15*12/D$5/D$6</f>
        <v/>
      </c>
      <c r="G16" s="13">
        <f>F15*12/F$5/F$6</f>
        <v/>
      </c>
      <c r="I16" s="13">
        <f>H15*12/H$5/H$6</f>
        <v/>
      </c>
      <c r="J16" s="6" t="inlineStr">
        <is>
          <t>How many times a year the book is re-spent. Falls as more of the book revolves.</t>
        </is>
      </c>
    </row>
    <row r="17" ht="34" customHeight="1">
      <c r="A17" t="inlineStr">
        <is>
          <t>Interchange rate on purchase volume</t>
        </is>
      </c>
      <c r="C17" s="14">
        <f>B18/B15</f>
        <v/>
      </c>
      <c r="E17" s="14">
        <f>D18/D15</f>
        <v/>
      </c>
      <c r="G17" s="14">
        <f>F18/F15</f>
        <v/>
      </c>
      <c r="I17" s="14">
        <f>H18/H15</f>
        <v/>
      </c>
      <c r="J17" s="6" t="inlineStr">
        <is>
          <t>Set by Mastercard by merchant category and domestic/foreign; gross of network and processing costs.</t>
        </is>
      </c>
    </row>
    <row r="18" ht="80" customHeight="1">
      <c r="A18" s="10" t="inlineStr">
        <is>
          <t>Interchange income</t>
        </is>
      </c>
      <c r="B18" s="11">
        <f>'Monthly Detail'!H9</f>
        <v/>
      </c>
      <c r="C18" s="12">
        <f>C17*C16</f>
        <v/>
      </c>
      <c r="D18" s="11">
        <f>'Monthly Detail'!I9</f>
        <v/>
      </c>
      <c r="E18" s="12">
        <f>E17*E16</f>
        <v/>
      </c>
      <c r="F18" s="11">
        <f>'Monthly Detail'!J9</f>
        <v/>
      </c>
      <c r="G18" s="12">
        <f>G17*G16</f>
        <v/>
      </c>
      <c r="H18" s="11">
        <f>'Monthly Detail'!K9</f>
        <v/>
      </c>
      <c r="I18" s="12">
        <f>I17*I16</f>
        <v/>
      </c>
      <c r="J18" s="6" t="inlineStr">
        <is>
          <t>Yield on receivables = interchange rate × purchase turnover. Mastercard settles each purchase to the merchant net of interchange and the cardholder is billed the full amount, so interchange is collected through cardholder payments. It is earned once, when the receivable is created; a balance that then revolves earns interest, not further interchange.</t>
        </is>
      </c>
    </row>
    <row r="19"/>
    <row r="20">
      <c r="A20" s="7" t="inlineStr">
        <is>
          <t>Gross yield (annualized, on average receivables)</t>
        </is>
      </c>
      <c r="B20" s="8" t="n"/>
      <c r="C20" s="8" t="n"/>
      <c r="D20" s="8" t="n"/>
      <c r="E20" s="8" t="n"/>
      <c r="F20" s="8" t="n"/>
      <c r="G20" s="8" t="n"/>
      <c r="H20" s="8" t="n"/>
      <c r="I20" s="8" t="n"/>
      <c r="J20" s="8" t="n"/>
    </row>
    <row r="21">
      <c r="A21" t="inlineStr">
        <is>
          <t>Gross yield — interest and fees</t>
        </is>
      </c>
      <c r="C21" s="9">
        <f>C12</f>
        <v/>
      </c>
      <c r="E21" s="9">
        <f>E12</f>
        <v/>
      </c>
      <c r="G21" s="9">
        <f>G12</f>
        <v/>
      </c>
      <c r="I21" s="9">
        <f>I12</f>
        <v/>
      </c>
    </row>
    <row r="22" ht="34" customHeight="1">
      <c r="A22" s="15" t="inlineStr">
        <is>
          <t>Gross yield — all revenue, including interchange</t>
        </is>
      </c>
      <c r="B22" s="16">
        <f>B12+B18</f>
        <v/>
      </c>
      <c r="C22" s="17">
        <f>C12+C18</f>
        <v/>
      </c>
      <c r="D22" s="16">
        <f>D12+D18</f>
        <v/>
      </c>
      <c r="E22" s="17">
        <f>E12+E18</f>
        <v/>
      </c>
      <c r="F22" s="16">
        <f>F12+F18</f>
        <v/>
      </c>
      <c r="G22" s="17">
        <f>G12+G18</f>
        <v/>
      </c>
      <c r="H22" s="16">
        <f>H12+H18</f>
        <v/>
      </c>
      <c r="I22" s="17">
        <f>I12+I18</f>
        <v/>
      </c>
      <c r="J22" s="18" t="inlineStr">
        <is>
          <t>Amount column: total revenue for the period (ties to Monthly Detail).</t>
        </is>
      </c>
    </row>
    <row r="23"/>
    <row r="24">
      <c r="A24" s="7" t="inlineStr">
        <is>
          <t>Loss on receivables — also a function of turnover</t>
        </is>
      </c>
      <c r="B24" s="8" t="n"/>
      <c r="C24" s="8" t="n"/>
      <c r="D24" s="8" t="n"/>
      <c r="E24" s="8" t="n"/>
      <c r="F24" s="8" t="n"/>
      <c r="G24" s="8" t="n"/>
      <c r="H24" s="8" t="n"/>
      <c r="I24" s="8" t="n"/>
      <c r="J24" s="8" t="n"/>
    </row>
    <row r="25" ht="34" customHeight="1">
      <c r="A25" t="inlineStr">
        <is>
          <t>Principal flow in period (purchase volume + pay-a-friend transfers)</t>
        </is>
      </c>
      <c r="B25" s="5">
        <f>'Monthly Detail'!H18</f>
        <v/>
      </c>
      <c r="D25" s="5">
        <f>'Monthly Detail'!I18</f>
        <v/>
      </c>
      <c r="F25" s="5">
        <f>'Monthly Detail'!J18</f>
        <v/>
      </c>
      <c r="H25" s="5">
        <f>'Monthly Detail'!K18</f>
        <v/>
      </c>
      <c r="J25" s="6" t="inlineStr">
        <is>
          <t>Everything that became a receivable in the month: Mastercard purchases net of returns plus pay-a-friend transfers (which earn no interchange). Calendar-month, same basis as average receivables.</t>
        </is>
      </c>
    </row>
    <row r="26" ht="34" customHeight="1">
      <c r="A26" t="inlineStr">
        <is>
          <t>Principal turnover (annualized principal flow ÷ average receivables)</t>
        </is>
      </c>
      <c r="C26" s="13">
        <f>B25*12/B$5/B$6</f>
        <v/>
      </c>
      <c r="E26" s="13">
        <f>D25*12/D$5/D$6</f>
        <v/>
      </c>
      <c r="G26" s="13">
        <f>F25*12/F$5/F$6</f>
        <v/>
      </c>
      <c r="I26" s="13">
        <f>H25*12/H$5/H$6</f>
        <v/>
      </c>
      <c r="J26" s="6" t="inlineStr">
        <is>
          <t>Each peso of receivables is re-lent several times a year, so a loss rate on originations must be multiplied by turnover to compare it with a yield on balances. Differs from purchase turnover only by pay-a-friend.</t>
        </is>
      </c>
    </row>
    <row r="27" ht="80" customHeight="1">
      <c r="A27" t="inlineStr">
        <is>
          <t>Loss rate on originated principal — ≥90 DPD, excluding first-payment defaults</t>
        </is>
      </c>
      <c r="C27" s="14">
        <f>loss_rate_xfpd</f>
        <v/>
      </c>
      <c r="E27" s="14">
        <f>loss_rate_xfpd</f>
        <v/>
      </c>
      <c r="G27" s="14">
        <f>loss_rate_xfpd</f>
        <v/>
      </c>
      <c r="I27" s="14">
        <f>loss_rate_xfpd</f>
        <v/>
      </c>
      <c r="J27" s="6" t="inlineStr">
        <is>
          <t>See the Loss Rate tab. Principal 90+ days past due ÷ originated principal on statements whose due date is ≥90 days old, vintages since January 2026, gross of recoveries; first-payment-default accounts (never made a payment; fraud/identity rather than credit) excluded from numerator and denominator. The same rate is applied to every period.</t>
        </is>
      </c>
    </row>
    <row r="28">
      <c r="A28" s="10" t="inlineStr">
        <is>
          <t>Loss on receivables (loss rate × principal turnover)</t>
        </is>
      </c>
      <c r="B28" s="10" t="n"/>
      <c r="C28" s="12">
        <f>C27*C26</f>
        <v/>
      </c>
      <c r="D28" s="10" t="n"/>
      <c r="E28" s="12">
        <f>E27*E26</f>
        <v/>
      </c>
      <c r="F28" s="10" t="n"/>
      <c r="G28" s="12">
        <f>G27*G26</f>
        <v/>
      </c>
      <c r="H28" s="10" t="n"/>
      <c r="I28" s="12">
        <f>I27*I26</f>
        <v/>
      </c>
    </row>
    <row r="29"/>
    <row r="30">
      <c r="A30" s="7" t="inlineStr">
        <is>
          <t>Net yield</t>
        </is>
      </c>
      <c r="B30" s="8" t="n"/>
      <c r="C30" s="8" t="n"/>
      <c r="D30" s="8" t="n"/>
      <c r="E30" s="8" t="n"/>
      <c r="F30" s="8" t="n"/>
      <c r="G30" s="8" t="n"/>
      <c r="H30" s="8" t="n"/>
      <c r="I30" s="8" t="n"/>
      <c r="J30" s="8" t="n"/>
    </row>
    <row r="31">
      <c r="A31" s="10" t="inlineStr">
        <is>
          <t>Net yield — all revenue less loss on receivables</t>
        </is>
      </c>
      <c r="B31" s="10" t="n"/>
      <c r="C31" s="12">
        <f>C22-C28</f>
        <v/>
      </c>
      <c r="D31" s="10" t="n"/>
      <c r="E31" s="12">
        <f>E22-E28</f>
        <v/>
      </c>
      <c r="F31" s="10" t="n"/>
      <c r="G31" s="12">
        <f>G22-G28</f>
        <v/>
      </c>
      <c r="H31" s="10" t="n"/>
      <c r="I31" s="12">
        <f>I22-I28</f>
        <v/>
      </c>
      <c r="J31" s="6" t="inlineStr">
        <is>
          <t>Before operating, servicing and funding costs.</t>
        </is>
      </c>
    </row>
    <row r="32"/>
    <row r="33">
      <c r="A33" s="7" t="inlineStr">
        <is>
          <t>Memo — USD equivalents</t>
        </is>
      </c>
      <c r="B33" s="8" t="n"/>
      <c r="C33" s="8" t="n"/>
      <c r="D33" s="8" t="n"/>
      <c r="E33" s="8" t="n"/>
      <c r="F33" s="8" t="n"/>
      <c r="G33" s="8" t="n"/>
      <c r="H33" s="8" t="n"/>
      <c r="I33" s="8" t="n"/>
      <c r="J33" s="8" t="n"/>
    </row>
    <row r="34">
      <c r="A34" t="inlineStr">
        <is>
          <t>PHP per USD</t>
        </is>
      </c>
      <c r="B34" s="19" t="n">
        <v>55.8</v>
      </c>
      <c r="D34" s="19" t="n">
        <v>55.8</v>
      </c>
      <c r="F34" s="19" t="n">
        <v>55.8</v>
      </c>
      <c r="H34" s="19" t="n">
        <v>55.8</v>
      </c>
    </row>
    <row r="35">
      <c r="A35" t="inlineStr">
        <is>
          <t>Average receivables outstanding (USD)</t>
        </is>
      </c>
      <c r="B35" s="5">
        <f>B6/B34</f>
        <v/>
      </c>
      <c r="D35" s="5">
        <f>D6/D34</f>
        <v/>
      </c>
      <c r="F35" s="5">
        <f>F6/F34</f>
        <v/>
      </c>
      <c r="H35" s="5">
        <f>H6/H34</f>
        <v/>
      </c>
    </row>
    <row r="36">
      <c r="A36" t="inlineStr">
        <is>
          <t>Total revenue (USD)</t>
        </is>
      </c>
      <c r="B36" s="5">
        <f>B22/B34</f>
        <v/>
      </c>
      <c r="D36" s="5">
        <f>D22/D34</f>
        <v/>
      </c>
      <c r="F36" s="5">
        <f>F22/F34</f>
        <v/>
      </c>
      <c r="H36" s="5">
        <f>H22/H34</f>
        <v/>
      </c>
    </row>
    <row r="37">
      <c r="A37" t="inlineStr">
        <is>
          <t>Principal flow (USD)</t>
        </is>
      </c>
      <c r="B37" s="5">
        <f>B25/B34</f>
        <v/>
      </c>
      <c r="D37" s="5">
        <f>D25/D34</f>
        <v/>
      </c>
      <c r="F37" s="5">
        <f>F25/F34</f>
        <v/>
      </c>
      <c r="H37" s="5">
        <f>H25/H34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s>
  <sheetData>
    <row r="1">
      <c r="A1" s="1" t="inlineStr">
        <is>
          <t>Monthly revenue, receivables and originations — January to September 2026</t>
        </is>
      </c>
    </row>
    <row r="2">
      <c r="A2" s="2" t="inlineStr">
        <is>
          <t>PHP. Revenue is recognised in the month billed (interest and fees) or settled (interchange). Yields are annualized simply: month ÷ average receivables × 12.</t>
        </is>
      </c>
    </row>
    <row r="3"/>
    <row r="4">
      <c r="A4" s="3" t="inlineStr">
        <is>
          <t>Line</t>
        </is>
      </c>
      <c r="B4" s="3" t="inlineStr">
        <is>
          <t>Jan 2026</t>
        </is>
      </c>
      <c r="C4" s="3" t="inlineStr">
        <is>
          <t>Feb 2026</t>
        </is>
      </c>
      <c r="D4" s="3" t="inlineStr">
        <is>
          <t>Mar 2026</t>
        </is>
      </c>
      <c r="E4" s="3" t="inlineStr">
        <is>
          <t>Apr 2026</t>
        </is>
      </c>
      <c r="F4" s="3" t="inlineStr">
        <is>
          <t>May 2026</t>
        </is>
      </c>
      <c r="G4" s="3" t="inlineStr">
        <is>
          <t>Jun 2026</t>
        </is>
      </c>
      <c r="H4" s="3" t="inlineStr">
        <is>
          <t>Jul 2026</t>
        </is>
      </c>
      <c r="I4" s="3" t="inlineStr">
        <is>
          <t>Aug 2026</t>
        </is>
      </c>
      <c r="J4" s="3" t="inlineStr">
        <is>
          <t>Sep 2026</t>
        </is>
      </c>
      <c r="K4" s="3" t="inlineStr">
        <is>
          <t>Jul–Sep 2026</t>
        </is>
      </c>
    </row>
    <row r="5">
      <c r="A5" t="inlineStr">
        <is>
          <t>Revolving interest</t>
        </is>
      </c>
      <c r="B5" s="5" t="n">
        <v>0</v>
      </c>
      <c r="C5" s="5" t="n">
        <v>0</v>
      </c>
      <c r="D5" s="5" t="n">
        <v>0</v>
      </c>
      <c r="E5" s="5" t="n">
        <v>0</v>
      </c>
      <c r="F5" s="5" t="n">
        <v>0</v>
      </c>
      <c r="G5" s="5" t="n">
        <v>685463.409999999</v>
      </c>
      <c r="H5" s="5" t="n">
        <v>1501634.9</v>
      </c>
      <c r="I5" s="5" t="n">
        <v>1951592.03</v>
      </c>
      <c r="J5" s="5" t="n">
        <v>2229680.03</v>
      </c>
      <c r="K5" s="5">
        <f>SUM(H5:J5)</f>
        <v/>
      </c>
    </row>
    <row r="6">
      <c r="A6" t="inlineStr">
        <is>
          <t>Installment interest</t>
        </is>
      </c>
      <c r="B6" s="5" t="n">
        <v>1316.21</v>
      </c>
      <c r="C6" s="5" t="n">
        <v>47765.48</v>
      </c>
      <c r="D6" s="5" t="n">
        <v>134016.53</v>
      </c>
      <c r="E6" s="5" t="n">
        <v>220070.96</v>
      </c>
      <c r="F6" s="5" t="n">
        <v>257582.01</v>
      </c>
      <c r="G6" s="5" t="n">
        <v>340853.06</v>
      </c>
      <c r="H6" s="5" t="n">
        <v>403236.04</v>
      </c>
      <c r="I6" s="5" t="n">
        <v>445213.13</v>
      </c>
      <c r="J6" s="5" t="n">
        <v>486325.05</v>
      </c>
      <c r="K6" s="5">
        <f>SUM(H6:J6)</f>
        <v/>
      </c>
    </row>
    <row r="7">
      <c r="A7" t="inlineStr">
        <is>
          <t>Installment upfront fees</t>
        </is>
      </c>
      <c r="B7" s="5" t="n">
        <v>2185.69</v>
      </c>
      <c r="C7" s="5" t="n">
        <v>146390.53</v>
      </c>
      <c r="D7" s="5" t="n">
        <v>291311.38</v>
      </c>
      <c r="E7" s="5" t="n">
        <v>307856.48</v>
      </c>
      <c r="F7" s="5" t="n">
        <v>320397.94</v>
      </c>
      <c r="G7" s="5" t="n">
        <v>337749.34</v>
      </c>
      <c r="H7" s="5" t="n">
        <v>290513.47</v>
      </c>
      <c r="I7" s="5" t="n">
        <v>341458.41</v>
      </c>
      <c r="J7" s="5" t="n">
        <v>439733.93</v>
      </c>
      <c r="K7" s="5">
        <f>SUM(H7:J7)</f>
        <v/>
      </c>
    </row>
    <row r="8">
      <c r="A8" t="inlineStr">
        <is>
          <t>Late payment fees</t>
        </is>
      </c>
      <c r="B8" s="5" t="n">
        <v>64707.62</v>
      </c>
      <c r="C8" s="5" t="n">
        <v>71011.07000000001</v>
      </c>
      <c r="D8" s="5" t="n">
        <v>104805.31</v>
      </c>
      <c r="E8" s="5" t="n">
        <v>138112.4</v>
      </c>
      <c r="F8" s="5" t="n">
        <v>139049.93</v>
      </c>
      <c r="G8" s="5" t="n">
        <v>84871.59</v>
      </c>
      <c r="H8" s="5" t="n">
        <v>89421.49000000001</v>
      </c>
      <c r="I8" s="5" t="n">
        <v>108174.67</v>
      </c>
      <c r="J8" s="5" t="n">
        <v>126426.4</v>
      </c>
      <c r="K8" s="5">
        <f>SUM(H8:J8)</f>
        <v/>
      </c>
    </row>
    <row r="9">
      <c r="A9" t="inlineStr">
        <is>
          <t>Interchange</t>
        </is>
      </c>
      <c r="B9" s="5" t="n">
        <v>800466.96</v>
      </c>
      <c r="C9" s="5" t="n">
        <v>864632.9299999999</v>
      </c>
      <c r="D9" s="5" t="n">
        <v>1364620.690445234</v>
      </c>
      <c r="E9" s="5" t="n">
        <v>1521533.27</v>
      </c>
      <c r="F9" s="5" t="n">
        <v>1545608.623867449</v>
      </c>
      <c r="G9" s="5" t="n">
        <v>1963194.1105</v>
      </c>
      <c r="H9" s="5" t="n">
        <v>1811444.7469</v>
      </c>
      <c r="I9" s="5" t="n">
        <v>1892210.135992006</v>
      </c>
      <c r="J9" s="5" t="n">
        <v>2630889.798</v>
      </c>
      <c r="K9" s="5">
        <f>SUM(H9:J9)</f>
        <v/>
      </c>
    </row>
    <row r="10">
      <c r="A10" s="10" t="inlineStr">
        <is>
          <t>Total revenue</t>
        </is>
      </c>
      <c r="B10" s="11">
        <f>SUM(B5:B9)</f>
        <v/>
      </c>
      <c r="C10" s="11">
        <f>SUM(C5:C9)</f>
        <v/>
      </c>
      <c r="D10" s="11">
        <f>SUM(D5:D9)</f>
        <v/>
      </c>
      <c r="E10" s="11">
        <f>SUM(E5:E9)</f>
        <v/>
      </c>
      <c r="F10" s="11">
        <f>SUM(F5:F9)</f>
        <v/>
      </c>
      <c r="G10" s="11">
        <f>SUM(G5:G9)</f>
        <v/>
      </c>
      <c r="H10" s="11">
        <f>SUM(H5:H9)</f>
        <v/>
      </c>
      <c r="I10" s="11">
        <f>SUM(I5:I9)</f>
        <v/>
      </c>
      <c r="J10" s="11">
        <f>SUM(J5:J9)</f>
        <v/>
      </c>
      <c r="K10" s="11">
        <f>SUM(K5:K9)</f>
        <v/>
      </c>
    </row>
    <row r="11"/>
    <row r="12">
      <c r="A12" s="7" t="inlineStr">
        <is>
          <t>Balances and volumes</t>
        </is>
      </c>
      <c r="B12" s="8" t="n"/>
      <c r="C12" s="8" t="n"/>
      <c r="D12" s="8" t="n"/>
      <c r="E12" s="8" t="n"/>
      <c r="F12" s="8" t="n"/>
      <c r="G12" s="8" t="n"/>
      <c r="H12" s="8" t="n"/>
      <c r="I12" s="8" t="n"/>
      <c r="J12" s="8" t="n"/>
      <c r="K12" s="8" t="n"/>
    </row>
    <row r="13">
      <c r="A13" t="inlineStr">
        <is>
          <t>Average receivables outstanding</t>
        </is>
      </c>
      <c r="B13" s="5" t="n">
        <v>60876935.09</v>
      </c>
      <c r="C13" s="5" t="n">
        <v>61287125.635</v>
      </c>
      <c r="D13" s="5" t="n">
        <v>78004357.58999999</v>
      </c>
      <c r="E13" s="5" t="n">
        <v>105226683.72</v>
      </c>
      <c r="F13" s="5" t="n">
        <v>126178365.54</v>
      </c>
      <c r="G13" s="5" t="n">
        <v>143946231.47</v>
      </c>
      <c r="H13" s="5" t="n">
        <v>158604610.965</v>
      </c>
      <c r="I13" s="5" t="n">
        <v>176625299.92</v>
      </c>
      <c r="J13" s="5" t="n">
        <v>211159156.895</v>
      </c>
      <c r="K13" s="5">
        <f>AVERAGE(H13:J13)</f>
        <v/>
      </c>
    </row>
    <row r="14">
      <c r="A14" t="inlineStr">
        <is>
          <t>Receivables outstanding, end of month</t>
        </is>
      </c>
      <c r="B14" s="5" t="n">
        <v>59172827.04</v>
      </c>
      <c r="C14" s="5" t="n">
        <v>63401424.23</v>
      </c>
      <c r="D14" s="5" t="n">
        <v>92607290.94999999</v>
      </c>
      <c r="E14" s="5" t="n">
        <v>117846076.49</v>
      </c>
      <c r="F14" s="5" t="n">
        <v>134510654.59</v>
      </c>
      <c r="G14" s="5" t="n">
        <v>153381808.35</v>
      </c>
      <c r="H14" s="5" t="n">
        <v>163827413.58</v>
      </c>
      <c r="I14" s="5" t="n">
        <v>189423186.26</v>
      </c>
      <c r="J14" s="5" t="n">
        <v>232895127.53</v>
      </c>
      <c r="K14" s="5">
        <f>J14</f>
        <v/>
      </c>
    </row>
    <row r="15">
      <c r="A15" t="inlineStr">
        <is>
          <t>Principal originated, statement-month basis (base on which the loss rate is measured)</t>
        </is>
      </c>
      <c r="B15" s="5" t="n">
        <v>69900973.84</v>
      </c>
      <c r="C15" s="5" t="n">
        <v>60820771.28</v>
      </c>
      <c r="D15" s="5" t="n">
        <v>89743205.59</v>
      </c>
      <c r="E15" s="5" t="n">
        <v>107115373.17</v>
      </c>
      <c r="F15" s="5" t="n">
        <v>118184976.17</v>
      </c>
      <c r="G15" s="5" t="n">
        <v>136417479.48</v>
      </c>
      <c r="H15" s="5" t="n">
        <v>140624271.71</v>
      </c>
      <c r="I15" s="5" t="n">
        <v>141888335.14</v>
      </c>
      <c r="J15" s="5" t="n">
        <v>160221212.53</v>
      </c>
      <c r="K15" s="5">
        <f>SUM(H15:J15)</f>
        <v/>
      </c>
    </row>
    <row r="16">
      <c r="A16" t="inlineStr">
        <is>
          <t>Purchase volume settled (Mastercard, net of returns)</t>
        </is>
      </c>
      <c r="B16" s="5" t="n">
        <v>59671645.156</v>
      </c>
      <c r="C16" s="5" t="n">
        <v>60642780.726</v>
      </c>
      <c r="D16" s="5" t="n">
        <v>95344566</v>
      </c>
      <c r="E16" s="5" t="n">
        <v>105947213.036</v>
      </c>
      <c r="F16" s="5" t="n">
        <v>110400244.168</v>
      </c>
      <c r="G16" s="5" t="n">
        <v>137145988.384</v>
      </c>
      <c r="H16" s="5" t="n">
        <v>127249656.88</v>
      </c>
      <c r="I16" s="5" t="n">
        <v>130388896.484</v>
      </c>
      <c r="J16" s="5" t="n">
        <v>190860991.79</v>
      </c>
      <c r="K16" s="5">
        <f>SUM(H16:J16)</f>
        <v/>
      </c>
    </row>
    <row r="17">
      <c r="A17" t="inlineStr">
        <is>
          <t>Pay-a-friend transfers (cardholder-to-cardholder, charged to the card; no interchange)</t>
        </is>
      </c>
      <c r="B17" s="5" t="n">
        <v>1060000</v>
      </c>
      <c r="C17" s="5" t="n">
        <v>980000</v>
      </c>
      <c r="D17" s="5" t="n">
        <v>1900000</v>
      </c>
      <c r="E17" s="5" t="n">
        <v>1190000</v>
      </c>
      <c r="F17" s="5" t="n">
        <v>2250000</v>
      </c>
      <c r="G17" s="5" t="n">
        <v>2040000</v>
      </c>
      <c r="H17" s="5" t="n">
        <v>2730000</v>
      </c>
      <c r="I17" s="5" t="n">
        <v>2970000</v>
      </c>
      <c r="J17" s="5" t="n">
        <v>2650000</v>
      </c>
      <c r="K17" s="5">
        <f>SUM(H17:J17)</f>
        <v/>
      </c>
    </row>
    <row r="18">
      <c r="A18" s="10" t="inlineStr">
        <is>
          <t>Principal flow (purchase volume + pay-a-friend) — calendar-month loss base</t>
        </is>
      </c>
      <c r="B18" s="5">
        <f>B16+B17</f>
        <v/>
      </c>
      <c r="C18" s="5">
        <f>C16+C17</f>
        <v/>
      </c>
      <c r="D18" s="5">
        <f>D16+D17</f>
        <v/>
      </c>
      <c r="E18" s="5">
        <f>E16+E17</f>
        <v/>
      </c>
      <c r="F18" s="5">
        <f>F16+F17</f>
        <v/>
      </c>
      <c r="G18" s="5">
        <f>G16+G17</f>
        <v/>
      </c>
      <c r="H18" s="5">
        <f>H16+H17</f>
        <v/>
      </c>
      <c r="I18" s="5">
        <f>I16+I17</f>
        <v/>
      </c>
      <c r="J18" s="5">
        <f>J16+J17</f>
        <v/>
      </c>
      <c r="K18" s="5">
        <f>K16+K17</f>
        <v/>
      </c>
    </row>
    <row r="19"/>
    <row r="20">
      <c r="A20" s="7" t="inlineStr">
        <is>
          <t>Annualized yields on average receivables</t>
        </is>
      </c>
      <c r="B20" s="8" t="n"/>
      <c r="C20" s="8" t="n"/>
      <c r="D20" s="8" t="n"/>
      <c r="E20" s="8" t="n"/>
      <c r="F20" s="8" t="n"/>
      <c r="G20" s="8" t="n"/>
      <c r="H20" s="8" t="n"/>
      <c r="I20" s="8" t="n"/>
      <c r="J20" s="8" t="n"/>
      <c r="K20" s="8" t="n"/>
    </row>
    <row r="21">
      <c r="A21" t="inlineStr">
        <is>
          <t>Months in period</t>
        </is>
      </c>
      <c r="B21" t="n">
        <v>1</v>
      </c>
      <c r="C21" t="n">
        <v>1</v>
      </c>
      <c r="D21" t="n">
        <v>1</v>
      </c>
      <c r="E21" t="n">
        <v>1</v>
      </c>
      <c r="F21" t="n">
        <v>1</v>
      </c>
      <c r="G21" t="n">
        <v>1</v>
      </c>
      <c r="H21" t="n">
        <v>1</v>
      </c>
      <c r="I21" t="n">
        <v>1</v>
      </c>
      <c r="J21" t="n">
        <v>1</v>
      </c>
      <c r="K21" t="n">
        <v>3</v>
      </c>
    </row>
    <row r="22">
      <c r="A22" t="inlineStr">
        <is>
          <t>Interest and fees (revolving + installment + late)</t>
        </is>
      </c>
      <c r="B22" s="9">
        <f>SUM(B5:B8)*12/B21/B13</f>
        <v/>
      </c>
      <c r="C22" s="9">
        <f>SUM(C5:C8)*12/C21/C13</f>
        <v/>
      </c>
      <c r="D22" s="9">
        <f>SUM(D5:D8)*12/D21/D13</f>
        <v/>
      </c>
      <c r="E22" s="9">
        <f>SUM(E5:E8)*12/E21/E13</f>
        <v/>
      </c>
      <c r="F22" s="9">
        <f>SUM(F5:F8)*12/F21/F13</f>
        <v/>
      </c>
      <c r="G22" s="9">
        <f>SUM(G5:G8)*12/G21/G13</f>
        <v/>
      </c>
      <c r="H22" s="9">
        <f>SUM(H5:H8)*12/H21/H13</f>
        <v/>
      </c>
      <c r="I22" s="9">
        <f>SUM(I5:I8)*12/I21/I13</f>
        <v/>
      </c>
      <c r="J22" s="9">
        <f>SUM(J5:J8)*12/J21/J13</f>
        <v/>
      </c>
      <c r="K22" s="9">
        <f>SUM(K5:K8)*12/K21/K13</f>
        <v/>
      </c>
    </row>
    <row r="23">
      <c r="A23" t="inlineStr">
        <is>
          <t>Interchange</t>
        </is>
      </c>
      <c r="B23" s="9">
        <f>B9*12/B21/B13</f>
        <v/>
      </c>
      <c r="C23" s="9">
        <f>C9*12/C21/C13</f>
        <v/>
      </c>
      <c r="D23" s="9">
        <f>D9*12/D21/D13</f>
        <v/>
      </c>
      <c r="E23" s="9">
        <f>E9*12/E21/E13</f>
        <v/>
      </c>
      <c r="F23" s="9">
        <f>F9*12/F21/F13</f>
        <v/>
      </c>
      <c r="G23" s="9">
        <f>G9*12/G21/G13</f>
        <v/>
      </c>
      <c r="H23" s="9">
        <f>H9*12/H21/H13</f>
        <v/>
      </c>
      <c r="I23" s="9">
        <f>I9*12/I21/I13</f>
        <v/>
      </c>
      <c r="J23" s="9">
        <f>J9*12/J21/J13</f>
        <v/>
      </c>
      <c r="K23" s="9">
        <f>K9*12/K21/K13</f>
        <v/>
      </c>
    </row>
    <row r="24">
      <c r="A24" s="10" t="inlineStr">
        <is>
          <t>Gross yield — all revenue</t>
        </is>
      </c>
      <c r="B24" s="12">
        <f>B10*12/B21/B13</f>
        <v/>
      </c>
      <c r="C24" s="12">
        <f>C10*12/C21/C13</f>
        <v/>
      </c>
      <c r="D24" s="12">
        <f>D10*12/D21/D13</f>
        <v/>
      </c>
      <c r="E24" s="12">
        <f>E10*12/E21/E13</f>
        <v/>
      </c>
      <c r="F24" s="12">
        <f>F10*12/F21/F13</f>
        <v/>
      </c>
      <c r="G24" s="12">
        <f>G10*12/G21/G13</f>
        <v/>
      </c>
      <c r="H24" s="12">
        <f>H10*12/H21/H13</f>
        <v/>
      </c>
      <c r="I24" s="12">
        <f>I10*12/I21/I13</f>
        <v/>
      </c>
      <c r="J24" s="12">
        <f>J10*12/J21/J13</f>
        <v/>
      </c>
      <c r="K24" s="12">
        <f>K10*12/K21/K13</f>
        <v/>
      </c>
    </row>
    <row r="25">
      <c r="A25" t="inlineStr">
        <is>
          <t>Principal turnover (annualized principal flow ÷ average receivables)</t>
        </is>
      </c>
      <c r="B25" s="13">
        <f>B18*12/B21/B13</f>
        <v/>
      </c>
      <c r="C25" s="13">
        <f>C18*12/C21/C13</f>
        <v/>
      </c>
      <c r="D25" s="13">
        <f>D18*12/D21/D13</f>
        <v/>
      </c>
      <c r="E25" s="13">
        <f>E18*12/E21/E13</f>
        <v/>
      </c>
      <c r="F25" s="13">
        <f>F18*12/F21/F13</f>
        <v/>
      </c>
      <c r="G25" s="13">
        <f>G18*12/G21/G13</f>
        <v/>
      </c>
      <c r="H25" s="13">
        <f>H18*12/H21/H13</f>
        <v/>
      </c>
      <c r="I25" s="13">
        <f>I18*12/I21/I13</f>
        <v/>
      </c>
      <c r="J25" s="13">
        <f>J18*12/J21/J13</f>
        <v/>
      </c>
      <c r="K25" s="13">
        <f>K18*12/K21/K13</f>
        <v/>
      </c>
    </row>
    <row r="26">
      <c r="A26" t="inlineStr">
        <is>
          <t>Purchase turnover (annualized purchase volume ÷ average receivables)</t>
        </is>
      </c>
      <c r="B26" s="13">
        <f>B16*12/B21/B13</f>
        <v/>
      </c>
      <c r="C26" s="13">
        <f>C16*12/C21/C13</f>
        <v/>
      </c>
      <c r="D26" s="13">
        <f>D16*12/D21/D13</f>
        <v/>
      </c>
      <c r="E26" s="13">
        <f>E16*12/E21/E13</f>
        <v/>
      </c>
      <c r="F26" s="13">
        <f>F16*12/F21/F13</f>
        <v/>
      </c>
      <c r="G26" s="13">
        <f>G16*12/G21/G13</f>
        <v/>
      </c>
      <c r="H26" s="13">
        <f>H16*12/H21/H13</f>
        <v/>
      </c>
      <c r="I26" s="13">
        <f>I16*12/I21/I13</f>
        <v/>
      </c>
      <c r="J26" s="13">
        <f>J16*12/J21/J13</f>
        <v/>
      </c>
      <c r="K26" s="13">
        <f>K16*12/K21/K13</f>
        <v/>
      </c>
    </row>
    <row r="27">
      <c r="A27" t="inlineStr">
        <is>
          <t>Interchange rate on purchase volume</t>
        </is>
      </c>
      <c r="B27" s="14">
        <f>B9/B16</f>
        <v/>
      </c>
      <c r="C27" s="14">
        <f>C9/C16</f>
        <v/>
      </c>
      <c r="D27" s="14">
        <f>D9/D16</f>
        <v/>
      </c>
      <c r="E27" s="14">
        <f>E9/E16</f>
        <v/>
      </c>
      <c r="F27" s="14">
        <f>F9/F16</f>
        <v/>
      </c>
      <c r="G27" s="14">
        <f>G9/G16</f>
        <v/>
      </c>
      <c r="H27" s="14">
        <f>H9/H16</f>
        <v/>
      </c>
      <c r="I27" s="14">
        <f>I9/I16</f>
        <v/>
      </c>
      <c r="J27" s="14">
        <f>J9/J16</f>
        <v/>
      </c>
      <c r="K27" s="14">
        <f>K9/K16</f>
        <v/>
      </c>
    </row>
    <row r="28"/>
    <row r="29">
      <c r="A29" s="2" t="inlineStr">
        <is>
          <t>Installment plans scaled from March 2026 and revolving interest was introduced with the June 2026 statement cycle, so July–September 2026 is the first quarter with every revenue line in place. Earlier months are shown for completeness.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34" customWidth="1" min="1" max="1"/>
    <col width="12" customWidth="1" min="2" max="2"/>
    <col width="18" customWidth="1" min="3" max="3"/>
    <col width="22" customWidth="1" min="4" max="4"/>
    <col width="22" customWidth="1" min="5" max="5"/>
    <col width="18" customWidth="1" min="6" max="6"/>
    <col width="18" customWidth="1" min="7" max="7"/>
    <col width="20" customWidth="1" min="8" max="8"/>
  </cols>
  <sheetData>
    <row r="1">
      <c r="A1" s="1" t="inlineStr">
        <is>
          <t>Loss rate on originated principal — 90+ days past due, vintages since January 2026</t>
        </is>
      </c>
    </row>
    <row r="2">
      <c r="A2" s="2" t="inlineStr">
        <is>
          <t>PHP. Each row is the principal originated in that month and how much of it sits on an account 90 or more days past due today (data as of 27 October 2026). Vintages begin January 2026, the first full month after the current underwriting model was introduced (December 2025).</t>
        </is>
      </c>
    </row>
    <row r="3"/>
    <row r="4" ht="60" customHeight="1">
      <c r="A4" s="3" t="inlineStr">
        <is>
          <t>Origination month</t>
        </is>
      </c>
      <c r="B4" s="3" t="inlineStr">
        <is>
          <t>Accounts originating</t>
        </is>
      </c>
      <c r="C4" s="3" t="inlineStr">
        <is>
          <t>Principal originated</t>
        </is>
      </c>
      <c r="D4" s="3" t="inlineStr">
        <is>
          <t>Principal on statements ≥90 days past due date (seasoned)</t>
        </is>
      </c>
      <c r="E4" s="3" t="inlineStr">
        <is>
          <t>Principal ≥90 DPD on first-payment-default accounts (excluded)</t>
        </is>
      </c>
      <c r="F4" s="3" t="inlineStr">
        <is>
          <t>Seasoned principal, ex-FPD</t>
        </is>
      </c>
      <c r="G4" s="3" t="inlineStr">
        <is>
          <t>Principal ≥90 DPD, ex-FPD</t>
        </is>
      </c>
      <c r="H4" s="3" t="inlineStr">
        <is>
          <t>Loss rate (≥90 DPD ex-FPD ÷ seasoned principal ex-FPD)</t>
        </is>
      </c>
    </row>
    <row r="5">
      <c r="A5" t="inlineStr">
        <is>
          <t>Jan 2026</t>
        </is>
      </c>
      <c r="B5" s="5" t="n">
        <v>3828</v>
      </c>
      <c r="C5" s="5" t="n">
        <v>69900973.84</v>
      </c>
      <c r="D5" s="5" t="n">
        <v>69900973.84</v>
      </c>
      <c r="E5" s="5" t="n">
        <v>195035.55</v>
      </c>
      <c r="F5" s="5" t="n">
        <v>69690793.31</v>
      </c>
      <c r="G5" s="5" t="n">
        <v>1577286.85</v>
      </c>
      <c r="H5" s="14">
        <f>IF(F5=0,"not yet seasoned",G5/F5)</f>
        <v/>
      </c>
    </row>
    <row r="6">
      <c r="A6" t="inlineStr">
        <is>
          <t>Feb 2026</t>
        </is>
      </c>
      <c r="B6" s="5" t="n">
        <v>4029</v>
      </c>
      <c r="C6" s="5" t="n">
        <v>60820771.28</v>
      </c>
      <c r="D6" s="5" t="n">
        <v>60820771.28</v>
      </c>
      <c r="E6" s="5" t="n">
        <v>31366.54</v>
      </c>
      <c r="F6" s="5" t="n">
        <v>60789404.74</v>
      </c>
      <c r="G6" s="5" t="n">
        <v>685527.14</v>
      </c>
      <c r="H6" s="14">
        <f>IF(F6=0,"not yet seasoned",G6/F6)</f>
        <v/>
      </c>
    </row>
    <row r="7">
      <c r="A7" t="inlineStr">
        <is>
          <t>Mar 2026</t>
        </is>
      </c>
      <c r="B7" s="5" t="n">
        <v>5113</v>
      </c>
      <c r="C7" s="5" t="n">
        <v>89743205.59</v>
      </c>
      <c r="D7" s="5" t="n">
        <v>89743205.59</v>
      </c>
      <c r="E7" s="5" t="n">
        <v>562712.45</v>
      </c>
      <c r="F7" s="5" t="n">
        <v>89089554.73999999</v>
      </c>
      <c r="G7" s="5" t="n">
        <v>1404938.62</v>
      </c>
      <c r="H7" s="14">
        <f>IF(F7=0,"not yet seasoned",G7/F7)</f>
        <v/>
      </c>
    </row>
    <row r="8">
      <c r="A8" t="inlineStr">
        <is>
          <t>Apr 2026</t>
        </is>
      </c>
      <c r="B8" s="5" t="n">
        <v>6505</v>
      </c>
      <c r="C8" s="5" t="n">
        <v>107115373.17</v>
      </c>
      <c r="D8" s="5" t="n">
        <v>107115373.17</v>
      </c>
      <c r="E8" s="5" t="n">
        <v>911016.11</v>
      </c>
      <c r="F8" s="5" t="n">
        <v>106123235.92</v>
      </c>
      <c r="G8" s="5" t="n">
        <v>1471002.56</v>
      </c>
      <c r="H8" s="14">
        <f>IF(F8=0,"not yet seasoned",G8/F8)</f>
        <v/>
      </c>
    </row>
    <row r="9">
      <c r="A9" t="inlineStr">
        <is>
          <t>May 2026</t>
        </is>
      </c>
      <c r="B9" s="5" t="n">
        <v>7564</v>
      </c>
      <c r="C9" s="5" t="n">
        <v>118184976.17</v>
      </c>
      <c r="D9" s="5" t="n">
        <v>118184976.17</v>
      </c>
      <c r="E9" s="5" t="n">
        <v>889165.96</v>
      </c>
      <c r="F9" s="5" t="n">
        <v>117226741.83</v>
      </c>
      <c r="G9" s="5" t="n">
        <v>1061583</v>
      </c>
      <c r="H9" s="14">
        <f>IF(F9=0,"not yet seasoned",G9/F9)</f>
        <v/>
      </c>
    </row>
    <row r="10">
      <c r="A10" t="inlineStr">
        <is>
          <t>Jun 2026</t>
        </is>
      </c>
      <c r="B10" s="5" t="n">
        <v>9024</v>
      </c>
      <c r="C10" s="5" t="n">
        <v>136417479.48</v>
      </c>
      <c r="D10" s="5" t="n">
        <v>136417479.48</v>
      </c>
      <c r="E10" s="5" t="n">
        <v>499873.5</v>
      </c>
      <c r="F10" s="5" t="n">
        <v>135917605.98</v>
      </c>
      <c r="G10" s="5" t="n">
        <v>459463.31</v>
      </c>
      <c r="H10" s="14">
        <f>IF(F10=0,"not yet seasoned",G10/F10)</f>
        <v/>
      </c>
    </row>
    <row r="11">
      <c r="A11" t="inlineStr">
        <is>
          <t>Jul 2026</t>
        </is>
      </c>
      <c r="B11" s="5" t="n">
        <v>11366</v>
      </c>
      <c r="C11" s="5" t="n">
        <v>140624271.71</v>
      </c>
      <c r="D11" s="5" t="n">
        <v>0</v>
      </c>
      <c r="E11" s="5" t="n">
        <v>29390.51</v>
      </c>
      <c r="F11" s="5" t="n">
        <v>0</v>
      </c>
      <c r="G11" s="5" t="n">
        <v>8828.190000000001</v>
      </c>
      <c r="H11" s="14">
        <f>IF(F11=0,"not yet seasoned",G11/F11)</f>
        <v/>
      </c>
    </row>
    <row r="12">
      <c r="A12" t="inlineStr">
        <is>
          <t>Aug 2026</t>
        </is>
      </c>
      <c r="B12" s="5" t="n">
        <v>12347</v>
      </c>
      <c r="C12" s="5" t="n">
        <v>141888335.14</v>
      </c>
      <c r="D12" s="5" t="n">
        <v>0</v>
      </c>
      <c r="E12" s="5" t="n">
        <v>0</v>
      </c>
      <c r="F12" s="5" t="n">
        <v>0</v>
      </c>
      <c r="G12" s="5" t="n">
        <v>0</v>
      </c>
      <c r="H12" s="14">
        <f>IF(F12=0,"not yet seasoned",G12/F12)</f>
        <v/>
      </c>
    </row>
    <row r="13">
      <c r="A13" t="inlineStr">
        <is>
          <t>Sep 2026</t>
        </is>
      </c>
      <c r="B13" s="5" t="n">
        <v>13196</v>
      </c>
      <c r="C13" s="5" t="n">
        <v>160221212.53</v>
      </c>
      <c r="D13" s="5" t="n">
        <v>0</v>
      </c>
      <c r="E13" s="5" t="n">
        <v>0</v>
      </c>
      <c r="F13" s="5" t="n">
        <v>0</v>
      </c>
      <c r="G13" s="5" t="n">
        <v>0</v>
      </c>
      <c r="H13" s="14">
        <f>IF(F13=0,"not yet seasoned",G13/F13)</f>
        <v/>
      </c>
    </row>
    <row r="14">
      <c r="A14" s="15" t="inlineStr">
        <is>
          <t>Since January 2026 (all vintages above)</t>
        </is>
      </c>
      <c r="B14" s="16">
        <f>SUM(B5:B13)</f>
        <v/>
      </c>
      <c r="C14" s="16">
        <f>SUM(C5:C13)</f>
        <v/>
      </c>
      <c r="D14" s="16">
        <f>SUM(D5:D13)</f>
        <v/>
      </c>
      <c r="E14" s="16">
        <f>SUM(E5:E13)</f>
        <v/>
      </c>
      <c r="F14" s="16">
        <f>SUM(F5:F13)</f>
        <v/>
      </c>
      <c r="G14" s="16">
        <f>SUM(G5:G13)</f>
        <v/>
      </c>
      <c r="H14" s="20">
        <f>G14/F14</f>
        <v/>
      </c>
    </row>
    <row r="15"/>
    <row r="16" ht="15" customHeight="1">
      <c r="A16" s="21" t="inlineStr">
        <is>
          <t>How to read this table</t>
        </is>
      </c>
    </row>
    <row r="17" ht="48" customHeight="1">
      <c r="A17" s="6" t="inlineStr">
        <is>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is>
      </c>
    </row>
    <row r="18" ht="48" customHeight="1">
      <c r="A18" s="6" t="inlineStr">
        <is>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t>
        </is>
      </c>
    </row>
    <row r="19" ht="48" customHeight="1">
      <c r="A19" s="6" t="inlineStr">
        <is>
          <t>• First-payment defaults (FPD). An account whose first-ever statement was the one missed, i.e. a cardholder who never made a payment. These are fraud or identity cases rather than credit losses and are excluded from the loss rate; the principal excluded is shown in column E so the adjustment is visible. Receivables of this kind would ordinarily fall outside facility eligibility criteria. Zed now manages first-payment default through dedicated onboarding and fraud controls, separately from credit underwriting.</t>
        </is>
      </c>
    </row>
    <row r="20" ht="48" customHeight="1">
      <c r="A20" s="6" t="inlineStr">
        <is>
          <t>• Why January 2026. The current underwriting model (V2) was deployed in December 2025 and is the model that originates the portfolio today; earlier vintages were originated under the prior model.</t>
        </is>
      </c>
    </row>
  </sheetData>
  <mergeCells count="5">
    <mergeCell ref="A18:H18"/>
    <mergeCell ref="A20:H20"/>
    <mergeCell ref="A16:H16"/>
    <mergeCell ref="A19:H19"/>
    <mergeCell ref="A17:H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showGridLines="0" workbookViewId="0">
      <selection activeCell="A1" sqref="A1"/>
    </sheetView>
  </sheetViews>
  <sheetFormatPr baseColWidth="8" defaultRowHeight="15"/>
  <cols>
    <col width="30" customWidth="1" min="1" max="1"/>
    <col width="110" customWidth="1" min="2" max="2"/>
  </cols>
  <sheetData>
    <row r="1">
      <c r="A1" s="1" t="inlineStr">
        <is>
          <t>Definitions and sources</t>
        </is>
      </c>
    </row>
    <row r="2"/>
    <row r="3">
      <c r="A3" s="3" t="inlineStr">
        <is>
          <t>Item</t>
        </is>
      </c>
      <c r="B3" s="3" t="inlineStr">
        <is>
          <t>Definition</t>
        </is>
      </c>
    </row>
    <row r="4" ht="75" customHeight="1">
      <c r="A4" s="22" t="inlineStr">
        <is>
          <t>Scope</t>
        </is>
      </c>
      <c r="B4" s="6" t="inlineStr">
        <is>
          <t>Zed's Philippine credit card receivables, all cardholders. Yield Summary covers July, August and September 2026 and the quarter together — the first quarter with every revenue line in place (installment plans scaled from March 2026; revolving interest introduced with the June 2026 cycle). Monthly Detail shows January–September 2026. All figures in PHP unless marked USD (converted at 55.8 for reference only).</t>
        </is>
      </c>
    </row>
    <row r="5" ht="60" customHeight="1">
      <c r="A5" s="22" t="inlineStr">
        <is>
          <t>Average receivables</t>
        </is>
      </c>
      <c r="B5" s="6" t="inlineStr">
        <is>
          <t>Monthly average of receivables outstanding (principal, interest and fees billed to cardholders, plus installment principal not yet billed). The July–September figure is the simple average of the three monthly averages, and yields for the quarter are revenue for the three months × 12 ÷ 3 ÷ that average.</t>
        </is>
      </c>
    </row>
    <row r="6" ht="30" customHeight="1">
      <c r="A6" s="22" t="inlineStr">
        <is>
          <t>Annualization</t>
        </is>
      </c>
      <c r="B6" s="6" t="inlineStr">
        <is>
          <t>Simple: monthly amount ÷ average receivables × 12. No compounding.</t>
        </is>
      </c>
    </row>
    <row r="7" ht="30" customHeight="1">
      <c r="A7" s="22" t="inlineStr">
        <is>
          <t>Revolving interest</t>
        </is>
      </c>
      <c r="B7" s="6" t="inlineStr">
        <is>
          <t>Finance charge billed on statements where the prior balance was not paid in full by the due date; 3% per month, the BSP ceiling. Launched with the statement cycle closing 30 June 2026.</t>
        </is>
      </c>
    </row>
    <row r="8" ht="30" customHeight="1">
      <c r="A8" s="22" t="inlineStr">
        <is>
          <t>Installment interest and upfront fees</t>
        </is>
      </c>
      <c r="B8" s="6" t="inlineStr">
        <is>
          <t>Interest of 1% per month billed on installment plan balances, and an upfront conversion fee of 0.5% per month of term billed when a purchase is converted to installments.</t>
        </is>
      </c>
    </row>
    <row r="9" ht="30" customHeight="1">
      <c r="A9" s="22" t="inlineStr">
        <is>
          <t>Late payment fees</t>
        </is>
      </c>
      <c r="B9" s="6" t="inlineStr">
        <is>
          <t>Fee billed when the minimum payment is not received by the due date.</t>
        </is>
      </c>
    </row>
    <row r="10" ht="90" customHeight="1">
      <c r="A10" s="22" t="inlineStr">
        <is>
          <t>Interchange</t>
        </is>
      </c>
      <c r="B10" s="6" t="inlineStr">
        <is>
          <t>Interchange received from Mastercard on cardholder purchases, gross (network and processing costs are not netted). Interchange is earned when a purchase settles, not on balances, so its yield on receivables is shown as interchange rate on purchase volume × purchase turnover (annualized purchase volume ÷ average receivables) — the same construction as the loss line. Mastercard settles the merchant net of interchange and the cardholder is billed the full purchase amount, so the interchange margin is collected as part of the cardholder's payment.</t>
        </is>
      </c>
    </row>
    <row r="11" ht="45" customHeight="1">
      <c r="A11" s="22" t="inlineStr">
        <is>
          <t>Turnover</t>
        </is>
      </c>
      <c r="B11" s="6" t="inlineStr">
        <is>
          <t>Annualized flow ÷ average receivables. Purchase turnover uses Mastercard purchase volume (the interchange base); principal turnover uses principal flow (the loss base). They differ only by pay-a-friend transfers.</t>
        </is>
      </c>
    </row>
    <row r="12" ht="60" customHeight="1">
      <c r="A12" s="22" t="inlineStr">
        <is>
          <t>Principal flow</t>
        </is>
      </c>
      <c r="B12" s="6" t="inlineStr">
        <is>
          <t>Calendar-month flow of new receivables: Mastercard purchase volume net of returns plus pay-a-friend transfers (cardholder-to-cardholder transfers charged to the card, which earn no interchange). This is the loss base in the Yield Summary and is on the same calendar basis as average receivables.</t>
        </is>
      </c>
    </row>
    <row r="13" ht="90" customHeight="1">
      <c r="A13" s="22" t="inlineStr">
        <is>
          <t>Principal originated (Loss Rate tab)</t>
        </is>
      </c>
      <c r="B13" s="6" t="inlineStr">
        <is>
          <t>The same quantity measured by statement month: charges on statements closing in the month (cycles close on the 14th and the last day), net of refunds, chargebacks and cancelled installment-plan re-bookings. The loss rate is measured on this basis because delinquency is tracked by statement; a statement month covers roughly the second half of the prior calendar month and the first half of the current one, so individual months differ from the calendar flow by timing while the two agree over longer windows (Jan–Sep 2026: ₱1,025M vs ₱1,035M).</t>
        </is>
      </c>
    </row>
    <row r="14" ht="90" customHeight="1">
      <c r="A14" s="22" t="inlineStr">
        <is>
          <t>Loss rate</t>
        </is>
      </c>
      <c r="B14" s="6" t="inlineStr">
        <is>
          <t>Principal on accounts 90 or more days past due today, divided by originated principal on statements whose due date is at least 90 days old, for origination months January–September 2026 (in practice January–June, the vintages old enough to be measured), excluding first-payment-default accounts from both numerator and denominator. The window, the seasoning rule and the FPD definition are set out on the Loss Rate tab, which also shows the FPD principal excluded. Gross of recoveries; no balances have been written off to date (full provision at 180 DPD).</t>
        </is>
      </c>
    </row>
    <row r="15" ht="45" customHeight="1">
      <c r="A15" s="22" t="inlineStr">
        <is>
          <t>Loss on receivables</t>
        </is>
      </c>
      <c r="B15" s="6" t="inlineStr">
        <is>
          <t>Loss rate on originated principal × principal turnover (annualized originations ÷ average receivables). Expresses a loss on amounts lent as an annual charge against the receivables balance, on the same basis as the yields.</t>
        </is>
      </c>
    </row>
    <row r="16" ht="30" customHeight="1">
      <c r="A16" s="22" t="inlineStr">
        <is>
          <t>Net yield</t>
        </is>
      </c>
      <c r="B16" s="6" t="inlineStr">
        <is>
          <t>Gross yield less loss on receivables. Before operating costs, servicing, processing and network costs, funding costs, taxes and FX.</t>
        </is>
      </c>
    </row>
    <row r="17" ht="60" customHeight="1">
      <c r="A17" s="22" t="inlineStr">
        <is>
          <t>Sources</t>
        </is>
      </c>
      <c r="B17" s="6" t="inlineStr">
        <is>
          <t>Zed management reporting built from the i2c transaction and settlement extracts (revenue, receivables, purchase volume; as of 26 October 2026), the processor transaction feed (pay-a-friend transfers) and Zed's statement and delinquency data (originations, delinquency by origination month; as of 27 October 2026). September 2026 is the latest complete month.</t>
        </is>
      </c>
    </row>
    <row r="18" ht="30" customHeight="1">
      <c r="A18" s="22" t="inlineStr">
        <is>
          <t>Prepared</t>
        </is>
      </c>
      <c r="B18" s="6" t="inlineStr">
        <is>
          <t>Zed Financial, October 2026. Prepared for Accial Capital in connection with its evaluation of a receivables facility.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2026-10-27T20:52:18Z</dcterms:created>
  <dcterms:modified xmlns:dcterms="http://purl.org/dc/terms/" xmlns:xsi="http://www.w3.org/2001/XMLSchema-instance" xsi:type="dcterms:W3CDTF">2026-10-27T20:52:18Z</dcterms:modified>
</cp:coreProperties>
</file>