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Yield Summary" sheetId="1" state="visible" r:id="rId1"/>
    <sheet xmlns:r="http://schemas.openxmlformats.org/officeDocument/2006/relationships" name="Monthly Detail" sheetId="2" state="visible" r:id="rId2"/>
    <sheet xmlns:r="http://schemas.openxmlformats.org/officeDocument/2006/relationships" name="Loss Rate" sheetId="3" state="visible" r:id="rId3"/>
    <sheet xmlns:r="http://schemas.openxmlformats.org/officeDocument/2006/relationships" name="Notes" sheetId="4" state="visible" r:id="rId4"/>
  </sheets>
  <definedNames>
    <definedName name="loss_rate">'Loss Rate'!$F$14</definedName>
    <definedName name="loss_rate_xfpd">'Loss Rate'!$I$14</definedName>
  </definedNames>
  <calcPr calcId="124519" fullCalcOnLoad="1"/>
</workbook>
</file>

<file path=xl/styles.xml><?xml version="1.0" encoding="utf-8"?>
<styleSheet xmlns="http://schemas.openxmlformats.org/spreadsheetml/2006/main">
  <numFmts count="3">
    <numFmt numFmtId="164" formatCode="0.0%"/>
    <numFmt numFmtId="165" formatCode="0.0&quot;x&quot;"/>
    <numFmt numFmtId="166" formatCode="0.0"/>
  </numFmts>
  <fonts count="5">
    <font>
      <name val="Calibri"/>
      <family val="2"/>
      <color theme="1"/>
      <sz val="11"/>
      <scheme val="minor"/>
    </font>
    <font>
      <b val="1"/>
      <sz val="14"/>
    </font>
    <font>
      <i val="1"/>
      <color rgb="00555555"/>
    </font>
    <font>
      <b val="1"/>
      <color rgb="00FFFFFF"/>
    </font>
    <font>
      <b val="1"/>
    </font>
  </fonts>
  <fills count="5">
    <fill>
      <patternFill/>
    </fill>
    <fill>
      <patternFill patternType="gray125"/>
    </fill>
    <fill>
      <patternFill patternType="solid">
        <fgColor rgb="001F3A5F"/>
      </patternFill>
    </fill>
    <fill>
      <patternFill patternType="solid">
        <fgColor rgb="00E8EEF5"/>
      </patternFill>
    </fill>
    <fill>
      <patternFill patternType="solid">
        <fgColor rgb="00FFF4CC"/>
      </patternFill>
    </fill>
  </fills>
  <borders count="2">
    <border>
      <left/>
      <right/>
      <top/>
      <bottom/>
      <diagonal/>
    </border>
    <border>
      <top style="thin">
        <color rgb="00BBBBBB"/>
      </top>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1" fontId="0" fillId="0" borderId="0" pivotButton="0" quotePrefix="0" xfId="0"/>
    <xf numFmtId="3" fontId="0" fillId="0" borderId="0" pivotButton="0" quotePrefix="0" xfId="0"/>
    <xf numFmtId="0" fontId="0" fillId="0" borderId="0" applyAlignment="1" pivotButton="0" quotePrefix="0" xfId="0">
      <alignment vertical="top" wrapText="1"/>
    </xf>
    <xf numFmtId="0" fontId="4" fillId="3" borderId="0" pivotButton="0" quotePrefix="0" xfId="0"/>
    <xf numFmtId="0" fontId="0" fillId="3" borderId="0" pivotButton="0" quotePrefix="0" xfId="0"/>
    <xf numFmtId="164" fontId="0" fillId="0" borderId="0" pivotButton="0" quotePrefix="0" xfId="0"/>
    <xf numFmtId="0" fontId="4" fillId="0" borderId="0" pivotButton="0" quotePrefix="0" xfId="0"/>
    <xf numFmtId="3" fontId="4" fillId="0" borderId="0" pivotButton="0" quotePrefix="0" xfId="0"/>
    <xf numFmtId="164" fontId="4" fillId="0" borderId="0" pivotButton="0" quotePrefix="0" xfId="0"/>
    <xf numFmtId="0" fontId="4" fillId="0" borderId="1" pivotButton="0" quotePrefix="0" xfId="0"/>
    <xf numFmtId="3" fontId="4" fillId="0" borderId="1" pivotButton="0" quotePrefix="0" xfId="0"/>
    <xf numFmtId="164" fontId="4" fillId="0" borderId="1" pivotButton="0" quotePrefix="0" xfId="0"/>
    <xf numFmtId="0" fontId="0" fillId="0" borderId="1" pivotButton="0" quotePrefix="0" xfId="0"/>
    <xf numFmtId="165" fontId="0" fillId="0" borderId="0" pivotButton="0" quotePrefix="0" xfId="0"/>
    <xf numFmtId="10" fontId="0" fillId="0" borderId="0" pivotButton="0" quotePrefix="0" xfId="0"/>
    <xf numFmtId="166" fontId="0" fillId="0" borderId="0" pivotButton="0" quotePrefix="0" xfId="0"/>
    <xf numFmtId="10" fontId="4" fillId="4" borderId="1" pivotButton="0" quotePrefix="0" xfId="0"/>
    <xf numFmtId="0" fontId="4" fillId="0" borderId="0" applyAlignment="1" pivotButton="0" quotePrefix="0" xfId="0">
      <alignment vertical="top" wrapText="1"/>
    </xf>
    <xf numFmtId="0" fontId="4"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0" customWidth="1" min="1" max="1"/>
    <col width="17" customWidth="1" min="2" max="2"/>
    <col width="17" customWidth="1" min="3" max="3"/>
    <col width="17" customWidth="1" min="4" max="4"/>
    <col width="17" customWidth="1" min="5" max="5"/>
    <col width="70" customWidth="1" min="6" max="6"/>
  </cols>
  <sheetData>
    <row r="1">
      <c r="A1" s="1" t="inlineStr">
        <is>
          <t>Zed — Portfolio yield on receivables</t>
        </is>
      </c>
    </row>
    <row r="2">
      <c r="A2" s="2" t="inlineStr">
        <is>
          <t>Gross and net yield on average receivables outstanding, annualized. September 2026 run-rate alongside January–September 2026. PHP; before operating, servicing and funding costs.</t>
        </is>
      </c>
    </row>
    <row r="3"/>
    <row r="4">
      <c r="A4" s="3" t="inlineStr"/>
      <c r="B4" s="3" t="inlineStr">
        <is>
          <t>September 2026</t>
        </is>
      </c>
      <c r="C4" s="3" t="inlineStr">
        <is>
          <t>Annualized yield</t>
        </is>
      </c>
      <c r="D4" s="3" t="inlineStr">
        <is>
          <t>Jan–Sep 2026</t>
        </is>
      </c>
      <c r="E4" s="3" t="inlineStr">
        <is>
          <t>Annualized yield</t>
        </is>
      </c>
      <c r="F4" s="3" t="inlineStr">
        <is>
          <t>Notes</t>
        </is>
      </c>
    </row>
    <row r="5">
      <c r="A5" t="inlineStr">
        <is>
          <t>Months in period</t>
        </is>
      </c>
      <c r="B5" s="4" t="n">
        <v>1</v>
      </c>
      <c r="D5" s="4" t="n">
        <v>9</v>
      </c>
    </row>
    <row r="6" ht="48" customHeight="1">
      <c r="A6" t="inlineStr">
        <is>
          <t>Average receivables outstanding</t>
        </is>
      </c>
      <c r="B6" s="5">
        <f>'Monthly Detail'!J13</f>
        <v/>
      </c>
      <c r="D6" s="5">
        <f>'Monthly Detail'!K13</f>
        <v/>
      </c>
      <c r="F6" s="6" t="inlineStr">
        <is>
          <t>Monthly average of daily receivables; Jan–Sep is the average of the nine monthly averages.</t>
        </is>
      </c>
    </row>
    <row r="7">
      <c r="A7" s="7" t="inlineStr">
        <is>
          <t>Revenue</t>
        </is>
      </c>
      <c r="B7" s="8" t="n"/>
      <c r="C7" s="8" t="n"/>
      <c r="D7" s="8" t="n"/>
      <c r="E7" s="8" t="n"/>
      <c r="F7" s="8" t="n"/>
    </row>
    <row r="8" ht="48" customHeight="1">
      <c r="A8" t="inlineStr">
        <is>
          <t>Revolving interest</t>
        </is>
      </c>
      <c r="B8" s="5">
        <f>'Monthly Detail'!J5</f>
        <v/>
      </c>
      <c r="C8" s="9">
        <f>B8*12/B$5/B$6</f>
        <v/>
      </c>
      <c r="D8" s="5">
        <f>'Monthly Detail'!K5</f>
        <v/>
      </c>
      <c r="E8" s="9">
        <f>D8*12/D$5/D$6</f>
        <v/>
      </c>
      <c r="F8" s="6" t="inlineStr">
        <is>
          <t>3% per month on revolving balances (BSP cap). Introduced with the June 2026 statement cycle, so the Jan–Sep figure covers four months of billing.</t>
        </is>
      </c>
    </row>
    <row r="9" ht="48" customHeight="1">
      <c r="A9" t="inlineStr">
        <is>
          <t>Installment interest</t>
        </is>
      </c>
      <c r="B9" s="5">
        <f>'Monthly Detail'!J6</f>
        <v/>
      </c>
      <c r="C9" s="9">
        <f>B9*12/B$5/B$6</f>
        <v/>
      </c>
      <c r="D9" s="5">
        <f>'Monthly Detail'!K6</f>
        <v/>
      </c>
      <c r="E9" s="9">
        <f>D9*12/D$5/D$6</f>
        <v/>
      </c>
      <c r="F9" s="6" t="inlineStr">
        <is>
          <t>1% per month on installment balances.</t>
        </is>
      </c>
    </row>
    <row r="10" ht="48" customHeight="1">
      <c r="A10" t="inlineStr">
        <is>
          <t>Installment upfront fees</t>
        </is>
      </c>
      <c r="B10" s="5">
        <f>'Monthly Detail'!J7</f>
        <v/>
      </c>
      <c r="C10" s="9">
        <f>B10*12/B$5/B$6</f>
        <v/>
      </c>
      <c r="D10" s="5">
        <f>'Monthly Detail'!K7</f>
        <v/>
      </c>
      <c r="E10" s="9">
        <f>D10*12/D$5/D$6</f>
        <v/>
      </c>
      <c r="F10" s="6" t="inlineStr">
        <is>
          <t>0.5% × term in months, billed at conversion.</t>
        </is>
      </c>
    </row>
    <row r="11">
      <c r="A11" t="inlineStr">
        <is>
          <t>Late payment fees</t>
        </is>
      </c>
      <c r="B11" s="5">
        <f>'Monthly Detail'!J8</f>
        <v/>
      </c>
      <c r="C11" s="9">
        <f>B11*12/B$5/B$6</f>
        <v/>
      </c>
      <c r="D11" s="5">
        <f>'Monthly Detail'!K8</f>
        <v/>
      </c>
      <c r="E11" s="9">
        <f>D11*12/D$5/D$6</f>
        <v/>
      </c>
    </row>
    <row r="12">
      <c r="A12" s="10" t="inlineStr">
        <is>
          <t>Interest and fees</t>
        </is>
      </c>
      <c r="B12" s="11">
        <f>SUM(B8:B11)</f>
        <v/>
      </c>
      <c r="C12" s="12">
        <f>B12*12/B$5/B$6</f>
        <v/>
      </c>
      <c r="D12" s="11">
        <f>SUM(D8:D11)</f>
        <v/>
      </c>
      <c r="E12" s="12">
        <f>D12*12/D$5/D$6</f>
        <v/>
      </c>
    </row>
    <row r="13" ht="48" customHeight="1">
      <c r="A13" t="inlineStr">
        <is>
          <t>Interchange</t>
        </is>
      </c>
      <c r="B13" s="5">
        <f>'Monthly Detail'!J9</f>
        <v/>
      </c>
      <c r="C13" s="9">
        <f>B13*12/B$5/B$6</f>
        <v/>
      </c>
      <c r="D13" s="5">
        <f>'Monthly Detail'!K9</f>
        <v/>
      </c>
      <c r="E13" s="9">
        <f>D13*12/D$5/D$6</f>
        <v/>
      </c>
      <c r="F13" s="6" t="inlineStr">
        <is>
          <t>Earned on every purchase. Mastercard settles each purchase to the merchant net of interchange and the cardholder is billed the full purchase amount, so interchange is collected through cardholder payments.</t>
        </is>
      </c>
    </row>
    <row r="14">
      <c r="A14" s="13" t="inlineStr">
        <is>
          <t>Total revenue</t>
        </is>
      </c>
      <c r="B14" s="14">
        <f>B12+B13</f>
        <v/>
      </c>
      <c r="C14" s="15">
        <f>B14*12/B$5/B$6</f>
        <v/>
      </c>
      <c r="D14" s="14">
        <f>D12+D13</f>
        <v/>
      </c>
      <c r="E14" s="15">
        <f>D14*12/D$5/D$6</f>
        <v/>
      </c>
      <c r="F14" s="16" t="n"/>
    </row>
    <row r="15"/>
    <row r="16">
      <c r="A16" s="7" t="inlineStr">
        <is>
          <t>Gross yield (annualized, on average receivables)</t>
        </is>
      </c>
      <c r="B16" s="8" t="n"/>
      <c r="C16" s="8" t="n"/>
      <c r="D16" s="8" t="n"/>
      <c r="E16" s="8" t="n"/>
      <c r="F16" s="8" t="n"/>
    </row>
    <row r="17">
      <c r="A17" t="inlineStr">
        <is>
          <t>Gross yield — interest and fees</t>
        </is>
      </c>
      <c r="C17" s="9">
        <f>C12</f>
        <v/>
      </c>
      <c r="E17" s="9">
        <f>E12</f>
        <v/>
      </c>
    </row>
    <row r="18">
      <c r="A18" s="10" t="inlineStr">
        <is>
          <t>Gross yield — all revenue, including interchange</t>
        </is>
      </c>
      <c r="B18" s="10" t="n"/>
      <c r="C18" s="12">
        <f>C14</f>
        <v/>
      </c>
      <c r="D18" s="10" t="n"/>
      <c r="E18" s="12">
        <f>E14</f>
        <v/>
      </c>
    </row>
    <row r="19"/>
    <row r="20">
      <c r="A20" s="7" t="inlineStr">
        <is>
          <t>Loss on receivables</t>
        </is>
      </c>
      <c r="B20" s="8" t="n"/>
      <c r="C20" s="8" t="n"/>
      <c r="D20" s="8" t="n"/>
      <c r="E20" s="8" t="n"/>
      <c r="F20" s="8" t="n"/>
    </row>
    <row r="21">
      <c r="A21" t="inlineStr">
        <is>
          <t>Principal originated in period</t>
        </is>
      </c>
      <c r="B21" s="5">
        <f>'Monthly Detail'!J15</f>
        <v/>
      </c>
      <c r="D21" s="5">
        <f>'Monthly Detail'!K15</f>
        <v/>
      </c>
      <c r="F21" s="6" t="inlineStr">
        <is>
          <t>Purchases billed to cardholders, net of refunds and chargebacks.</t>
        </is>
      </c>
    </row>
    <row r="22" ht="48" customHeight="1">
      <c r="A22" t="inlineStr">
        <is>
          <t>Principal turnover (annualized originations ÷ average receivables)</t>
        </is>
      </c>
      <c r="C22" s="17">
        <f>B21*12/B5/B6</f>
        <v/>
      </c>
      <c r="E22" s="17">
        <f>D21*12/D5/D6</f>
        <v/>
      </c>
      <c r="F22" s="6" t="inlineStr">
        <is>
          <t>A card book turns over quickly: each peso of receivables is re-lent several times a year, so a loss rate on originations must be multiplied by turnover to compare it with a yield on balances.</t>
        </is>
      </c>
    </row>
    <row r="23" ht="48" customHeight="1">
      <c r="A23" t="inlineStr">
        <is>
          <t>Loss rate on originated principal — ≥90 DPD, all accounts</t>
        </is>
      </c>
      <c r="C23" s="18">
        <f>loss_rate</f>
        <v/>
      </c>
      <c r="E23" s="18">
        <f>loss_rate</f>
        <v/>
      </c>
      <c r="F23" s="6" t="inlineStr">
        <is>
          <t>See the Loss Rate tab. Principal 90+ days past due ÷ originated principal on statements whose due date is ≥90 days old, vintages since January 2026, gross of recoveries. The same rate is applied to both periods.</t>
        </is>
      </c>
    </row>
    <row r="24" ht="48" customHeight="1">
      <c r="A24" t="inlineStr">
        <is>
          <t>Loss rate on originated principal — ≥90 DPD, excluding first-payment defaults</t>
        </is>
      </c>
      <c r="C24" s="18">
        <f>loss_rate_xfpd</f>
        <v/>
      </c>
      <c r="E24" s="18">
        <f>loss_rate_xfpd</f>
        <v/>
      </c>
      <c r="F24" s="6" t="inlineStr">
        <is>
          <t>Same measure with first-payment-default accounts (never made a payment; treated as fraud/identity cases rather than credit losses) removed from numerator and denominator.</t>
        </is>
      </c>
    </row>
    <row r="25"/>
    <row r="26">
      <c r="A26" s="7" t="inlineStr">
        <is>
          <t>Net yield (gross yield less loss on receivables)</t>
        </is>
      </c>
      <c r="B26" s="8" t="n"/>
      <c r="C26" s="8" t="n"/>
      <c r="D26" s="8" t="n"/>
      <c r="E26" s="8" t="n"/>
      <c r="F26" s="8" t="n"/>
    </row>
    <row r="27">
      <c r="A27" t="inlineStr">
        <is>
          <t>Loss on receivables — all accounts (loss rate × turnover)</t>
        </is>
      </c>
      <c r="C27" s="9">
        <f>C23*C22</f>
        <v/>
      </c>
      <c r="E27" s="9">
        <f>E23*E22</f>
        <v/>
      </c>
    </row>
    <row r="28">
      <c r="A28" s="10" t="inlineStr">
        <is>
          <t>Net yield — all revenue, all accounts</t>
        </is>
      </c>
      <c r="B28" s="10" t="n"/>
      <c r="C28" s="12">
        <f>C18-C27</f>
        <v/>
      </c>
      <c r="D28" s="10" t="n"/>
      <c r="E28" s="12">
        <f>E18-E27</f>
        <v/>
      </c>
      <c r="F28" s="6" t="inlineStr">
        <is>
          <t>Before operating, servicing and funding costs.</t>
        </is>
      </c>
    </row>
    <row r="29">
      <c r="A29" t="inlineStr">
        <is>
          <t>Loss on receivables — excluding first-payment defaults</t>
        </is>
      </c>
      <c r="C29" s="9">
        <f>C24*C22</f>
        <v/>
      </c>
      <c r="E29" s="9">
        <f>E24*E22</f>
        <v/>
      </c>
    </row>
    <row r="30">
      <c r="A30" s="10" t="inlineStr">
        <is>
          <t>Net yield — all revenue, excluding first-payment defaults</t>
        </is>
      </c>
      <c r="B30" s="10" t="n"/>
      <c r="C30" s="12">
        <f>C18-C29</f>
        <v/>
      </c>
      <c r="D30" s="10" t="n"/>
      <c r="E30" s="12">
        <f>E18-E29</f>
        <v/>
      </c>
      <c r="F30" s="6" t="inlineStr">
        <is>
          <t>Credit-loss view: first-payment-default receivables would ordinarily be ineligible under a facility.</t>
        </is>
      </c>
    </row>
    <row r="31"/>
    <row r="32">
      <c r="A32" s="7" t="inlineStr">
        <is>
          <t>Memo — USD equivalents</t>
        </is>
      </c>
      <c r="B32" s="8" t="n"/>
      <c r="C32" s="8" t="n"/>
      <c r="D32" s="8" t="n"/>
      <c r="E32" s="8" t="n"/>
      <c r="F32" s="8" t="n"/>
    </row>
    <row r="33">
      <c r="A33" t="inlineStr">
        <is>
          <t>PHP per USD</t>
        </is>
      </c>
      <c r="B33" s="19" t="n">
        <v>55.8</v>
      </c>
      <c r="D33" s="19" t="n">
        <v>55.8</v>
      </c>
    </row>
    <row r="34">
      <c r="A34" t="inlineStr">
        <is>
          <t>Average receivables outstanding (USD)</t>
        </is>
      </c>
      <c r="B34" s="5">
        <f>B6/B33</f>
        <v/>
      </c>
      <c r="D34" s="5">
        <f>D6/D33</f>
        <v/>
      </c>
    </row>
    <row r="35">
      <c r="A35" t="inlineStr">
        <is>
          <t>Total revenue (USD)</t>
        </is>
      </c>
      <c r="B35" s="5">
        <f>B14/B33</f>
        <v/>
      </c>
      <c r="D35" s="5">
        <f>D14/D33</f>
        <v/>
      </c>
    </row>
    <row r="36">
      <c r="A36" t="inlineStr">
        <is>
          <t>Principal originated (USD)</t>
        </is>
      </c>
      <c r="B36" s="5">
        <f>B21/B33</f>
        <v/>
      </c>
      <c r="D36" s="5">
        <f>D21/D33</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6" customWidth="1" min="11" max="11"/>
  </cols>
  <sheetData>
    <row r="1">
      <c r="A1" s="1" t="inlineStr">
        <is>
          <t>Monthly revenue, receivables and originations — January to September 2026</t>
        </is>
      </c>
    </row>
    <row r="2">
      <c r="A2" s="2" t="inlineStr">
        <is>
          <t>PHP. Revenue is recognised in the month billed (interest and fees) or settled (interchange). Yields are annualized simply: month ÷ average receivables × 12.</t>
        </is>
      </c>
    </row>
    <row r="3"/>
    <row r="4">
      <c r="A4" s="3" t="inlineStr">
        <is>
          <t>Line</t>
        </is>
      </c>
      <c r="B4" s="3" t="inlineStr">
        <is>
          <t>Jan 2026</t>
        </is>
      </c>
      <c r="C4" s="3" t="inlineStr">
        <is>
          <t>Feb 2026</t>
        </is>
      </c>
      <c r="D4" s="3" t="inlineStr">
        <is>
          <t>Mar 2026</t>
        </is>
      </c>
      <c r="E4" s="3" t="inlineStr">
        <is>
          <t>Apr 2026</t>
        </is>
      </c>
      <c r="F4" s="3" t="inlineStr">
        <is>
          <t>May 2026</t>
        </is>
      </c>
      <c r="G4" s="3" t="inlineStr">
        <is>
          <t>Jun 2026</t>
        </is>
      </c>
      <c r="H4" s="3" t="inlineStr">
        <is>
          <t>Jul 2026</t>
        </is>
      </c>
      <c r="I4" s="3" t="inlineStr">
        <is>
          <t>Aug 2026</t>
        </is>
      </c>
      <c r="J4" s="3" t="inlineStr">
        <is>
          <t>Sep 2026</t>
        </is>
      </c>
      <c r="K4" s="3" t="inlineStr">
        <is>
          <t>Jan–Sep 2026</t>
        </is>
      </c>
    </row>
    <row r="5">
      <c r="A5" t="inlineStr">
        <is>
          <t>Revolving interest</t>
        </is>
      </c>
      <c r="B5" s="5" t="n">
        <v>0</v>
      </c>
      <c r="C5" s="5" t="n">
        <v>0</v>
      </c>
      <c r="D5" s="5" t="n">
        <v>0</v>
      </c>
      <c r="E5" s="5" t="n">
        <v>0</v>
      </c>
      <c r="F5" s="5" t="n">
        <v>0</v>
      </c>
      <c r="G5" s="5" t="n">
        <v>685463.409999999</v>
      </c>
      <c r="H5" s="5" t="n">
        <v>1501634.9</v>
      </c>
      <c r="I5" s="5" t="n">
        <v>1951592.03</v>
      </c>
      <c r="J5" s="5" t="n">
        <v>2229680.03</v>
      </c>
      <c r="K5" s="5">
        <f>SUM(B5:J5)</f>
        <v/>
      </c>
    </row>
    <row r="6">
      <c r="A6" t="inlineStr">
        <is>
          <t>Installment interest</t>
        </is>
      </c>
      <c r="B6" s="5" t="n">
        <v>1316.21</v>
      </c>
      <c r="C6" s="5" t="n">
        <v>47765.48</v>
      </c>
      <c r="D6" s="5" t="n">
        <v>134016.53</v>
      </c>
      <c r="E6" s="5" t="n">
        <v>220070.96</v>
      </c>
      <c r="F6" s="5" t="n">
        <v>257582.01</v>
      </c>
      <c r="G6" s="5" t="n">
        <v>340853.06</v>
      </c>
      <c r="H6" s="5" t="n">
        <v>403236.04</v>
      </c>
      <c r="I6" s="5" t="n">
        <v>445213.13</v>
      </c>
      <c r="J6" s="5" t="n">
        <v>486325.05</v>
      </c>
      <c r="K6" s="5">
        <f>SUM(B6:J6)</f>
        <v/>
      </c>
    </row>
    <row r="7">
      <c r="A7" t="inlineStr">
        <is>
          <t>Installment upfront fees</t>
        </is>
      </c>
      <c r="B7" s="5" t="n">
        <v>2185.69</v>
      </c>
      <c r="C7" s="5" t="n">
        <v>146390.53</v>
      </c>
      <c r="D7" s="5" t="n">
        <v>291311.38</v>
      </c>
      <c r="E7" s="5" t="n">
        <v>307856.48</v>
      </c>
      <c r="F7" s="5" t="n">
        <v>320397.94</v>
      </c>
      <c r="G7" s="5" t="n">
        <v>337749.34</v>
      </c>
      <c r="H7" s="5" t="n">
        <v>290513.47</v>
      </c>
      <c r="I7" s="5" t="n">
        <v>341458.41</v>
      </c>
      <c r="J7" s="5" t="n">
        <v>439733.93</v>
      </c>
      <c r="K7" s="5">
        <f>SUM(B7:J7)</f>
        <v/>
      </c>
    </row>
    <row r="8">
      <c r="A8" t="inlineStr">
        <is>
          <t>Late payment fees</t>
        </is>
      </c>
      <c r="B8" s="5" t="n">
        <v>64707.62</v>
      </c>
      <c r="C8" s="5" t="n">
        <v>71011.07000000001</v>
      </c>
      <c r="D8" s="5" t="n">
        <v>104805.31</v>
      </c>
      <c r="E8" s="5" t="n">
        <v>138112.4</v>
      </c>
      <c r="F8" s="5" t="n">
        <v>139049.93</v>
      </c>
      <c r="G8" s="5" t="n">
        <v>84871.59</v>
      </c>
      <c r="H8" s="5" t="n">
        <v>89421.49000000001</v>
      </c>
      <c r="I8" s="5" t="n">
        <v>108174.67</v>
      </c>
      <c r="J8" s="5" t="n">
        <v>126426.4</v>
      </c>
      <c r="K8" s="5">
        <f>SUM(B8:J8)</f>
        <v/>
      </c>
    </row>
    <row r="9">
      <c r="A9" t="inlineStr">
        <is>
          <t>Interchange</t>
        </is>
      </c>
      <c r="B9" s="5" t="n">
        <v>800466.96</v>
      </c>
      <c r="C9" s="5" t="n">
        <v>864632.9299999999</v>
      </c>
      <c r="D9" s="5" t="n">
        <v>1364620.690445234</v>
      </c>
      <c r="E9" s="5" t="n">
        <v>1521533.27</v>
      </c>
      <c r="F9" s="5" t="n">
        <v>1545608.623867449</v>
      </c>
      <c r="G9" s="5" t="n">
        <v>1963194.1105</v>
      </c>
      <c r="H9" s="5" t="n">
        <v>1811444.7469</v>
      </c>
      <c r="I9" s="5" t="n">
        <v>1892210.135992006</v>
      </c>
      <c r="J9" s="5" t="n">
        <v>2630889.798</v>
      </c>
      <c r="K9" s="5">
        <f>SUM(B9:J9)</f>
        <v/>
      </c>
    </row>
    <row r="10">
      <c r="A10" s="10" t="inlineStr">
        <is>
          <t>Total revenue</t>
        </is>
      </c>
      <c r="B10" s="11">
        <f>SUM(B5:B9)</f>
        <v/>
      </c>
      <c r="C10" s="11">
        <f>SUM(C5:C9)</f>
        <v/>
      </c>
      <c r="D10" s="11">
        <f>SUM(D5:D9)</f>
        <v/>
      </c>
      <c r="E10" s="11">
        <f>SUM(E5:E9)</f>
        <v/>
      </c>
      <c r="F10" s="11">
        <f>SUM(F5:F9)</f>
        <v/>
      </c>
      <c r="G10" s="11">
        <f>SUM(G5:G9)</f>
        <v/>
      </c>
      <c r="H10" s="11">
        <f>SUM(H5:H9)</f>
        <v/>
      </c>
      <c r="I10" s="11">
        <f>SUM(I5:I9)</f>
        <v/>
      </c>
      <c r="J10" s="11">
        <f>SUM(J5:J9)</f>
        <v/>
      </c>
      <c r="K10" s="11">
        <f>SUM(K5:K9)</f>
        <v/>
      </c>
    </row>
    <row r="11"/>
    <row r="12">
      <c r="A12" s="7" t="inlineStr">
        <is>
          <t>Balances and volumes</t>
        </is>
      </c>
      <c r="B12" s="8" t="n"/>
      <c r="C12" s="8" t="n"/>
      <c r="D12" s="8" t="n"/>
      <c r="E12" s="8" t="n"/>
      <c r="F12" s="8" t="n"/>
      <c r="G12" s="8" t="n"/>
      <c r="H12" s="8" t="n"/>
      <c r="I12" s="8" t="n"/>
      <c r="J12" s="8" t="n"/>
      <c r="K12" s="8" t="n"/>
    </row>
    <row r="13">
      <c r="A13" t="inlineStr">
        <is>
          <t>Average receivables outstanding</t>
        </is>
      </c>
      <c r="B13" s="5" t="n">
        <v>60876935.09</v>
      </c>
      <c r="C13" s="5" t="n">
        <v>61287125.635</v>
      </c>
      <c r="D13" s="5" t="n">
        <v>78004357.58999999</v>
      </c>
      <c r="E13" s="5" t="n">
        <v>105226683.72</v>
      </c>
      <c r="F13" s="5" t="n">
        <v>126178365.54</v>
      </c>
      <c r="G13" s="5" t="n">
        <v>143946231.47</v>
      </c>
      <c r="H13" s="5" t="n">
        <v>158604610.965</v>
      </c>
      <c r="I13" s="5" t="n">
        <v>176625299.92</v>
      </c>
      <c r="J13" s="5" t="n">
        <v>211159156.895</v>
      </c>
      <c r="K13" s="5">
        <f>AVERAGE(B13:J13)</f>
        <v/>
      </c>
    </row>
    <row r="14">
      <c r="A14" t="inlineStr">
        <is>
          <t>Receivables outstanding, end of month</t>
        </is>
      </c>
      <c r="B14" s="5" t="n">
        <v>59172827.04</v>
      </c>
      <c r="C14" s="5" t="n">
        <v>63401424.23</v>
      </c>
      <c r="D14" s="5" t="n">
        <v>92607290.94999999</v>
      </c>
      <c r="E14" s="5" t="n">
        <v>117846076.49</v>
      </c>
      <c r="F14" s="5" t="n">
        <v>134510654.59</v>
      </c>
      <c r="G14" s="5" t="n">
        <v>153381808.35</v>
      </c>
      <c r="H14" s="5" t="n">
        <v>163827413.58</v>
      </c>
      <c r="I14" s="5" t="n">
        <v>189423186.26</v>
      </c>
      <c r="J14" s="5" t="n">
        <v>232895127.53</v>
      </c>
      <c r="K14" s="5">
        <f>J14</f>
        <v/>
      </c>
    </row>
    <row r="15">
      <c r="A15" t="inlineStr">
        <is>
          <t>Principal originated (purchases billed, net of refunds and chargebacks)</t>
        </is>
      </c>
      <c r="B15" s="5" t="n">
        <v>69900973.84</v>
      </c>
      <c r="C15" s="5" t="n">
        <v>60820771.28</v>
      </c>
      <c r="D15" s="5" t="n">
        <v>89743205.59</v>
      </c>
      <c r="E15" s="5" t="n">
        <v>107115373.17</v>
      </c>
      <c r="F15" s="5" t="n">
        <v>118184976.17</v>
      </c>
      <c r="G15" s="5" t="n">
        <v>136417479.48</v>
      </c>
      <c r="H15" s="5" t="n">
        <v>140624271.71</v>
      </c>
      <c r="I15" s="5" t="n">
        <v>141888335.14</v>
      </c>
      <c r="J15" s="5" t="n">
        <v>160221212.53</v>
      </c>
      <c r="K15" s="5">
        <f>SUM(B15:J15)</f>
        <v/>
      </c>
    </row>
    <row r="16">
      <c r="A16" t="inlineStr">
        <is>
          <t>Purchase volume settled (Mastercard, net of returns)</t>
        </is>
      </c>
      <c r="B16" s="5" t="n">
        <v>59671645.156</v>
      </c>
      <c r="C16" s="5" t="n">
        <v>60642780.726</v>
      </c>
      <c r="D16" s="5" t="n">
        <v>95344566</v>
      </c>
      <c r="E16" s="5" t="n">
        <v>105947213.036</v>
      </c>
      <c r="F16" s="5" t="n">
        <v>110400244.168</v>
      </c>
      <c r="G16" s="5" t="n">
        <v>137145988.384</v>
      </c>
      <c r="H16" s="5" t="n">
        <v>127249656.88</v>
      </c>
      <c r="I16" s="5" t="n">
        <v>130388896.484</v>
      </c>
      <c r="J16" s="5" t="n">
        <v>190860991.79</v>
      </c>
      <c r="K16" s="5">
        <f>SUM(B16:J16)</f>
        <v/>
      </c>
    </row>
    <row r="17"/>
    <row r="18">
      <c r="A18" s="7" t="inlineStr">
        <is>
          <t>Annualized yields on average receivables</t>
        </is>
      </c>
      <c r="B18" s="8" t="n"/>
      <c r="C18" s="8" t="n"/>
      <c r="D18" s="8" t="n"/>
      <c r="E18" s="8" t="n"/>
      <c r="F18" s="8" t="n"/>
      <c r="G18" s="8" t="n"/>
      <c r="H18" s="8" t="n"/>
      <c r="I18" s="8" t="n"/>
      <c r="J18" s="8" t="n"/>
      <c r="K18" s="8" t="n"/>
    </row>
    <row r="19">
      <c r="A19" t="inlineStr">
        <is>
          <t>Months in period</t>
        </is>
      </c>
      <c r="B19" t="n">
        <v>1</v>
      </c>
      <c r="C19" t="n">
        <v>1</v>
      </c>
      <c r="D19" t="n">
        <v>1</v>
      </c>
      <c r="E19" t="n">
        <v>1</v>
      </c>
      <c r="F19" t="n">
        <v>1</v>
      </c>
      <c r="G19" t="n">
        <v>1</v>
      </c>
      <c r="H19" t="n">
        <v>1</v>
      </c>
      <c r="I19" t="n">
        <v>1</v>
      </c>
      <c r="J19" t="n">
        <v>1</v>
      </c>
      <c r="K19" t="n">
        <v>9</v>
      </c>
    </row>
    <row r="20">
      <c r="A20" t="inlineStr">
        <is>
          <t>Interest and fees (revolving + installment + late)</t>
        </is>
      </c>
      <c r="B20" s="9">
        <f>SUM(B5:B8)*12/B19/B13</f>
        <v/>
      </c>
      <c r="C20" s="9">
        <f>SUM(C5:C8)*12/C19/C13</f>
        <v/>
      </c>
      <c r="D20" s="9">
        <f>SUM(D5:D8)*12/D19/D13</f>
        <v/>
      </c>
      <c r="E20" s="9">
        <f>SUM(E5:E8)*12/E19/E13</f>
        <v/>
      </c>
      <c r="F20" s="9">
        <f>SUM(F5:F8)*12/F19/F13</f>
        <v/>
      </c>
      <c r="G20" s="9">
        <f>SUM(G5:G8)*12/G19/G13</f>
        <v/>
      </c>
      <c r="H20" s="9">
        <f>SUM(H5:H8)*12/H19/H13</f>
        <v/>
      </c>
      <c r="I20" s="9">
        <f>SUM(I5:I8)*12/I19/I13</f>
        <v/>
      </c>
      <c r="J20" s="9">
        <f>SUM(J5:J8)*12/J19/J13</f>
        <v/>
      </c>
      <c r="K20" s="9">
        <f>SUM(K5:K8)*12/K19/K13</f>
        <v/>
      </c>
    </row>
    <row r="21">
      <c r="A21" t="inlineStr">
        <is>
          <t>Interchange</t>
        </is>
      </c>
      <c r="B21" s="9">
        <f>B9*12/B19/B13</f>
        <v/>
      </c>
      <c r="C21" s="9">
        <f>C9*12/C19/C13</f>
        <v/>
      </c>
      <c r="D21" s="9">
        <f>D9*12/D19/D13</f>
        <v/>
      </c>
      <c r="E21" s="9">
        <f>E9*12/E19/E13</f>
        <v/>
      </c>
      <c r="F21" s="9">
        <f>F9*12/F19/F13</f>
        <v/>
      </c>
      <c r="G21" s="9">
        <f>G9*12/G19/G13</f>
        <v/>
      </c>
      <c r="H21" s="9">
        <f>H9*12/H19/H13</f>
        <v/>
      </c>
      <c r="I21" s="9">
        <f>I9*12/I19/I13</f>
        <v/>
      </c>
      <c r="J21" s="9">
        <f>J9*12/J19/J13</f>
        <v/>
      </c>
      <c r="K21" s="9">
        <f>K9*12/K19/K13</f>
        <v/>
      </c>
    </row>
    <row r="22">
      <c r="A22" s="10" t="inlineStr">
        <is>
          <t>Gross yield — all revenue</t>
        </is>
      </c>
      <c r="B22" s="12">
        <f>B10*12/B19/B13</f>
        <v/>
      </c>
      <c r="C22" s="12">
        <f>C10*12/C19/C13</f>
        <v/>
      </c>
      <c r="D22" s="12">
        <f>D10*12/D19/D13</f>
        <v/>
      </c>
      <c r="E22" s="12">
        <f>E10*12/E19/E13</f>
        <v/>
      </c>
      <c r="F22" s="12">
        <f>F10*12/F19/F13</f>
        <v/>
      </c>
      <c r="G22" s="12">
        <f>G10*12/G19/G13</f>
        <v/>
      </c>
      <c r="H22" s="12">
        <f>H10*12/H19/H13</f>
        <v/>
      </c>
      <c r="I22" s="12">
        <f>I10*12/I19/I13</f>
        <v/>
      </c>
      <c r="J22" s="12">
        <f>J10*12/J19/J13</f>
        <v/>
      </c>
      <c r="K22" s="12">
        <f>K10*12/K19/K13</f>
        <v/>
      </c>
    </row>
    <row r="23">
      <c r="A23" t="inlineStr">
        <is>
          <t>Principal turnover (annualized originations ÷ average receivables)</t>
        </is>
      </c>
      <c r="B23" s="17">
        <f>B15*12/B19/B13</f>
        <v/>
      </c>
      <c r="C23" s="17">
        <f>C15*12/C19/C13</f>
        <v/>
      </c>
      <c r="D23" s="17">
        <f>D15*12/D19/D13</f>
        <v/>
      </c>
      <c r="E23" s="17">
        <f>E15*12/E19/E13</f>
        <v/>
      </c>
      <c r="F23" s="17">
        <f>F15*12/F19/F13</f>
        <v/>
      </c>
      <c r="G23" s="17">
        <f>G15*12/G19/G13</f>
        <v/>
      </c>
      <c r="H23" s="17">
        <f>H15*12/H19/H13</f>
        <v/>
      </c>
      <c r="I23" s="17">
        <f>I15*12/I19/I13</f>
        <v/>
      </c>
      <c r="J23" s="17">
        <f>J15*12/J19/J13</f>
        <v/>
      </c>
      <c r="K23" s="17">
        <f>K15*12/K19/K13</f>
        <v/>
      </c>
    </row>
    <row r="24">
      <c r="A24" t="inlineStr">
        <is>
          <t>Interchange rate on purchase volume (memo)</t>
        </is>
      </c>
      <c r="B24" s="18">
        <f>B9/B16</f>
        <v/>
      </c>
      <c r="C24" s="18">
        <f>C9/C16</f>
        <v/>
      </c>
      <c r="D24" s="18">
        <f>D9/D16</f>
        <v/>
      </c>
      <c r="E24" s="18">
        <f>E9/E16</f>
        <v/>
      </c>
      <c r="F24" s="18">
        <f>F9/F16</f>
        <v/>
      </c>
      <c r="G24" s="18">
        <f>G9/G16</f>
        <v/>
      </c>
      <c r="H24" s="18">
        <f>H9/H16</f>
        <v/>
      </c>
      <c r="I24" s="18">
        <f>I9/I16</f>
        <v/>
      </c>
      <c r="J24" s="18">
        <f>J9/J16</f>
        <v/>
      </c>
      <c r="K24" s="18">
        <f>K9/K16</f>
        <v/>
      </c>
    </row>
    <row r="25"/>
    <row r="26">
      <c r="A26" s="2" t="inlineStr">
        <is>
          <t>Revolving interest was introduced with the June 2026 statement cycle; statements before then carried no revolving interest, so the Jan–Sep column understates the current run-rate of what is now the largest revenue line.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showGridLines="0" workbookViewId="0">
      <selection activeCell="A1" sqref="A1"/>
    </sheetView>
  </sheetViews>
  <sheetFormatPr baseColWidth="8" defaultRowHeight="15"/>
  <cols>
    <col width="34" customWidth="1" min="1" max="1"/>
    <col width="12" customWidth="1" min="2" max="2"/>
    <col width="18" customWidth="1" min="3" max="3"/>
    <col width="22" customWidth="1" min="4" max="4"/>
    <col width="18" customWidth="1" min="5" max="5"/>
    <col width="16" customWidth="1" min="6" max="6"/>
    <col width="18" customWidth="1" min="7" max="7"/>
    <col width="18" customWidth="1" min="8" max="8"/>
    <col width="16" customWidth="1" min="9" max="9"/>
  </cols>
  <sheetData>
    <row r="1">
      <c r="A1" s="1" t="inlineStr">
        <is>
          <t>Loss rate on originated principal — 90+ days past due, vintages since January 2026</t>
        </is>
      </c>
    </row>
    <row r="2">
      <c r="A2" s="2" t="inlineStr">
        <is>
          <t>PHP. Each row is the principal originated in that month and how much of it sits on an account 90 or more days past due today (data as of 27 October 2026). Vintages begin January 2026, the first full month after the current underwriting model was introduced (December 2025).</t>
        </is>
      </c>
    </row>
    <row r="3"/>
    <row r="4" ht="60" customHeight="1">
      <c r="A4" s="3" t="inlineStr">
        <is>
          <t>Origination month</t>
        </is>
      </c>
      <c r="B4" s="3" t="inlineStr">
        <is>
          <t>Accounts originating</t>
        </is>
      </c>
      <c r="C4" s="3" t="inlineStr">
        <is>
          <t>Principal originated</t>
        </is>
      </c>
      <c r="D4" s="3" t="inlineStr">
        <is>
          <t>Principal on statements ≥90 days past due date (seasoned)</t>
        </is>
      </c>
      <c r="E4" s="3" t="inlineStr">
        <is>
          <t>Principal ≥90 DPD today</t>
        </is>
      </c>
      <c r="F4" s="3" t="inlineStr">
        <is>
          <t>Loss rate — all accounts</t>
        </is>
      </c>
      <c r="G4" s="3" t="inlineStr">
        <is>
          <t>Seasoned principal, ex-FPD</t>
        </is>
      </c>
      <c r="H4" s="3" t="inlineStr">
        <is>
          <t>Principal ≥90 DPD, ex-FPD</t>
        </is>
      </c>
      <c r="I4" s="3" t="inlineStr">
        <is>
          <t>Loss rate — ex-FPD</t>
        </is>
      </c>
    </row>
    <row r="5">
      <c r="A5" t="inlineStr">
        <is>
          <t>Jan 2026</t>
        </is>
      </c>
      <c r="B5" s="5" t="n">
        <v>3828</v>
      </c>
      <c r="C5" s="5" t="n">
        <v>69900973.84</v>
      </c>
      <c r="D5" s="5" t="n">
        <v>69900973.84</v>
      </c>
      <c r="E5" s="5" t="n">
        <v>1772322.4</v>
      </c>
      <c r="F5" s="18">
        <f>IF(D5=0,"not yet seasoned",E5/D5)</f>
        <v/>
      </c>
      <c r="G5" s="5" t="n">
        <v>69690793.31</v>
      </c>
      <c r="H5" s="5" t="n">
        <v>1577286.85</v>
      </c>
      <c r="I5" s="18">
        <f>IF(G5=0,"not yet seasoned",H5/G5)</f>
        <v/>
      </c>
    </row>
    <row r="6">
      <c r="A6" t="inlineStr">
        <is>
          <t>Feb 2026</t>
        </is>
      </c>
      <c r="B6" s="5" t="n">
        <v>4029</v>
      </c>
      <c r="C6" s="5" t="n">
        <v>60820771.28</v>
      </c>
      <c r="D6" s="5" t="n">
        <v>60820771.28</v>
      </c>
      <c r="E6" s="5" t="n">
        <v>716893.6800000001</v>
      </c>
      <c r="F6" s="18">
        <f>IF(D6=0,"not yet seasoned",E6/D6)</f>
        <v/>
      </c>
      <c r="G6" s="5" t="n">
        <v>60789404.74</v>
      </c>
      <c r="H6" s="5" t="n">
        <v>685527.14</v>
      </c>
      <c r="I6" s="18">
        <f>IF(G6=0,"not yet seasoned",H6/G6)</f>
        <v/>
      </c>
    </row>
    <row r="7">
      <c r="A7" t="inlineStr">
        <is>
          <t>Mar 2026</t>
        </is>
      </c>
      <c r="B7" s="5" t="n">
        <v>5113</v>
      </c>
      <c r="C7" s="5" t="n">
        <v>89743205.59</v>
      </c>
      <c r="D7" s="5" t="n">
        <v>89743205.59</v>
      </c>
      <c r="E7" s="5" t="n">
        <v>1967651.07</v>
      </c>
      <c r="F7" s="18">
        <f>IF(D7=0,"not yet seasoned",E7/D7)</f>
        <v/>
      </c>
      <c r="G7" s="5" t="n">
        <v>89089554.73999999</v>
      </c>
      <c r="H7" s="5" t="n">
        <v>1404938.62</v>
      </c>
      <c r="I7" s="18">
        <f>IF(G7=0,"not yet seasoned",H7/G7)</f>
        <v/>
      </c>
    </row>
    <row r="8">
      <c r="A8" t="inlineStr">
        <is>
          <t>Apr 2026</t>
        </is>
      </c>
      <c r="B8" s="5" t="n">
        <v>6505</v>
      </c>
      <c r="C8" s="5" t="n">
        <v>107115373.17</v>
      </c>
      <c r="D8" s="5" t="n">
        <v>107115373.17</v>
      </c>
      <c r="E8" s="5" t="n">
        <v>2382018.67</v>
      </c>
      <c r="F8" s="18">
        <f>IF(D8=0,"not yet seasoned",E8/D8)</f>
        <v/>
      </c>
      <c r="G8" s="5" t="n">
        <v>106123235.92</v>
      </c>
      <c r="H8" s="5" t="n">
        <v>1471002.56</v>
      </c>
      <c r="I8" s="18">
        <f>IF(G8=0,"not yet seasoned",H8/G8)</f>
        <v/>
      </c>
    </row>
    <row r="9">
      <c r="A9" t="inlineStr">
        <is>
          <t>May 2026</t>
        </is>
      </c>
      <c r="B9" s="5" t="n">
        <v>7564</v>
      </c>
      <c r="C9" s="5" t="n">
        <v>118184976.17</v>
      </c>
      <c r="D9" s="5" t="n">
        <v>118184976.17</v>
      </c>
      <c r="E9" s="5" t="n">
        <v>1950748.96</v>
      </c>
      <c r="F9" s="18">
        <f>IF(D9=0,"not yet seasoned",E9/D9)</f>
        <v/>
      </c>
      <c r="G9" s="5" t="n">
        <v>117226741.83</v>
      </c>
      <c r="H9" s="5" t="n">
        <v>1061583</v>
      </c>
      <c r="I9" s="18">
        <f>IF(G9=0,"not yet seasoned",H9/G9)</f>
        <v/>
      </c>
    </row>
    <row r="10">
      <c r="A10" t="inlineStr">
        <is>
          <t>Jun 2026</t>
        </is>
      </c>
      <c r="B10" s="5" t="n">
        <v>9024</v>
      </c>
      <c r="C10" s="5" t="n">
        <v>136417479.48</v>
      </c>
      <c r="D10" s="5" t="n">
        <v>136417479.48</v>
      </c>
      <c r="E10" s="5" t="n">
        <v>959336.8100000001</v>
      </c>
      <c r="F10" s="18">
        <f>IF(D10=0,"not yet seasoned",E10/D10)</f>
        <v/>
      </c>
      <c r="G10" s="5" t="n">
        <v>135917605.98</v>
      </c>
      <c r="H10" s="5" t="n">
        <v>459463.31</v>
      </c>
      <c r="I10" s="18">
        <f>IF(G10=0,"not yet seasoned",H10/G10)</f>
        <v/>
      </c>
    </row>
    <row r="11">
      <c r="A11" t="inlineStr">
        <is>
          <t>Jul 2026</t>
        </is>
      </c>
      <c r="B11" s="5" t="n">
        <v>11366</v>
      </c>
      <c r="C11" s="5" t="n">
        <v>140624271.71</v>
      </c>
      <c r="D11" s="5" t="n">
        <v>0</v>
      </c>
      <c r="E11" s="5" t="n">
        <v>38218.7</v>
      </c>
      <c r="F11" s="18">
        <f>IF(D11=0,"not yet seasoned",E11/D11)</f>
        <v/>
      </c>
      <c r="G11" s="5" t="n">
        <v>0</v>
      </c>
      <c r="H11" s="5" t="n">
        <v>8828.190000000001</v>
      </c>
      <c r="I11" s="18">
        <f>IF(G11=0,"not yet seasoned",H11/G11)</f>
        <v/>
      </c>
    </row>
    <row r="12">
      <c r="A12" t="inlineStr">
        <is>
          <t>Aug 2026</t>
        </is>
      </c>
      <c r="B12" s="5" t="n">
        <v>12347</v>
      </c>
      <c r="C12" s="5" t="n">
        <v>141888335.14</v>
      </c>
      <c r="D12" s="5" t="n">
        <v>0</v>
      </c>
      <c r="E12" s="5" t="n">
        <v>0</v>
      </c>
      <c r="F12" s="18">
        <f>IF(D12=0,"not yet seasoned",E12/D12)</f>
        <v/>
      </c>
      <c r="G12" s="5" t="n">
        <v>0</v>
      </c>
      <c r="H12" s="5" t="n">
        <v>0</v>
      </c>
      <c r="I12" s="18">
        <f>IF(G12=0,"not yet seasoned",H12/G12)</f>
        <v/>
      </c>
    </row>
    <row r="13">
      <c r="A13" t="inlineStr">
        <is>
          <t>Sep 2026</t>
        </is>
      </c>
      <c r="B13" s="5" t="n">
        <v>13196</v>
      </c>
      <c r="C13" s="5" t="n">
        <v>160221212.53</v>
      </c>
      <c r="D13" s="5" t="n">
        <v>0</v>
      </c>
      <c r="E13" s="5" t="n">
        <v>0</v>
      </c>
      <c r="F13" s="18">
        <f>IF(D13=0,"not yet seasoned",E13/D13)</f>
        <v/>
      </c>
      <c r="G13" s="5" t="n">
        <v>0</v>
      </c>
      <c r="H13" s="5" t="n">
        <v>0</v>
      </c>
      <c r="I13" s="18">
        <f>IF(G13=0,"not yet seasoned",H13/G13)</f>
        <v/>
      </c>
    </row>
    <row r="14">
      <c r="A14" s="13" t="inlineStr">
        <is>
          <t>Since January 2026 (all vintages above)</t>
        </is>
      </c>
      <c r="B14" s="14">
        <f>SUM(B5:B13)</f>
        <v/>
      </c>
      <c r="C14" s="14">
        <f>SUM(C5:C13)</f>
        <v/>
      </c>
      <c r="D14" s="14">
        <f>SUM(D5:D13)</f>
        <v/>
      </c>
      <c r="E14" s="14">
        <f>SUM(E5:E13)</f>
        <v/>
      </c>
      <c r="F14" s="20">
        <f>E14/D14</f>
        <v/>
      </c>
      <c r="G14" s="14">
        <f>SUM(G5:G13)</f>
        <v/>
      </c>
      <c r="H14" s="14">
        <f>SUM(H5:H13)</f>
        <v/>
      </c>
      <c r="I14" s="20">
        <f>H14/G14</f>
        <v/>
      </c>
    </row>
    <row r="15">
      <c r="A15" t="inlineStr">
        <is>
          <t>Memo: principal ≥90 DPD on first-payment-default accounts</t>
        </is>
      </c>
      <c r="E15" s="5">
        <f>E14-H14</f>
        <v/>
      </c>
      <c r="F15" s="9">
        <f>E15/E14</f>
        <v/>
      </c>
      <c r="G15" t="inlineStr">
        <is>
          <t>share of all ≥90 DPD principal</t>
        </is>
      </c>
    </row>
    <row r="16"/>
    <row r="17" ht="15" customHeight="1">
      <c r="A17" s="21" t="inlineStr">
        <is>
          <t>How to read this table</t>
        </is>
      </c>
    </row>
    <row r="18" ht="48" customHeight="1">
      <c r="A18" s="6" t="inlineStr">
        <is>
          <t>• Loss measure. Principal on accounts 90 or more days past due is used as the proxy for loss. Zed fully provisions at 180 days past due and has not yet written off any balances, so no recoveries are assumed and nothing has been reduced for cash collected after an account went delinquent. Interest and fees are excluded from both numerator and denominator.</t>
        </is>
      </c>
    </row>
    <row r="19" ht="48" customHeight="1">
      <c r="A19" s="6" t="inlineStr">
        <is>
          <t>• Seasoning. The denominator counts only principal whose statement due date is at least 90 days in the past, so the rate is measured on principal that has had the chance to reach 90 days past due. On this basis the July–September 2026 vintages are not yet measurable and are shown for completeness; the small amount of ≥90 DPD principal attributed to July sits on accounts that went delinquent on earlier statements.</t>
        </is>
      </c>
    </row>
    <row r="20" ht="48" customHeight="1">
      <c r="A20" s="6" t="inlineStr">
        <is>
          <t>• First-payment defaults (FPD). An account whose first-ever statement was the one missed, i.e. a cardholder who never made a payment. These are treated as fraud or identity cases rather than credit losses and are shown separately: the ex-FPD columns remove those accounts from both numerator and denominator. Receivables of this kind would ordinarily fall outside facility eligibility criteria.</t>
        </is>
      </c>
    </row>
    <row r="21" ht="48" customHeight="1">
      <c r="A21" s="6" t="inlineStr">
        <is>
          <t>• Why January 2026. The current underwriting model (V2) was deployed in December 2025 and is the model that originates the portfolio today; earlier vintages were originated under the prior model.</t>
        </is>
      </c>
    </row>
  </sheetData>
  <mergeCells count="5">
    <mergeCell ref="A19:I19"/>
    <mergeCell ref="A17:I17"/>
    <mergeCell ref="A18:I18"/>
    <mergeCell ref="A20:I20"/>
    <mergeCell ref="A21:I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0" customWidth="1" min="1" max="1"/>
    <col width="110" customWidth="1" min="2" max="2"/>
  </cols>
  <sheetData>
    <row r="1">
      <c r="A1" s="1" t="inlineStr">
        <is>
          <t>Definitions and sources</t>
        </is>
      </c>
    </row>
    <row r="2"/>
    <row r="3">
      <c r="A3" s="3" t="inlineStr">
        <is>
          <t>Item</t>
        </is>
      </c>
      <c r="B3" s="3" t="inlineStr">
        <is>
          <t>Definition</t>
        </is>
      </c>
    </row>
    <row r="4" ht="30" customHeight="1">
      <c r="A4" s="22" t="inlineStr">
        <is>
          <t>Scope</t>
        </is>
      </c>
      <c r="B4" s="6" t="inlineStr">
        <is>
          <t>Zed's Philippine credit card receivables, all cardholders, January–September 2026. All figures in PHP unless marked USD (converted at 55.8 for reference only).</t>
        </is>
      </c>
    </row>
    <row r="5" ht="60" customHeight="1">
      <c r="A5" s="22" t="inlineStr">
        <is>
          <t>Average receivables</t>
        </is>
      </c>
      <c r="B5" s="6" t="inlineStr">
        <is>
          <t>Monthly average of receivables outstanding (principal, interest and fees billed to cardholders, plus installment principal not yet billed). The January–September figure is the simple average of the nine monthly averages, and yields for that period are revenue for the nine months × 12 ÷ 9 ÷ that average.</t>
        </is>
      </c>
    </row>
    <row r="6" ht="30" customHeight="1">
      <c r="A6" s="22" t="inlineStr">
        <is>
          <t>Annualization</t>
        </is>
      </c>
      <c r="B6" s="6" t="inlineStr">
        <is>
          <t>Simple: monthly amount ÷ average receivables × 12. No compounding.</t>
        </is>
      </c>
    </row>
    <row r="7" ht="30" customHeight="1">
      <c r="A7" s="22" t="inlineStr">
        <is>
          <t>Revolving interest</t>
        </is>
      </c>
      <c r="B7" s="6" t="inlineStr">
        <is>
          <t>Finance charge billed on statements where the prior balance was not paid in full by the due date; 3% per month, the BSP ceiling. Launched with the statement cycle closing 30 June 2026.</t>
        </is>
      </c>
    </row>
    <row r="8" ht="30" customHeight="1">
      <c r="A8" s="22" t="inlineStr">
        <is>
          <t>Installment interest and upfront fees</t>
        </is>
      </c>
      <c r="B8" s="6" t="inlineStr">
        <is>
          <t>Interest of 1% per month billed on installment plan balances, and an upfront conversion fee of 0.5% per month of term billed when a purchase is converted to installments.</t>
        </is>
      </c>
    </row>
    <row r="9" ht="30" customHeight="1">
      <c r="A9" s="22" t="inlineStr">
        <is>
          <t>Late payment fees</t>
        </is>
      </c>
      <c r="B9" s="6" t="inlineStr">
        <is>
          <t>Fee billed when the minimum payment is not received by the due date.</t>
        </is>
      </c>
    </row>
    <row r="10" ht="75" customHeight="1">
      <c r="A10" s="22" t="inlineStr">
        <is>
          <t>Interchange</t>
        </is>
      </c>
      <c r="B10" s="6" t="inlineStr">
        <is>
          <t>Interchange received from Mastercard on cardholder purchases, gross (network and processing costs are not netted). Interchange is paid at settlement: the merchant receives the purchase amount less interchange, and the cardholder is billed the full purchase amount, so the interchange margin is collected as part of the cardholder's payment. The memo line on the Monthly Detail tab shows the same income as a percentage of purchase volume (1.38% in September 2026).</t>
        </is>
      </c>
    </row>
    <row r="11" ht="45" customHeight="1">
      <c r="A11" s="22" t="inlineStr">
        <is>
          <t>Principal originated</t>
        </is>
      </c>
      <c r="B11" s="6" t="inlineStr">
        <is>
          <t>Purchases and other charges billed to cardholders in the month, net of refunds, chargebacks and cancelled installment plan re-bookings. Source: Zed's statement data, the same data underlying the statement tape in the data room.</t>
        </is>
      </c>
    </row>
    <row r="12" ht="90" customHeight="1">
      <c r="A12" s="22" t="inlineStr">
        <is>
          <t>Loss rate</t>
        </is>
      </c>
      <c r="B12" s="6" t="inlineStr">
        <is>
          <t>Principal on accounts 90 or more days past due today, divided by originated principal on statements whose due date is at least 90 days old, for origination months January–September 2026 (in practice January–June, the vintages old enough to be measured). Shown for all accounts and excluding first-payment defaults; the window, the seasoning rule and the FPD definition are set out on the Loss Rate tab. Gross of recoveries; no balances have been written off to date (full provision at 180 DPD).</t>
        </is>
      </c>
    </row>
    <row r="13" ht="45" customHeight="1">
      <c r="A13" s="22" t="inlineStr">
        <is>
          <t>Loss on receivables</t>
        </is>
      </c>
      <c r="B13" s="6" t="inlineStr">
        <is>
          <t>Loss rate on originated principal × principal turnover (annualized originations ÷ average receivables). Expresses a loss on amounts lent as an annual charge against the receivables balance, on the same basis as the yields.</t>
        </is>
      </c>
    </row>
    <row r="14" ht="30" customHeight="1">
      <c r="A14" s="22" t="inlineStr">
        <is>
          <t>Net yield</t>
        </is>
      </c>
      <c r="B14" s="6" t="inlineStr">
        <is>
          <t>Gross yield less loss on receivables. Before operating costs, servicing, processing and network costs, funding costs, taxes and FX.</t>
        </is>
      </c>
    </row>
    <row r="15" ht="60" customHeight="1">
      <c r="A15" s="22" t="inlineStr">
        <is>
          <t>Sources</t>
        </is>
      </c>
      <c r="B15" s="6" t="inlineStr">
        <is>
          <t>Zed management reporting built from the i2c transaction and settlement extracts (revenue, receivables, purchase volume; as of 26 October 2026) and Zed's statement and delinquency data (originations, delinquency by origination month; as of 27 October 2026). September 2026 is the latest complete month.</t>
        </is>
      </c>
    </row>
    <row r="16" ht="30" customHeight="1">
      <c r="A16" s="22" t="inlineStr">
        <is>
          <t>Prepared</t>
        </is>
      </c>
      <c r="B16" s="6" t="inlineStr">
        <is>
          <t>Zed Financial, October 2026. Prepared for Accial Capital in connection with its evaluation of a receivables facility.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2026-10-27T20:04:12Z</dcterms:created>
  <dcterms:modified xmlns:dcterms="http://purl.org/dc/terms/" xmlns:xsi="http://www.w3.org/2001/XMLSchema-instance" xsi:type="dcterms:W3CDTF">2026-10-27T20:04:12Z</dcterms:modified>
</cp:coreProperties>
</file>