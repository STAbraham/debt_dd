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165" fontId="0" fillId="0" borderId="0" pivotButton="0" quotePrefix="0" xfId="0"/>
    <xf numFmtId="10" fontId="0"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applyAlignment="1" pivotButton="0" quotePrefix="0" xfId="0">
      <alignment vertical="top" wrapText="1"/>
    </xf>
    <xf numFmtId="166" fontId="0" fillId="0" borderId="0" pivotButton="0" quotePrefix="0" xfId="0"/>
    <xf numFmtId="10" fontId="4" fillId="4" borderId="1" pivotButton="0" quotePrefix="0" xfId="0"/>
    <xf numFmtId="0" fontId="4" fillId="0" borderId="0" applyAlignment="1" pivotButton="0" quotePrefix="0" xfId="0">
      <alignment vertical="top" wrapText="1"/>
    </xf>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2" customWidth="1" min="3" max="3"/>
    <col width="15" customWidth="1" min="4" max="4"/>
    <col width="12" customWidth="1" min="5" max="5"/>
    <col width="15" customWidth="1" min="6" max="6"/>
    <col width="12" customWidth="1" min="7" max="7"/>
    <col width="15" customWidth="1" min="8" max="8"/>
    <col width="12" customWidth="1" min="9" max="9"/>
    <col width="66" customWidth="1" min="10" max="10"/>
  </cols>
  <sheetData>
    <row r="1">
      <c r="A1" s="1" t="inlineStr">
        <is>
          <t>Zed — Portfolio yield on receivables</t>
        </is>
      </c>
    </row>
    <row r="2">
      <c r="A2" s="2" t="inlineStr">
        <is>
          <t>Gross and net yield on average receivables outstanding, annualized. July, August and September 2026 and the quarter together. PHP; before operating, servicing and funding costs.</t>
        </is>
      </c>
    </row>
    <row r="3"/>
    <row r="4">
      <c r="A4" s="3" t="inlineStr"/>
      <c r="B4" s="3" t="inlineStr">
        <is>
          <t>Jul 2026</t>
        </is>
      </c>
      <c r="C4" s="3" t="inlineStr">
        <is>
          <t>Annualized</t>
        </is>
      </c>
      <c r="D4" s="3" t="inlineStr">
        <is>
          <t>Aug 2026</t>
        </is>
      </c>
      <c r="E4" s="3" t="inlineStr">
        <is>
          <t>Annualized</t>
        </is>
      </c>
      <c r="F4" s="3" t="inlineStr">
        <is>
          <t>Sep 2026</t>
        </is>
      </c>
      <c r="G4" s="3" t="inlineStr">
        <is>
          <t>Annualized</t>
        </is>
      </c>
      <c r="H4" s="3" t="inlineStr">
        <is>
          <t>Jul–Sep 2026</t>
        </is>
      </c>
      <c r="I4" s="3" t="inlineStr">
        <is>
          <t>Annualized</t>
        </is>
      </c>
      <c r="J4" s="3" t="inlineStr">
        <is>
          <t>Notes</t>
        </is>
      </c>
    </row>
    <row r="5">
      <c r="A5" t="inlineStr">
        <is>
          <t>Months in period</t>
        </is>
      </c>
      <c r="B5" s="4" t="n">
        <v>1</v>
      </c>
      <c r="D5" s="4" t="n">
        <v>1</v>
      </c>
      <c r="F5" s="4" t="n">
        <v>1</v>
      </c>
      <c r="H5" s="4" t="n">
        <v>3</v>
      </c>
    </row>
    <row r="6" ht="34" customHeight="1">
      <c r="A6" t="inlineStr">
        <is>
          <t>Average receivables outstanding</t>
        </is>
      </c>
      <c r="B6" s="5">
        <f>'Monthly Detail'!H13</f>
        <v/>
      </c>
      <c r="D6" s="5">
        <f>'Monthly Detail'!I13</f>
        <v/>
      </c>
      <c r="F6" s="5">
        <f>'Monthly Detail'!J13</f>
        <v/>
      </c>
      <c r="H6" s="5">
        <f>'Monthly Detail'!K13</f>
        <v/>
      </c>
      <c r="J6" s="6" t="inlineStr">
        <is>
          <t>Monthly average of daily receivables; the quarter is the average of the three monthly averages.</t>
        </is>
      </c>
    </row>
    <row r="7">
      <c r="A7" s="7" t="inlineStr">
        <is>
          <t>Interest and fees — earned on balances</t>
        </is>
      </c>
      <c r="B7" s="8" t="n"/>
      <c r="C7" s="8" t="n"/>
      <c r="D7" s="8" t="n"/>
      <c r="E7" s="8" t="n"/>
      <c r="F7" s="8" t="n"/>
      <c r="G7" s="8" t="n"/>
      <c r="H7" s="8" t="n"/>
      <c r="I7" s="8" t="n"/>
      <c r="J7" s="8" t="n"/>
    </row>
    <row r="8" ht="34" customHeight="1">
      <c r="A8" t="inlineStr">
        <is>
          <t>Revolving interest</t>
        </is>
      </c>
      <c r="B8" s="5">
        <f>'Monthly Detail'!H5</f>
        <v/>
      </c>
      <c r="C8" s="9">
        <f>B8*12/B$5/B$6</f>
        <v/>
      </c>
      <c r="D8" s="5">
        <f>'Monthly Detail'!I5</f>
        <v/>
      </c>
      <c r="E8" s="9">
        <f>D8*12/D$5/D$6</f>
        <v/>
      </c>
      <c r="F8" s="5">
        <f>'Monthly Detail'!J5</f>
        <v/>
      </c>
      <c r="G8" s="9">
        <f>F8*12/F$5/F$6</f>
        <v/>
      </c>
      <c r="H8" s="5">
        <f>'Monthly Detail'!K5</f>
        <v/>
      </c>
      <c r="I8" s="9">
        <f>H8*12/H$5/H$6</f>
        <v/>
      </c>
      <c r="J8" s="6" t="inlineStr">
        <is>
          <t>3% per month on revolving balances (BSP cap). Introduced with the June 2026 statement cycle.</t>
        </is>
      </c>
    </row>
    <row r="9">
      <c r="A9" t="inlineStr">
        <is>
          <t>Installment interest</t>
        </is>
      </c>
      <c r="B9" s="5">
        <f>'Monthly Detail'!H6</f>
        <v/>
      </c>
      <c r="C9" s="9">
        <f>B9*12/B$5/B$6</f>
        <v/>
      </c>
      <c r="D9" s="5">
        <f>'Monthly Detail'!I6</f>
        <v/>
      </c>
      <c r="E9" s="9">
        <f>D9*12/D$5/D$6</f>
        <v/>
      </c>
      <c r="F9" s="5">
        <f>'Monthly Detail'!J6</f>
        <v/>
      </c>
      <c r="G9" s="9">
        <f>F9*12/F$5/F$6</f>
        <v/>
      </c>
      <c r="H9" s="5">
        <f>'Monthly Detail'!K6</f>
        <v/>
      </c>
      <c r="I9" s="9">
        <f>H9*12/H$5/H$6</f>
        <v/>
      </c>
      <c r="J9" s="6" t="inlineStr">
        <is>
          <t>1% per month on installment balances.</t>
        </is>
      </c>
    </row>
    <row r="10">
      <c r="A10" t="inlineStr">
        <is>
          <t>Installment upfront fees</t>
        </is>
      </c>
      <c r="B10" s="5">
        <f>'Monthly Detail'!H7</f>
        <v/>
      </c>
      <c r="C10" s="9">
        <f>B10*12/B$5/B$6</f>
        <v/>
      </c>
      <c r="D10" s="5">
        <f>'Monthly Detail'!I7</f>
        <v/>
      </c>
      <c r="E10" s="9">
        <f>D10*12/D$5/D$6</f>
        <v/>
      </c>
      <c r="F10" s="5">
        <f>'Monthly Detail'!J7</f>
        <v/>
      </c>
      <c r="G10" s="9">
        <f>F10*12/F$5/F$6</f>
        <v/>
      </c>
      <c r="H10" s="5">
        <f>'Monthly Detail'!K7</f>
        <v/>
      </c>
      <c r="I10" s="9">
        <f>H10*12/H$5/H$6</f>
        <v/>
      </c>
      <c r="J10" s="6" t="inlineStr">
        <is>
          <t>0.5% × term in months, billed at conversion.</t>
        </is>
      </c>
    </row>
    <row r="11">
      <c r="A11" t="inlineStr">
        <is>
          <t>Late payment fees</t>
        </is>
      </c>
      <c r="B11" s="5">
        <f>'Monthly Detail'!H8</f>
        <v/>
      </c>
      <c r="C11" s="9">
        <f>B11*12/B$5/B$6</f>
        <v/>
      </c>
      <c r="D11" s="5">
        <f>'Monthly Detail'!I8</f>
        <v/>
      </c>
      <c r="E11" s="9">
        <f>D11*12/D$5/D$6</f>
        <v/>
      </c>
      <c r="F11" s="5">
        <f>'Monthly Detail'!J8</f>
        <v/>
      </c>
      <c r="G11" s="9">
        <f>F11*12/F$5/F$6</f>
        <v/>
      </c>
      <c r="H11" s="5">
        <f>'Monthly Detail'!K8</f>
        <v/>
      </c>
      <c r="I11" s="9">
        <f>H11*12/H$5/H$6</f>
        <v/>
      </c>
    </row>
    <row r="12">
      <c r="A12" s="10" t="inlineStr">
        <is>
          <t>Interest and fees</t>
        </is>
      </c>
      <c r="B12" s="11">
        <f>SUM(B8:B11)</f>
        <v/>
      </c>
      <c r="C12" s="12">
        <f>B12*12/B$5/B$6</f>
        <v/>
      </c>
      <c r="D12" s="11">
        <f>SUM(D8:D11)</f>
        <v/>
      </c>
      <c r="E12" s="12">
        <f>D12*12/D$5/D$6</f>
        <v/>
      </c>
      <c r="F12" s="11">
        <f>SUM(F8:F11)</f>
        <v/>
      </c>
      <c r="G12" s="12">
        <f>F12*12/F$5/F$6</f>
        <v/>
      </c>
      <c r="H12" s="11">
        <f>SUM(H8:H11)</f>
        <v/>
      </c>
      <c r="I12" s="12">
        <f>H12*12/H$5/H$6</f>
        <v/>
      </c>
    </row>
    <row r="13"/>
    <row r="14">
      <c r="A14" s="7" t="inlineStr">
        <is>
          <t>Interchange — earned on purchases, so a function of turnover</t>
        </is>
      </c>
      <c r="B14" s="8" t="n"/>
      <c r="C14" s="8" t="n"/>
      <c r="D14" s="8" t="n"/>
      <c r="E14" s="8" t="n"/>
      <c r="F14" s="8" t="n"/>
      <c r="G14" s="8" t="n"/>
      <c r="H14" s="8" t="n"/>
      <c r="I14" s="8" t="n"/>
      <c r="J14" s="8" t="n"/>
    </row>
    <row r="15" ht="34" customHeight="1">
      <c r="A15" t="inlineStr">
        <is>
          <t>Purchase volume settled</t>
        </is>
      </c>
      <c r="B15" s="5">
        <f>'Monthly Detail'!H16</f>
        <v/>
      </c>
      <c r="D15" s="5">
        <f>'Monthly Detail'!I16</f>
        <v/>
      </c>
      <c r="F15" s="5">
        <f>'Monthly Detail'!J16</f>
        <v/>
      </c>
      <c r="H15" s="5">
        <f>'Monthly Detail'!K16</f>
        <v/>
      </c>
      <c r="J15" s="6" t="inlineStr">
        <is>
          <t>Cardholder purchases settled through Mastercard, net of returns.</t>
        </is>
      </c>
    </row>
    <row r="16" ht="34" customHeight="1">
      <c r="A16" t="inlineStr">
        <is>
          <t>Purchase turnover (annualized purchase volume ÷ average receivables)</t>
        </is>
      </c>
      <c r="C16" s="13">
        <f>B15*12/B$5/B$6</f>
        <v/>
      </c>
      <c r="E16" s="13">
        <f>D15*12/D$5/D$6</f>
        <v/>
      </c>
      <c r="G16" s="13">
        <f>F15*12/F$5/F$6</f>
        <v/>
      </c>
      <c r="I16" s="13">
        <f>H15*12/H$5/H$6</f>
        <v/>
      </c>
      <c r="J16" s="6" t="inlineStr">
        <is>
          <t>How many times a year the book is re-spent. Falls as more of the book revolves.</t>
        </is>
      </c>
    </row>
    <row r="17" ht="34" customHeight="1">
      <c r="A17" t="inlineStr">
        <is>
          <t>Interchange rate on purchase volume</t>
        </is>
      </c>
      <c r="C17" s="14">
        <f>B18/B15</f>
        <v/>
      </c>
      <c r="E17" s="14">
        <f>D18/D15</f>
        <v/>
      </c>
      <c r="G17" s="14">
        <f>F18/F15</f>
        <v/>
      </c>
      <c r="I17" s="14">
        <f>H18/H15</f>
        <v/>
      </c>
      <c r="J17" s="6" t="inlineStr">
        <is>
          <t>Set by Mastercard by merchant category and domestic/foreign; gross of network and processing costs.</t>
        </is>
      </c>
    </row>
    <row r="18" ht="80" customHeight="1">
      <c r="A18" s="10" t="inlineStr">
        <is>
          <t>Interchange income</t>
        </is>
      </c>
      <c r="B18" s="11">
        <f>'Monthly Detail'!H9</f>
        <v/>
      </c>
      <c r="C18" s="12">
        <f>C17*C16</f>
        <v/>
      </c>
      <c r="D18" s="11">
        <f>'Monthly Detail'!I9</f>
        <v/>
      </c>
      <c r="E18" s="12">
        <f>E17*E16</f>
        <v/>
      </c>
      <c r="F18" s="11">
        <f>'Monthly Detail'!J9</f>
        <v/>
      </c>
      <c r="G18" s="12">
        <f>G17*G16</f>
        <v/>
      </c>
      <c r="H18" s="11">
        <f>'Monthly Detail'!K9</f>
        <v/>
      </c>
      <c r="I18" s="12">
        <f>I17*I16</f>
        <v/>
      </c>
      <c r="J18" s="6" t="inlineStr">
        <is>
          <t>Yield on receivables = interchange rate × purchase turnover. Mastercard settles each purchase to the merchant net of interchange and the cardholder is billed the full amount, so interchange is collected through cardholder payments. It is earned once, when the receivable is created; a balance that then revolves earns interest, not further interchange.</t>
        </is>
      </c>
    </row>
    <row r="19"/>
    <row r="20">
      <c r="A20" s="7" t="inlineStr">
        <is>
          <t>Gross yield (annualized, on average receivables)</t>
        </is>
      </c>
      <c r="B20" s="8" t="n"/>
      <c r="C20" s="8" t="n"/>
      <c r="D20" s="8" t="n"/>
      <c r="E20" s="8" t="n"/>
      <c r="F20" s="8" t="n"/>
      <c r="G20" s="8" t="n"/>
      <c r="H20" s="8" t="n"/>
      <c r="I20" s="8" t="n"/>
      <c r="J20" s="8" t="n"/>
    </row>
    <row r="21">
      <c r="A21" t="inlineStr">
        <is>
          <t>Gross yield — interest and fees</t>
        </is>
      </c>
      <c r="C21" s="9">
        <f>C12</f>
        <v/>
      </c>
      <c r="E21" s="9">
        <f>E12</f>
        <v/>
      </c>
      <c r="G21" s="9">
        <f>G12</f>
        <v/>
      </c>
      <c r="I21" s="9">
        <f>I12</f>
        <v/>
      </c>
    </row>
    <row r="22" ht="34" customHeight="1">
      <c r="A22" s="15" t="inlineStr">
        <is>
          <t>Gross yield — all revenue, including interchange</t>
        </is>
      </c>
      <c r="B22" s="16">
        <f>B12+B18</f>
        <v/>
      </c>
      <c r="C22" s="17">
        <f>C12+C18</f>
        <v/>
      </c>
      <c r="D22" s="16">
        <f>D12+D18</f>
        <v/>
      </c>
      <c r="E22" s="17">
        <f>E12+E18</f>
        <v/>
      </c>
      <c r="F22" s="16">
        <f>F12+F18</f>
        <v/>
      </c>
      <c r="G22" s="17">
        <f>G12+G18</f>
        <v/>
      </c>
      <c r="H22" s="16">
        <f>H12+H18</f>
        <v/>
      </c>
      <c r="I22" s="17">
        <f>I12+I18</f>
        <v/>
      </c>
      <c r="J22" s="18" t="inlineStr">
        <is>
          <t>Amount column: total revenue for the period (ties to Monthly Detail).</t>
        </is>
      </c>
    </row>
    <row r="23"/>
    <row r="24">
      <c r="A24" s="7" t="inlineStr">
        <is>
          <t>Loss on receivables — also a function of turnover</t>
        </is>
      </c>
      <c r="B24" s="8" t="n"/>
      <c r="C24" s="8" t="n"/>
      <c r="D24" s="8" t="n"/>
      <c r="E24" s="8" t="n"/>
      <c r="F24" s="8" t="n"/>
      <c r="G24" s="8" t="n"/>
      <c r="H24" s="8" t="n"/>
      <c r="I24" s="8" t="n"/>
      <c r="J24" s="8" t="n"/>
    </row>
    <row r="25" ht="34" customHeight="1">
      <c r="A25" t="inlineStr">
        <is>
          <t>Principal originated in period</t>
        </is>
      </c>
      <c r="B25" s="5">
        <f>'Monthly Detail'!H15</f>
        <v/>
      </c>
      <c r="D25" s="5">
        <f>'Monthly Detail'!I15</f>
        <v/>
      </c>
      <c r="F25" s="5">
        <f>'Monthly Detail'!J15</f>
        <v/>
      </c>
      <c r="H25" s="5">
        <f>'Monthly Detail'!K15</f>
        <v/>
      </c>
      <c r="J25" s="6" t="inlineStr">
        <is>
          <t>Purchases billed to cardholders, net of refunds, chargebacks and cancelled-plan re-bookings; lower than purchase volume by definition.</t>
        </is>
      </c>
    </row>
    <row r="26" ht="34" customHeight="1">
      <c r="A26" t="inlineStr">
        <is>
          <t>Principal turnover (annualized originated principal ÷ average receivables)</t>
        </is>
      </c>
      <c r="C26" s="13">
        <f>B25*12/B$5/B$6</f>
        <v/>
      </c>
      <c r="E26" s="13">
        <f>D25*12/D$5/D$6</f>
        <v/>
      </c>
      <c r="G26" s="13">
        <f>F25*12/F$5/F$6</f>
        <v/>
      </c>
      <c r="I26" s="13">
        <f>H25*12/H$5/H$6</f>
        <v/>
      </c>
      <c r="J26" s="6" t="inlineStr">
        <is>
          <t>Each peso of receivables is re-lent several times a year, so a loss rate on originations must be multiplied by turnover to compare it with a yield on balances.</t>
        </is>
      </c>
    </row>
    <row r="27" ht="80" customHeight="1">
      <c r="A27" t="inlineStr">
        <is>
          <t>Loss rate on originated principal — ≥90 DPD, excluding first-payment defaults</t>
        </is>
      </c>
      <c r="C27" s="14">
        <f>loss_rate_xfpd</f>
        <v/>
      </c>
      <c r="E27" s="14">
        <f>loss_rate_xfpd</f>
        <v/>
      </c>
      <c r="G27" s="14">
        <f>loss_rate_xfpd</f>
        <v/>
      </c>
      <c r="I27" s="14">
        <f>loss_rate_xfpd</f>
        <v/>
      </c>
      <c r="J27" s="6" t="inlineStr">
        <is>
          <t>See the Loss Rate tab. Principal 90+ days past due ÷ originated principal on statements whose due date is ≥90 days old, vintages since January 2026, gross of recoveries; first-payment-default accounts (never made a payment; fraud/identity rather than credit) excluded from numerator and denominator. The same rate is applied to every period.</t>
        </is>
      </c>
    </row>
    <row r="28">
      <c r="A28" s="10" t="inlineStr">
        <is>
          <t>Loss on receivables (loss rate × principal turnover)</t>
        </is>
      </c>
      <c r="B28" s="10" t="n"/>
      <c r="C28" s="12">
        <f>C27*C26</f>
        <v/>
      </c>
      <c r="D28" s="10" t="n"/>
      <c r="E28" s="12">
        <f>E27*E26</f>
        <v/>
      </c>
      <c r="F28" s="10" t="n"/>
      <c r="G28" s="12">
        <f>G27*G26</f>
        <v/>
      </c>
      <c r="H28" s="10" t="n"/>
      <c r="I28" s="12">
        <f>I27*I26</f>
        <v/>
      </c>
    </row>
    <row r="29"/>
    <row r="30">
      <c r="A30" s="7" t="inlineStr">
        <is>
          <t>Net yield</t>
        </is>
      </c>
      <c r="B30" s="8" t="n"/>
      <c r="C30" s="8" t="n"/>
      <c r="D30" s="8" t="n"/>
      <c r="E30" s="8" t="n"/>
      <c r="F30" s="8" t="n"/>
      <c r="G30" s="8" t="n"/>
      <c r="H30" s="8" t="n"/>
      <c r="I30" s="8" t="n"/>
      <c r="J30" s="8" t="n"/>
    </row>
    <row r="31">
      <c r="A31" s="10" t="inlineStr">
        <is>
          <t>Net yield — all revenue less loss on receivables</t>
        </is>
      </c>
      <c r="B31" s="10" t="n"/>
      <c r="C31" s="12">
        <f>C22-C28</f>
        <v/>
      </c>
      <c r="D31" s="10" t="n"/>
      <c r="E31" s="12">
        <f>E22-E28</f>
        <v/>
      </c>
      <c r="F31" s="10" t="n"/>
      <c r="G31" s="12">
        <f>G22-G28</f>
        <v/>
      </c>
      <c r="H31" s="10" t="n"/>
      <c r="I31" s="12">
        <f>I22-I28</f>
        <v/>
      </c>
      <c r="J31" s="6" t="inlineStr">
        <is>
          <t>Before operating, servicing and funding costs.</t>
        </is>
      </c>
    </row>
    <row r="32"/>
    <row r="33">
      <c r="A33" s="7" t="inlineStr">
        <is>
          <t>Memo — USD equivalents</t>
        </is>
      </c>
      <c r="B33" s="8" t="n"/>
      <c r="C33" s="8" t="n"/>
      <c r="D33" s="8" t="n"/>
      <c r="E33" s="8" t="n"/>
      <c r="F33" s="8" t="n"/>
      <c r="G33" s="8" t="n"/>
      <c r="H33" s="8" t="n"/>
      <c r="I33" s="8" t="n"/>
      <c r="J33" s="8" t="n"/>
    </row>
    <row r="34">
      <c r="A34" t="inlineStr">
        <is>
          <t>PHP per USD</t>
        </is>
      </c>
      <c r="B34" s="19" t="n">
        <v>55.8</v>
      </c>
      <c r="D34" s="19" t="n">
        <v>55.8</v>
      </c>
      <c r="F34" s="19" t="n">
        <v>55.8</v>
      </c>
      <c r="H34" s="19" t="n">
        <v>55.8</v>
      </c>
    </row>
    <row r="35">
      <c r="A35" t="inlineStr">
        <is>
          <t>Average receivables outstanding (USD)</t>
        </is>
      </c>
      <c r="B35" s="5">
        <f>B6/B34</f>
        <v/>
      </c>
      <c r="D35" s="5">
        <f>D6/D34</f>
        <v/>
      </c>
      <c r="F35" s="5">
        <f>F6/F34</f>
        <v/>
      </c>
      <c r="H35" s="5">
        <f>H6/H34</f>
        <v/>
      </c>
    </row>
    <row r="36">
      <c r="A36" t="inlineStr">
        <is>
          <t>Total revenue (USD)</t>
        </is>
      </c>
      <c r="B36" s="5">
        <f>B22/B34</f>
        <v/>
      </c>
      <c r="D36" s="5">
        <f>D22/D34</f>
        <v/>
      </c>
      <c r="F36" s="5">
        <f>F22/F34</f>
        <v/>
      </c>
      <c r="H36" s="5">
        <f>H22/H34</f>
        <v/>
      </c>
    </row>
    <row r="37">
      <c r="A37" t="inlineStr">
        <is>
          <t>Purchase volume settled (USD)</t>
        </is>
      </c>
      <c r="B37" s="5">
        <f>B15/B34</f>
        <v/>
      </c>
      <c r="D37" s="5">
        <f>D15/D34</f>
        <v/>
      </c>
      <c r="F37" s="5">
        <f>F15/F34</f>
        <v/>
      </c>
      <c r="H37" s="5">
        <f>H15/H34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Jul–Sep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SUM(H5:J5)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SUM(H6:J6)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SUM(H7:J7)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SUM(H8:J8)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SUM(H9:J9)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AVERAGE(H13:J13)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(purchases billed, net of refunds and chargebacks)</t>
        </is>
      </c>
      <c r="B15" s="5" t="n">
        <v>69900973.84</v>
      </c>
      <c r="C15" s="5" t="n">
        <v>60820771.28</v>
      </c>
      <c r="D15" s="5" t="n">
        <v>89743205.59</v>
      </c>
      <c r="E15" s="5" t="n">
        <v>107115373.17</v>
      </c>
      <c r="F15" s="5" t="n">
        <v>118184976.17</v>
      </c>
      <c r="G15" s="5" t="n">
        <v>136417479.48</v>
      </c>
      <c r="H15" s="5" t="n">
        <v>140624271.71</v>
      </c>
      <c r="I15" s="5" t="n">
        <v>141888335.14</v>
      </c>
      <c r="J15" s="5" t="n">
        <v>160221212.53</v>
      </c>
      <c r="K15" s="5">
        <f>SUM(H15:J15)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SUM(H16:J16)</f>
        <v/>
      </c>
    </row>
    <row r="17"/>
    <row r="18">
      <c r="A18" s="7" t="inlineStr">
        <is>
          <t>Annualized yields on average receivables</t>
        </is>
      </c>
      <c r="B18" s="8" t="n"/>
      <c r="C18" s="8" t="n"/>
      <c r="D18" s="8" t="n"/>
      <c r="E18" s="8" t="n"/>
      <c r="F18" s="8" t="n"/>
      <c r="G18" s="8" t="n"/>
      <c r="H18" s="8" t="n"/>
      <c r="I18" s="8" t="n"/>
      <c r="J18" s="8" t="n"/>
      <c r="K18" s="8" t="n"/>
    </row>
    <row r="19">
      <c r="A19" t="inlineStr">
        <is>
          <t>Months in period</t>
        </is>
      </c>
      <c r="B19" t="n">
        <v>1</v>
      </c>
      <c r="C19" t="n">
        <v>1</v>
      </c>
      <c r="D19" t="n">
        <v>1</v>
      </c>
      <c r="E19" t="n">
        <v>1</v>
      </c>
      <c r="F19" t="n">
        <v>1</v>
      </c>
      <c r="G19" t="n">
        <v>1</v>
      </c>
      <c r="H19" t="n">
        <v>1</v>
      </c>
      <c r="I19" t="n">
        <v>1</v>
      </c>
      <c r="J19" t="n">
        <v>1</v>
      </c>
      <c r="K19" t="n">
        <v>3</v>
      </c>
    </row>
    <row r="20">
      <c r="A20" t="inlineStr">
        <is>
          <t>Interest and fees (revolving + installment + late)</t>
        </is>
      </c>
      <c r="B20" s="9">
        <f>SUM(B5:B8)*12/B19/B13</f>
        <v/>
      </c>
      <c r="C20" s="9">
        <f>SUM(C5:C8)*12/C19/C13</f>
        <v/>
      </c>
      <c r="D20" s="9">
        <f>SUM(D5:D8)*12/D19/D13</f>
        <v/>
      </c>
      <c r="E20" s="9">
        <f>SUM(E5:E8)*12/E19/E13</f>
        <v/>
      </c>
      <c r="F20" s="9">
        <f>SUM(F5:F8)*12/F19/F13</f>
        <v/>
      </c>
      <c r="G20" s="9">
        <f>SUM(G5:G8)*12/G19/G13</f>
        <v/>
      </c>
      <c r="H20" s="9">
        <f>SUM(H5:H8)*12/H19/H13</f>
        <v/>
      </c>
      <c r="I20" s="9">
        <f>SUM(I5:I8)*12/I19/I13</f>
        <v/>
      </c>
      <c r="J20" s="9">
        <f>SUM(J5:J8)*12/J19/J13</f>
        <v/>
      </c>
      <c r="K20" s="9">
        <f>SUM(K5:K8)*12/K19/K13</f>
        <v/>
      </c>
    </row>
    <row r="21">
      <c r="A21" t="inlineStr">
        <is>
          <t>Interchange</t>
        </is>
      </c>
      <c r="B21" s="9">
        <f>B9*12/B19/B13</f>
        <v/>
      </c>
      <c r="C21" s="9">
        <f>C9*12/C19/C13</f>
        <v/>
      </c>
      <c r="D21" s="9">
        <f>D9*12/D19/D13</f>
        <v/>
      </c>
      <c r="E21" s="9">
        <f>E9*12/E19/E13</f>
        <v/>
      </c>
      <c r="F21" s="9">
        <f>F9*12/F19/F13</f>
        <v/>
      </c>
      <c r="G21" s="9">
        <f>G9*12/G19/G13</f>
        <v/>
      </c>
      <c r="H21" s="9">
        <f>H9*12/H19/H13</f>
        <v/>
      </c>
      <c r="I21" s="9">
        <f>I9*12/I19/I13</f>
        <v/>
      </c>
      <c r="J21" s="9">
        <f>J9*12/J19/J13</f>
        <v/>
      </c>
      <c r="K21" s="9">
        <f>K9*12/K19/K13</f>
        <v/>
      </c>
    </row>
    <row r="22">
      <c r="A22" s="10" t="inlineStr">
        <is>
          <t>Gross yield — all revenue</t>
        </is>
      </c>
      <c r="B22" s="12">
        <f>B10*12/B19/B13</f>
        <v/>
      </c>
      <c r="C22" s="12">
        <f>C10*12/C19/C13</f>
        <v/>
      </c>
      <c r="D22" s="12">
        <f>D10*12/D19/D13</f>
        <v/>
      </c>
      <c r="E22" s="12">
        <f>E10*12/E19/E13</f>
        <v/>
      </c>
      <c r="F22" s="12">
        <f>F10*12/F19/F13</f>
        <v/>
      </c>
      <c r="G22" s="12">
        <f>G10*12/G19/G13</f>
        <v/>
      </c>
      <c r="H22" s="12">
        <f>H10*12/H19/H13</f>
        <v/>
      </c>
      <c r="I22" s="12">
        <f>I10*12/I19/I13</f>
        <v/>
      </c>
      <c r="J22" s="12">
        <f>J10*12/J19/J13</f>
        <v/>
      </c>
      <c r="K22" s="12">
        <f>K10*12/K19/K13</f>
        <v/>
      </c>
    </row>
    <row r="23">
      <c r="A23" t="inlineStr">
        <is>
          <t>Principal turnover (annualized originated principal ÷ average receivables)</t>
        </is>
      </c>
      <c r="B23" s="13">
        <f>B15*12/B19/B13</f>
        <v/>
      </c>
      <c r="C23" s="13">
        <f>C15*12/C19/C13</f>
        <v/>
      </c>
      <c r="D23" s="13">
        <f>D15*12/D19/D13</f>
        <v/>
      </c>
      <c r="E23" s="13">
        <f>E15*12/E19/E13</f>
        <v/>
      </c>
      <c r="F23" s="13">
        <f>F15*12/F19/F13</f>
        <v/>
      </c>
      <c r="G23" s="13">
        <f>G15*12/G19/G13</f>
        <v/>
      </c>
      <c r="H23" s="13">
        <f>H15*12/H19/H13</f>
        <v/>
      </c>
      <c r="I23" s="13">
        <f>I15*12/I19/I13</f>
        <v/>
      </c>
      <c r="J23" s="13">
        <f>J15*12/J19/J13</f>
        <v/>
      </c>
      <c r="K23" s="13">
        <f>K15*12/K19/K13</f>
        <v/>
      </c>
    </row>
    <row r="24">
      <c r="A24" t="inlineStr">
        <is>
          <t>Purchase turnover (annualized purchase volume ÷ average receivables)</t>
        </is>
      </c>
      <c r="B24" s="13">
        <f>B16*12/B19/B13</f>
        <v/>
      </c>
      <c r="C24" s="13">
        <f>C16*12/C19/C13</f>
        <v/>
      </c>
      <c r="D24" s="13">
        <f>D16*12/D19/D13</f>
        <v/>
      </c>
      <c r="E24" s="13">
        <f>E16*12/E19/E13</f>
        <v/>
      </c>
      <c r="F24" s="13">
        <f>F16*12/F19/F13</f>
        <v/>
      </c>
      <c r="G24" s="13">
        <f>G16*12/G19/G13</f>
        <v/>
      </c>
      <c r="H24" s="13">
        <f>H16*12/H19/H13</f>
        <v/>
      </c>
      <c r="I24" s="13">
        <f>I16*12/I19/I13</f>
        <v/>
      </c>
      <c r="J24" s="13">
        <f>J16*12/J19/J13</f>
        <v/>
      </c>
      <c r="K24" s="13">
        <f>K16*12/K19/K13</f>
        <v/>
      </c>
    </row>
    <row r="25">
      <c r="A25" t="inlineStr">
        <is>
          <t>Interchange rate on purchase volume</t>
        </is>
      </c>
      <c r="B25" s="14">
        <f>B9/B16</f>
        <v/>
      </c>
      <c r="C25" s="14">
        <f>C9/C16</f>
        <v/>
      </c>
      <c r="D25" s="14">
        <f>D9/D16</f>
        <v/>
      </c>
      <c r="E25" s="14">
        <f>E9/E16</f>
        <v/>
      </c>
      <c r="F25" s="14">
        <f>F9/F16</f>
        <v/>
      </c>
      <c r="G25" s="14">
        <f>G9/G16</f>
        <v/>
      </c>
      <c r="H25" s="14">
        <f>H9/H16</f>
        <v/>
      </c>
      <c r="I25" s="14">
        <f>I9/I16</f>
        <v/>
      </c>
      <c r="J25" s="14">
        <f>J9/J16</f>
        <v/>
      </c>
      <c r="K25" s="14">
        <f>K9/K16</f>
        <v/>
      </c>
    </row>
    <row r="26"/>
    <row r="27">
      <c r="A27" s="2" t="inlineStr">
        <is>
          <t>Installment plans scaled from March 2026 and revolving interest was introduced with the June 2026 statement cycle, so July–September 2026 is the first quarter with every revenue line in place. Earlier months are shown for completeness.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34" customWidth="1" min="1" max="1"/>
    <col width="12"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60" customHeight="1">
      <c r="A4" s="3" t="inlineStr">
        <is>
          <t>Origination month</t>
        </is>
      </c>
      <c r="B4" s="3" t="inlineStr">
        <is>
          <t>Accounts originating</t>
        </is>
      </c>
      <c r="C4" s="3" t="inlineStr">
        <is>
          <t>Principal originated</t>
        </is>
      </c>
      <c r="D4" s="3" t="inlineStr">
        <is>
          <t>Principal on statements ≥90 days past due date (seasoned)</t>
        </is>
      </c>
      <c r="E4" s="3" t="inlineStr">
        <is>
          <t>Principal ≥90 DPD on first-payment-default accounts (excluded)</t>
        </is>
      </c>
      <c r="F4" s="3" t="inlineStr">
        <is>
          <t>Seasoned principal, ex-FPD</t>
        </is>
      </c>
      <c r="G4" s="3" t="inlineStr">
        <is>
          <t>Principal ≥90 DPD, ex-FPD</t>
        </is>
      </c>
      <c r="H4" s="3" t="inlineStr">
        <is>
          <t>Loss rate (≥90 DPD ex-FPD ÷ seasoned principal ex-FPD)</t>
        </is>
      </c>
    </row>
    <row r="5">
      <c r="A5" t="inlineStr">
        <is>
          <t>Jan 2026</t>
        </is>
      </c>
      <c r="B5" s="5" t="n">
        <v>3828</v>
      </c>
      <c r="C5" s="5" t="n">
        <v>69900973.84</v>
      </c>
      <c r="D5" s="5" t="n">
        <v>69900973.84</v>
      </c>
      <c r="E5" s="5" t="n">
        <v>195035.55</v>
      </c>
      <c r="F5" s="5" t="n">
        <v>69690793.31</v>
      </c>
      <c r="G5" s="5" t="n">
        <v>1577286.85</v>
      </c>
      <c r="H5" s="14">
        <f>IF(F5=0,"not yet seasoned",G5/F5)</f>
        <v/>
      </c>
    </row>
    <row r="6">
      <c r="A6" t="inlineStr">
        <is>
          <t>Feb 2026</t>
        </is>
      </c>
      <c r="B6" s="5" t="n">
        <v>4029</v>
      </c>
      <c r="C6" s="5" t="n">
        <v>60820771.28</v>
      </c>
      <c r="D6" s="5" t="n">
        <v>60820771.28</v>
      </c>
      <c r="E6" s="5" t="n">
        <v>31366.54</v>
      </c>
      <c r="F6" s="5" t="n">
        <v>60789404.74</v>
      </c>
      <c r="G6" s="5" t="n">
        <v>685527.14</v>
      </c>
      <c r="H6" s="14">
        <f>IF(F6=0,"not yet seasoned",G6/F6)</f>
        <v/>
      </c>
    </row>
    <row r="7">
      <c r="A7" t="inlineStr">
        <is>
          <t>Mar 2026</t>
        </is>
      </c>
      <c r="B7" s="5" t="n">
        <v>5113</v>
      </c>
      <c r="C7" s="5" t="n">
        <v>89743205.59</v>
      </c>
      <c r="D7" s="5" t="n">
        <v>89743205.59</v>
      </c>
      <c r="E7" s="5" t="n">
        <v>562712.45</v>
      </c>
      <c r="F7" s="5" t="n">
        <v>89089554.73999999</v>
      </c>
      <c r="G7" s="5" t="n">
        <v>1404938.62</v>
      </c>
      <c r="H7" s="14">
        <f>IF(F7=0,"not yet seasoned",G7/F7)</f>
        <v/>
      </c>
    </row>
    <row r="8">
      <c r="A8" t="inlineStr">
        <is>
          <t>Apr 2026</t>
        </is>
      </c>
      <c r="B8" s="5" t="n">
        <v>6505</v>
      </c>
      <c r="C8" s="5" t="n">
        <v>107115373.17</v>
      </c>
      <c r="D8" s="5" t="n">
        <v>107115373.17</v>
      </c>
      <c r="E8" s="5" t="n">
        <v>911016.11</v>
      </c>
      <c r="F8" s="5" t="n">
        <v>106123235.92</v>
      </c>
      <c r="G8" s="5" t="n">
        <v>1471002.56</v>
      </c>
      <c r="H8" s="14">
        <f>IF(F8=0,"not yet seasoned",G8/F8)</f>
        <v/>
      </c>
    </row>
    <row r="9">
      <c r="A9" t="inlineStr">
        <is>
          <t>May 2026</t>
        </is>
      </c>
      <c r="B9" s="5" t="n">
        <v>7564</v>
      </c>
      <c r="C9" s="5" t="n">
        <v>118184976.17</v>
      </c>
      <c r="D9" s="5" t="n">
        <v>118184976.17</v>
      </c>
      <c r="E9" s="5" t="n">
        <v>889165.96</v>
      </c>
      <c r="F9" s="5" t="n">
        <v>117226741.83</v>
      </c>
      <c r="G9" s="5" t="n">
        <v>1061583</v>
      </c>
      <c r="H9" s="14">
        <f>IF(F9=0,"not yet seasoned",G9/F9)</f>
        <v/>
      </c>
    </row>
    <row r="10">
      <c r="A10" t="inlineStr">
        <is>
          <t>Jun 2026</t>
        </is>
      </c>
      <c r="B10" s="5" t="n">
        <v>9024</v>
      </c>
      <c r="C10" s="5" t="n">
        <v>136417479.48</v>
      </c>
      <c r="D10" s="5" t="n">
        <v>136417479.48</v>
      </c>
      <c r="E10" s="5" t="n">
        <v>499873.5</v>
      </c>
      <c r="F10" s="5" t="n">
        <v>135917605.98</v>
      </c>
      <c r="G10" s="5" t="n">
        <v>459463.31</v>
      </c>
      <c r="H10" s="14">
        <f>IF(F10=0,"not yet seasoned",G10/F10)</f>
        <v/>
      </c>
    </row>
    <row r="11">
      <c r="A11" t="inlineStr">
        <is>
          <t>Jul 2026</t>
        </is>
      </c>
      <c r="B11" s="5" t="n">
        <v>11366</v>
      </c>
      <c r="C11" s="5" t="n">
        <v>140624271.71</v>
      </c>
      <c r="D11" s="5" t="n">
        <v>0</v>
      </c>
      <c r="E11" s="5" t="n">
        <v>29390.51</v>
      </c>
      <c r="F11" s="5" t="n">
        <v>0</v>
      </c>
      <c r="G11" s="5" t="n">
        <v>8828.190000000001</v>
      </c>
      <c r="H11" s="14">
        <f>IF(F11=0,"not yet seasoned",G11/F11)</f>
        <v/>
      </c>
    </row>
    <row r="12">
      <c r="A12" t="inlineStr">
        <is>
          <t>Aug 2026</t>
        </is>
      </c>
      <c r="B12" s="5" t="n">
        <v>12347</v>
      </c>
      <c r="C12" s="5" t="n">
        <v>141888335.14</v>
      </c>
      <c r="D12" s="5" t="n">
        <v>0</v>
      </c>
      <c r="E12" s="5" t="n">
        <v>0</v>
      </c>
      <c r="F12" s="5" t="n">
        <v>0</v>
      </c>
      <c r="G12" s="5" t="n">
        <v>0</v>
      </c>
      <c r="H12" s="14">
        <f>IF(F12=0,"not yet seasoned",G12/F12)</f>
        <v/>
      </c>
    </row>
    <row r="13">
      <c r="A13" t="inlineStr">
        <is>
          <t>Sep 2026</t>
        </is>
      </c>
      <c r="B13" s="5" t="n">
        <v>13196</v>
      </c>
      <c r="C13" s="5" t="n">
        <v>160221212.53</v>
      </c>
      <c r="D13" s="5" t="n">
        <v>0</v>
      </c>
      <c r="E13" s="5" t="n">
        <v>0</v>
      </c>
      <c r="F13" s="5" t="n">
        <v>0</v>
      </c>
      <c r="G13" s="5" t="n">
        <v>0</v>
      </c>
      <c r="H13" s="14">
        <f>IF(F13=0,"not yet seasoned",G13/F13)</f>
        <v/>
      </c>
    </row>
    <row r="14">
      <c r="A14" s="15" t="inlineStr">
        <is>
          <t>Since January 2026 (all vintages above)</t>
        </is>
      </c>
      <c r="B14" s="16">
        <f>SUM(B5:B13)</f>
        <v/>
      </c>
      <c r="C14" s="16">
        <f>SUM(C5:C13)</f>
        <v/>
      </c>
      <c r="D14" s="16">
        <f>SUM(D5:D13)</f>
        <v/>
      </c>
      <c r="E14" s="16">
        <f>SUM(E5:E13)</f>
        <v/>
      </c>
      <c r="F14" s="16">
        <f>SUM(F5:F13)</f>
        <v/>
      </c>
      <c r="G14" s="16">
        <f>SUM(G5:G13)</f>
        <v/>
      </c>
      <c r="H14" s="20">
        <f>G14/F14</f>
        <v/>
      </c>
    </row>
    <row r="15"/>
    <row r="16" ht="15" customHeight="1">
      <c r="A16" s="21" t="inlineStr">
        <is>
          <t>How to read this table</t>
        </is>
      </c>
    </row>
    <row r="17" ht="48" customHeight="1">
      <c r="A17" s="6"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6"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6" t="inlineStr">
        <is>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Zed now manages first-payment default through dedicated onboarding and fraud controls, separately from credit underwriting.</t>
        </is>
      </c>
    </row>
    <row r="20" ht="48" customHeight="1">
      <c r="A20" s="6" t="inlineStr">
        <is>
          <t>• Why January 2026. The current underwriting model (V2) was deployed in December 2025 and is the model that originates the portfolio today; earlier vintages were originated under the prior model.</t>
        </is>
      </c>
    </row>
  </sheetData>
  <mergeCells count="5">
    <mergeCell ref="A18:H18"/>
    <mergeCell ref="A20:H20"/>
    <mergeCell ref="A16:H16"/>
    <mergeCell ref="A19:H19"/>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75" customHeight="1">
      <c r="A4" s="22" t="inlineStr">
        <is>
          <t>Scope</t>
        </is>
      </c>
      <c r="B4" s="6" t="inlineStr">
        <is>
          <t>Zed's Philippine credit card receivables, all cardholders. Yield Summary covers July, August and September 2026 and the quarter together — the first quarter with every revenue line in place (installment plans scaled from March 2026; revolving interest introduced with the June 2026 cycle). Monthly Detail shows January–September 2026. All figures in PHP unless marked USD (converted at 55.8 for reference only).</t>
        </is>
      </c>
    </row>
    <row r="5" ht="60" customHeight="1">
      <c r="A5" s="22" t="inlineStr">
        <is>
          <t>Average receivables</t>
        </is>
      </c>
      <c r="B5" s="6" t="inlineStr">
        <is>
          <t>Monthly average of receivables outstanding (principal, interest and fees billed to cardholders, plus installment principal not yet billed). The July–September figure is the simple average of the three monthly averages, and yields for the quarter are revenue for the three months × 12 ÷ 3 ÷ that average.</t>
        </is>
      </c>
    </row>
    <row r="6" ht="30" customHeight="1">
      <c r="A6" s="22" t="inlineStr">
        <is>
          <t>Annualization</t>
        </is>
      </c>
      <c r="B6" s="6" t="inlineStr">
        <is>
          <t>Simple: monthly amount ÷ average receivables × 12. No compounding.</t>
        </is>
      </c>
    </row>
    <row r="7" ht="30" customHeight="1">
      <c r="A7" s="22"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2"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2" t="inlineStr">
        <is>
          <t>Late payment fees</t>
        </is>
      </c>
      <c r="B9" s="6" t="inlineStr">
        <is>
          <t>Fee billed when the minimum payment is not received by the due date.</t>
        </is>
      </c>
    </row>
    <row r="10" ht="90" customHeight="1">
      <c r="A10" s="22" t="inlineStr">
        <is>
          <t>Interchange</t>
        </is>
      </c>
      <c r="B10" s="6" t="inlineStr">
        <is>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average receivables) — the same construction as the loss line. Mastercard settles the merchant net of interchange and the cardholder is billed the full purchase amount, so the interchange margin is collected as part of the cardholder's payment.</t>
        </is>
      </c>
    </row>
    <row r="11" ht="60" customHeight="1">
      <c r="A11" s="22" t="inlineStr">
        <is>
          <t>Purchase volume and turnover</t>
        </is>
      </c>
      <c r="B11" s="6" t="inlineStr">
        <is>
          <t>Purchase volume is cardholder spend settled through Mastercard, net of returns (the interchange base). Principal originated is purchases billed to cardholders net of refunds, chargebacks and cancelled installment-plan re-bookings (the loss base); it is lower than purchase volume by definition. Each is annualized and divided by average receivables to give its turnover.</t>
        </is>
      </c>
    </row>
    <row r="12" ht="45" customHeight="1">
      <c r="A12" s="22" t="inlineStr">
        <is>
          <t>Principal originated</t>
        </is>
      </c>
      <c r="B12" s="6" t="inlineStr">
        <is>
          <t>Purchases and other charges billed to cardholders in the month, net of refunds, chargebacks and cancelled installment plan re-bookings. Source: Zed's statement data, the same data underlying the statement tape in the data room.</t>
        </is>
      </c>
    </row>
    <row r="13" ht="90" customHeight="1">
      <c r="A13" s="22" t="inlineStr">
        <is>
          <t>Loss rate</t>
        </is>
      </c>
      <c r="B13" s="6"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4" ht="45" customHeight="1">
      <c r="A14" s="22" t="inlineStr">
        <is>
          <t>Loss on receivables</t>
        </is>
      </c>
      <c r="B14" s="6" t="inlineStr">
        <is>
          <t>Loss rate on originated principal × principal turnover (annualized originations ÷ average receivables). Expresses a loss on amounts lent as an annual charge against the receivables balance, on the same basis as the yields.</t>
        </is>
      </c>
    </row>
    <row r="15" ht="30" customHeight="1">
      <c r="A15" s="22" t="inlineStr">
        <is>
          <t>Net yield</t>
        </is>
      </c>
      <c r="B15" s="6" t="inlineStr">
        <is>
          <t>Gross yield less loss on receivables. Before operating costs, servicing, processing and network costs, funding costs, taxes and FX.</t>
        </is>
      </c>
    </row>
    <row r="16" ht="60" customHeight="1">
      <c r="A16" s="22" t="inlineStr">
        <is>
          <t>Sources</t>
        </is>
      </c>
      <c r="B16" s="6" t="inlineStr">
        <is>
          <t>Zed management reporting built from the i2c transaction and settlement extracts (revenue, receivables, purchase volume; as of 26 October 2026) and Zed's statement and delinquency data (originations, delinquency by origination month; as of 27 October 2026). September 2026 is the latest complete month.</t>
        </is>
      </c>
    </row>
    <row r="17" ht="30" customHeight="1">
      <c r="A17" s="22" t="inlineStr">
        <is>
          <t>Prepared</t>
        </is>
      </c>
      <c r="B17"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2026-10-27T20:28:22Z</dcterms:created>
  <dcterms:modified xmlns:dcterms="http://purl.org/dc/terms/" xmlns:xsi="http://www.w3.org/2001/XMLSchema-instance" xsi:type="dcterms:W3CDTF">2026-10-27T20:28:22Z</dcterms:modified>
</cp:coreProperties>
</file>