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left" vertical="center" wrapText="1"/>
    </xf>
    <xf numFmtId="0" fontId="3" fillId="2" borderId="0" applyAlignment="1" pivotButton="0" quotePrefix="0" xfId="0">
      <alignment horizontal="right" vertical="center" wrapText="1"/>
    </xf>
    <xf numFmtId="1" fontId="0" fillId="0" borderId="0" pivotButton="0" quotePrefix="0" xfId="0"/>
    <xf numFmtId="0" fontId="4" fillId="0" borderId="0" pivotButton="0" quotePrefix="0" xfId="0"/>
    <xf numFmtId="3" fontId="4"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3" fontId="0" fillId="0" borderId="0" pivotButton="0" quotePrefix="0" xfId="0"/>
    <xf numFmtId="165" fontId="0" fillId="0" borderId="0" pivotButton="0" quotePrefix="0" xfId="0"/>
    <xf numFmtId="10" fontId="0" fillId="0" borderId="0" pivotButton="0" quotePrefix="0" xfId="0"/>
    <xf numFmtId="164" fontId="4" fillId="0" borderId="0" pivotButton="0" quotePrefix="0" xfId="0"/>
    <xf numFmtId="164"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top" wrapText="1"/>
    </xf>
    <xf numFmtId="166" fontId="0" fillId="0" borderId="0" pivotButton="0" quotePrefix="0" xfId="0"/>
    <xf numFmtId="0" fontId="2" fillId="0" borderId="0" pivotButton="0" quotePrefix="0" xfId="0"/>
    <xf numFmtId="10" fontId="4" fillId="4" borderId="1" pivotButton="0" quotePrefix="0" xfId="0"/>
    <xf numFmtId="0" fontId="4" fillId="0" borderId="0" applyAlignment="1" pivotButton="0" quotePrefix="0" xfId="0">
      <alignment vertical="top" wrapText="1"/>
    </xf>
    <xf numFmtId="10" fontId="0" fillId="0" borderId="0" applyAlignment="1" pivotButton="0" quotePrefix="0" xfId="0">
      <alignment horizontal="right"/>
    </xf>
    <xf numFmtId="10" fontId="4" fillId="0" borderId="0" pivotButton="0" quotePrefix="0" xfId="0"/>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70" customWidth="1" min="10" max="10"/>
  </cols>
  <sheetData>
    <row r="1">
      <c r="A1" s="1" t="inlineStr">
        <is>
          <t>Zed — Portfolio yield on receivables</t>
        </is>
      </c>
    </row>
    <row r="2" ht="64" customHeight="1">
      <c r="A2" s="2" t="inlineStr">
        <is>
          <t>Each column is a book: a month's average receivables and what that capital earned and lost. The product works in two steps — a purchase earns interchange the day it settles and, if converted, its upfront fee and installment charges on the statements that follow; it earns revolving interest only after it has been billed and left unpaid past the due date, i.e. in the following month, which is also when a missed payment draws a late fee. So each book carries its own month's interchange, upfront fees and installment charges, the following month's revolving interest and late fees, and the loss rate on the principal it lent. Annualized, PHP, before operating, servicing and funding costs.</t>
        </is>
      </c>
    </row>
    <row r="3" ht="22" customHeight="1">
      <c r="A3" s="3" t="n"/>
      <c r="B3" s="4" t="inlineStr">
        <is>
          <t>Book — the month's receivables and what they earned (interest and late fees arrive the following month)</t>
        </is>
      </c>
      <c r="J3" s="3" t="n"/>
    </row>
    <row r="4">
      <c r="A4" s="5" t="inlineStr"/>
      <c r="B4" s="6" t="inlineStr">
        <is>
          <t>Jun 2026</t>
        </is>
      </c>
      <c r="C4" s="6" t="inlineStr">
        <is>
          <t>Annualized</t>
        </is>
      </c>
      <c r="D4" s="6" t="inlineStr">
        <is>
          <t>Jul 2026</t>
        </is>
      </c>
      <c r="E4" s="6" t="inlineStr">
        <is>
          <t>Annualized</t>
        </is>
      </c>
      <c r="F4" s="6" t="inlineStr">
        <is>
          <t>Aug 2026</t>
        </is>
      </c>
      <c r="G4" s="6" t="inlineStr">
        <is>
          <t>Annualized</t>
        </is>
      </c>
      <c r="H4" s="6" t="inlineStr">
        <is>
          <t>Jun–Aug 2026</t>
        </is>
      </c>
      <c r="I4" s="6" t="inlineStr">
        <is>
          <t>Annualized</t>
        </is>
      </c>
      <c r="J4" s="5" t="inlineStr">
        <is>
          <t>Notes</t>
        </is>
      </c>
    </row>
    <row r="5">
      <c r="A5" t="inlineStr">
        <is>
          <t>Months in period</t>
        </is>
      </c>
      <c r="B5" s="7" t="n">
        <v>1</v>
      </c>
      <c r="D5" s="7" t="n">
        <v>1</v>
      </c>
      <c r="F5" s="7" t="n">
        <v>1</v>
      </c>
      <c r="H5" s="7" t="n">
        <v>3</v>
      </c>
    </row>
    <row r="6">
      <c r="A6" s="8" t="inlineStr">
        <is>
          <t>Average receivables of the book month (denominator)</t>
        </is>
      </c>
      <c r="B6" s="9">
        <f>'Monthly Detail'!G16</f>
        <v/>
      </c>
      <c r="C6" s="8" t="n"/>
      <c r="D6" s="9">
        <f>'Monthly Detail'!H16</f>
        <v/>
      </c>
      <c r="E6" s="8" t="n"/>
      <c r="F6" s="9">
        <f>'Monthly Detail'!I16</f>
        <v/>
      </c>
      <c r="G6" s="8" t="n"/>
      <c r="H6" s="9">
        <f>AVERAGE('Monthly Detail'!G16:I16)</f>
        <v/>
      </c>
      <c r="I6" s="8" t="n"/>
      <c r="J6" s="10" t="inlineStr">
        <is>
          <t>The capital employed; the quarter averages the three months.</t>
        </is>
      </c>
    </row>
    <row r="7">
      <c r="A7" s="11" t="inlineStr">
        <is>
          <t>Earned as the balance is created — the book month's purchases, conversions and statements</t>
        </is>
      </c>
      <c r="B7" s="12" t="n"/>
      <c r="C7" s="12" t="n"/>
      <c r="D7" s="12" t="n"/>
      <c r="E7" s="12" t="n"/>
      <c r="F7" s="12" t="n"/>
      <c r="G7" s="12" t="n"/>
      <c r="H7" s="12" t="n"/>
      <c r="I7" s="12" t="n"/>
      <c r="J7" s="12" t="n"/>
    </row>
    <row r="8">
      <c r="A8" t="inlineStr">
        <is>
          <t>Purchase volume settled</t>
        </is>
      </c>
      <c r="B8" s="13">
        <f>'Monthly Detail'!G20</f>
        <v/>
      </c>
      <c r="D8" s="13">
        <f>'Monthly Detail'!H20</f>
        <v/>
      </c>
      <c r="F8" s="13">
        <f>'Monthly Detail'!I20</f>
        <v/>
      </c>
      <c r="H8" s="13">
        <f>'Monthly Detail'!G20+'Monthly Detail'!H20+'Monthly Detail'!I20</f>
        <v/>
      </c>
      <c r="J8" s="10" t="inlineStr">
        <is>
          <t>Mastercard purchases in the month, net of returns.</t>
        </is>
      </c>
    </row>
    <row r="9" ht="32" customHeight="1">
      <c r="A9" t="inlineStr">
        <is>
          <t>Purchase turnover</t>
        </is>
      </c>
      <c r="C9" s="14">
        <f>B8*12/B$5/B$6</f>
        <v/>
      </c>
      <c r="E9" s="14">
        <f>D8*12/D$5/D$6</f>
        <v/>
      </c>
      <c r="G9" s="14">
        <f>F8*12/F$5/F$6</f>
        <v/>
      </c>
      <c r="I9" s="14">
        <f>H8*12/H$5/H$6</f>
        <v/>
      </c>
      <c r="J9" s="10" t="inlineStr">
        <is>
          <t>Annualized purchases ÷ receivables: how often the book is re-spent; falls as more of it revolves.</t>
        </is>
      </c>
    </row>
    <row r="10" ht="32" customHeight="1">
      <c r="A10" t="inlineStr">
        <is>
          <t>Interchange rate on purchase volume</t>
        </is>
      </c>
      <c r="C10" s="15">
        <f>B11/B8</f>
        <v/>
      </c>
      <c r="E10" s="15">
        <f>D11/D8</f>
        <v/>
      </c>
      <c r="G10" s="15">
        <f>F11/F8</f>
        <v/>
      </c>
      <c r="I10" s="15">
        <f>H11/H8</f>
        <v/>
      </c>
      <c r="J10" s="10" t="inlineStr">
        <is>
          <t>Set by Mastercard by merchant category and domestic/foreign; gross of network and processing costs.</t>
        </is>
      </c>
    </row>
    <row r="11" ht="48" customHeight="1">
      <c r="A11" s="8" t="inlineStr">
        <is>
          <t>Interchange income</t>
        </is>
      </c>
      <c r="B11" s="9">
        <f>'Monthly Detail'!G9</f>
        <v/>
      </c>
      <c r="C11" s="16">
        <f>C10*C9</f>
        <v/>
      </c>
      <c r="D11" s="9">
        <f>'Monthly Detail'!H9</f>
        <v/>
      </c>
      <c r="E11" s="16">
        <f>E10*E9</f>
        <v/>
      </c>
      <c r="F11" s="9">
        <f>'Monthly Detail'!I9</f>
        <v/>
      </c>
      <c r="G11" s="16">
        <f>G10*G9</f>
        <v/>
      </c>
      <c r="H11" s="9">
        <f>'Monthly Detail'!G9+'Monthly Detail'!H9+'Monthly Detail'!I9</f>
        <v/>
      </c>
      <c r="I11" s="16">
        <f>I10*I9</f>
        <v/>
      </c>
      <c r="J11" s="10" t="inlineStr">
        <is>
          <t>Rate × turnover. Mastercard pays the merchant net of interchange; the cardholder is billed the full amount, so it is collected through cardholder payments. Earned once, at settlement.</t>
        </is>
      </c>
    </row>
    <row r="12" ht="32" customHeight="1">
      <c r="A12" t="inlineStr">
        <is>
          <t>Installment upfront fees</t>
        </is>
      </c>
      <c r="B12" s="13">
        <f>'Monthly Detail'!G7</f>
        <v/>
      </c>
      <c r="C12" s="17">
        <f>B12*12/B$5/B$6</f>
        <v/>
      </c>
      <c r="D12" s="13">
        <f>'Monthly Detail'!H7</f>
        <v/>
      </c>
      <c r="E12" s="17">
        <f>D12*12/D$5/D$6</f>
        <v/>
      </c>
      <c r="F12" s="13">
        <f>'Monthly Detail'!I7</f>
        <v/>
      </c>
      <c r="G12" s="17">
        <f>F12*12/F$5/F$6</f>
        <v/>
      </c>
      <c r="H12" s="13">
        <f>'Monthly Detail'!G7+'Monthly Detail'!H7+'Monthly Detail'!I7</f>
        <v/>
      </c>
      <c r="I12" s="17">
        <f>H12*12/H$5/H$6</f>
        <v/>
      </c>
      <c r="J12" s="10" t="inlineStr">
        <is>
          <t>0.5% × term in months, billed at conversion.</t>
        </is>
      </c>
    </row>
    <row r="13" ht="48" customHeight="1">
      <c r="A13" t="inlineStr">
        <is>
          <t>Installment interest</t>
        </is>
      </c>
      <c r="B13" s="13">
        <f>'Monthly Detail'!G12</f>
        <v/>
      </c>
      <c r="C13" s="17">
        <f>B13*12/B$5/B$6</f>
        <v/>
      </c>
      <c r="D13" s="13">
        <f>'Monthly Detail'!H12</f>
        <v/>
      </c>
      <c r="E13" s="17">
        <f>D13*12/D$5/D$6</f>
        <v/>
      </c>
      <c r="F13" s="13">
        <f>'Monthly Detail'!I12</f>
        <v/>
      </c>
      <c r="G13" s="17">
        <f>F13*12/F$5/F$6</f>
        <v/>
      </c>
      <c r="H13" s="13">
        <f>'Monthly Detail'!G12+'Monthly Detail'!H12+'Monthly Detail'!I12</f>
        <v/>
      </c>
      <c r="I13" s="17">
        <f>H13*12/H$5/H$6</f>
        <v/>
      </c>
      <c r="J13" s="10" t="inlineStr">
        <is>
          <t>1% of the plan amount per month of term (3% on a 3-month plan), billed with each installment on every statement while the plan runs, starting with the first statement after conversion.</t>
        </is>
      </c>
    </row>
    <row r="14">
      <c r="A14" s="11" t="inlineStr">
        <is>
          <t>Earned the following month — charged on the balance billed at the end of the book month</t>
        </is>
      </c>
      <c r="B14" s="12" t="n"/>
      <c r="C14" s="12" t="n"/>
      <c r="D14" s="12" t="n"/>
      <c r="E14" s="12" t="n"/>
      <c r="F14" s="12" t="n"/>
      <c r="G14" s="12" t="n"/>
      <c r="H14" s="12" t="n"/>
      <c r="I14" s="12" t="n"/>
      <c r="J14" s="12" t="n"/>
    </row>
    <row r="15" ht="48" customHeight="1">
      <c r="A15" t="inlineStr">
        <is>
          <t>Revolving interest (accrued)</t>
        </is>
      </c>
      <c r="B15" s="13">
        <f>'Monthly Detail'!H11</f>
        <v/>
      </c>
      <c r="C15" s="17">
        <f>B15*12/B$5/B$6</f>
        <v/>
      </c>
      <c r="D15" s="13">
        <f>'Monthly Detail'!I11</f>
        <v/>
      </c>
      <c r="E15" s="17">
        <f>D15*12/D$5/D$6</f>
        <v/>
      </c>
      <c r="F15" s="13">
        <f>'Monthly Detail'!J11</f>
        <v/>
      </c>
      <c r="G15" s="17">
        <f>F15*12/F$5/F$6</f>
        <v/>
      </c>
      <c r="H15" s="13">
        <f>'Monthly Detail'!H11+'Monthly Detail'!I11+'Monthly Detail'!J11</f>
        <v/>
      </c>
      <c r="I15" s="17">
        <f>H15*12/H$5/H$6</f>
        <v/>
      </c>
      <c r="J15" s="10" t="inlineStr">
        <is>
          <t>3% per month (BSP cap) on billed balances not paid in full by the due date; purchases earn no interest until statemented. Each cycle's interest spread across the days it covers.</t>
        </is>
      </c>
    </row>
    <row r="16" ht="32" customHeight="1">
      <c r="A16" t="inlineStr">
        <is>
          <t>Late payment fees</t>
        </is>
      </c>
      <c r="B16" s="13">
        <f>'Monthly Detail'!H8</f>
        <v/>
      </c>
      <c r="C16" s="17">
        <f>B16*12/B$5/B$6</f>
        <v/>
      </c>
      <c r="D16" s="13">
        <f>'Monthly Detail'!I8</f>
        <v/>
      </c>
      <c r="E16" s="17">
        <f>D16*12/D$5/D$6</f>
        <v/>
      </c>
      <c r="F16" s="13">
        <f>'Monthly Detail'!J8</f>
        <v/>
      </c>
      <c r="G16" s="17">
        <f>F16*12/F$5/F$6</f>
        <v/>
      </c>
      <c r="H16" s="13">
        <f>'Monthly Detail'!H8+'Monthly Detail'!I8+'Monthly Detail'!J8</f>
        <v/>
      </c>
      <c r="I16" s="17">
        <f>H16*12/H$5/H$6</f>
        <v/>
      </c>
      <c r="J16" s="10" t="inlineStr">
        <is>
          <t>Charged when the book month's statement is not paid by its due date.</t>
        </is>
      </c>
    </row>
    <row r="17">
      <c r="A17" s="8" t="inlineStr">
        <is>
          <t>Interest and fees</t>
        </is>
      </c>
      <c r="B17" s="9">
        <f>B12+B13+B15+B16</f>
        <v/>
      </c>
      <c r="C17" s="16">
        <f>B17*12/B$5/B$6</f>
        <v/>
      </c>
      <c r="D17" s="9">
        <f>D12+D13+D15+D16</f>
        <v/>
      </c>
      <c r="E17" s="16">
        <f>D17*12/D$5/D$6</f>
        <v/>
      </c>
      <c r="F17" s="9">
        <f>F12+F13+F15+F16</f>
        <v/>
      </c>
      <c r="G17" s="16">
        <f>F17*12/F$5/F$6</f>
        <v/>
      </c>
      <c r="H17" s="9">
        <f>H12+H13+H15+H16</f>
        <v/>
      </c>
      <c r="I17" s="16">
        <f>H17*12/H$5/H$6</f>
        <v/>
      </c>
      <c r="J17" s="10" t="inlineStr">
        <is>
          <t>Rows 12, 13, 15 and 16.</t>
        </is>
      </c>
    </row>
    <row r="18"/>
    <row r="19">
      <c r="A19" s="11" t="inlineStr">
        <is>
          <t>Gross yield</t>
        </is>
      </c>
      <c r="B19" s="12" t="n"/>
      <c r="C19" s="12" t="n"/>
      <c r="D19" s="12" t="n"/>
      <c r="E19" s="12" t="n"/>
      <c r="F19" s="12" t="n"/>
      <c r="G19" s="12" t="n"/>
      <c r="H19" s="12" t="n"/>
      <c r="I19" s="12" t="n"/>
      <c r="J19" s="12" t="n"/>
    </row>
    <row r="20">
      <c r="A20" t="inlineStr">
        <is>
          <t>Gross yield — interest and fees</t>
        </is>
      </c>
      <c r="C20" s="17">
        <f>C17</f>
        <v/>
      </c>
      <c r="E20" s="17">
        <f>E17</f>
        <v/>
      </c>
      <c r="G20" s="17">
        <f>G17</f>
        <v/>
      </c>
      <c r="I20" s="17">
        <f>I17</f>
        <v/>
      </c>
    </row>
    <row r="21">
      <c r="A21" s="18" t="inlineStr">
        <is>
          <t>Gross yield — all revenue, including interchange</t>
        </is>
      </c>
      <c r="B21" s="19">
        <f>B11+B17</f>
        <v/>
      </c>
      <c r="C21" s="20">
        <f>C11+C17</f>
        <v/>
      </c>
      <c r="D21" s="19">
        <f>D11+D17</f>
        <v/>
      </c>
      <c r="E21" s="20">
        <f>E11+E17</f>
        <v/>
      </c>
      <c r="F21" s="19">
        <f>F11+F17</f>
        <v/>
      </c>
      <c r="G21" s="20">
        <f>G11+G17</f>
        <v/>
      </c>
      <c r="H21" s="19">
        <f>H11+H17</f>
        <v/>
      </c>
      <c r="I21" s="20">
        <f>I11+I17</f>
        <v/>
      </c>
      <c r="J21" s="21" t="inlineStr">
        <is>
          <t>Amount: revenue attributable to the book.</t>
        </is>
      </c>
    </row>
    <row r="22"/>
    <row r="23">
      <c r="A23" s="11" t="inlineStr">
        <is>
          <t>Loss on the principal the book lent</t>
        </is>
      </c>
      <c r="B23" s="12" t="n"/>
      <c r="C23" s="12" t="n"/>
      <c r="D23" s="12" t="n"/>
      <c r="E23" s="12" t="n"/>
      <c r="F23" s="12" t="n"/>
      <c r="G23" s="12" t="n"/>
      <c r="H23" s="12" t="n"/>
      <c r="I23" s="12" t="n"/>
      <c r="J23" s="12" t="n"/>
    </row>
    <row r="24" ht="32" customHeight="1">
      <c r="A24" t="inlineStr">
        <is>
          <t>Principal flow (purchase volume + pay-a-friend transfers)</t>
        </is>
      </c>
      <c r="B24" s="13">
        <f>'Monthly Detail'!G22</f>
        <v/>
      </c>
      <c r="D24" s="13">
        <f>'Monthly Detail'!H22</f>
        <v/>
      </c>
      <c r="F24" s="13">
        <f>'Monthly Detail'!I22</f>
        <v/>
      </c>
      <c r="H24" s="13">
        <f>'Monthly Detail'!G22+'Monthly Detail'!H22+'Monthly Detail'!I22</f>
        <v/>
      </c>
      <c r="J24" s="10" t="inlineStr">
        <is>
          <t>Everything that became a receivable in the month; pay-a-friend transfers earn no interchange.</t>
        </is>
      </c>
    </row>
    <row r="25" ht="32" customHeight="1">
      <c r="A25" t="inlineStr">
        <is>
          <t>Principal turnover</t>
        </is>
      </c>
      <c r="C25" s="14">
        <f>B24*12/B$5/B$6</f>
        <v/>
      </c>
      <c r="E25" s="14">
        <f>D24*12/D$5/D$6</f>
        <v/>
      </c>
      <c r="G25" s="14">
        <f>F24*12/F$5/F$6</f>
        <v/>
      </c>
      <c r="I25" s="14">
        <f>H24*12/H$5/H$6</f>
        <v/>
      </c>
      <c r="J25" s="10" t="inlineStr">
        <is>
          <t>Annualized principal flow ÷ receivables; a loss rate on originations × turnover gives the loss on balances.</t>
        </is>
      </c>
    </row>
    <row r="26" ht="64" customHeight="1">
      <c r="A26" t="inlineStr">
        <is>
          <t>Loss rate on originated principal — ≥90 DPD, excluding first-payment defaults</t>
        </is>
      </c>
      <c r="C26" s="15">
        <f>loss_rate_xfpd</f>
        <v/>
      </c>
      <c r="E26" s="15">
        <f>loss_rate_xfpd</f>
        <v/>
      </c>
      <c r="G26" s="15">
        <f>loss_rate_xfpd</f>
        <v/>
      </c>
      <c r="I26" s="15">
        <f>loss_rate_xfpd</f>
        <v/>
      </c>
      <c r="J26" s="10" t="inlineStr">
        <is>
          <t>Loss Rate tab: principal 90+ DPD ÷ principal seasoned 90 days, vintages since Jan 2026, gross of recoveries, first-payment defaults (never paid; fraud rather than credit) excluded. Same rate every period.</t>
        </is>
      </c>
    </row>
    <row r="27">
      <c r="A27" s="8" t="inlineStr">
        <is>
          <t>Loss on receivables</t>
        </is>
      </c>
      <c r="B27" s="8" t="n"/>
      <c r="C27" s="16">
        <f>C26*C25</f>
        <v/>
      </c>
      <c r="D27" s="8" t="n"/>
      <c r="E27" s="16">
        <f>E26*E25</f>
        <v/>
      </c>
      <c r="F27" s="8" t="n"/>
      <c r="G27" s="16">
        <f>G26*G25</f>
        <v/>
      </c>
      <c r="H27" s="8" t="n"/>
      <c r="I27" s="16">
        <f>I26*I25</f>
        <v/>
      </c>
      <c r="J27" s="10" t="inlineStr">
        <is>
          <t>Loss rate × principal turnover.</t>
        </is>
      </c>
    </row>
    <row r="28"/>
    <row r="29">
      <c r="A29" s="11" t="inlineStr">
        <is>
          <t>Net yield</t>
        </is>
      </c>
      <c r="B29" s="12" t="n"/>
      <c r="C29" s="12" t="n"/>
      <c r="D29" s="12" t="n"/>
      <c r="E29" s="12" t="n"/>
      <c r="F29" s="12" t="n"/>
      <c r="G29" s="12" t="n"/>
      <c r="H29" s="12" t="n"/>
      <c r="I29" s="12" t="n"/>
      <c r="J29" s="12" t="n"/>
    </row>
    <row r="30">
      <c r="A30" s="8" t="inlineStr">
        <is>
          <t>Net yield — all revenue less loss on receivables</t>
        </is>
      </c>
      <c r="B30" s="8" t="n"/>
      <c r="C30" s="16">
        <f>C21-C27</f>
        <v/>
      </c>
      <c r="D30" s="8" t="n"/>
      <c r="E30" s="16">
        <f>E21-E27</f>
        <v/>
      </c>
      <c r="F30" s="8" t="n"/>
      <c r="G30" s="16">
        <f>G21-G27</f>
        <v/>
      </c>
      <c r="H30" s="8" t="n"/>
      <c r="I30" s="16">
        <f>I21-I27</f>
        <v/>
      </c>
      <c r="J30" s="10" t="inlineStr">
        <is>
          <t>Before operating, servicing and funding costs.</t>
        </is>
      </c>
    </row>
    <row r="31"/>
    <row r="32">
      <c r="A32" s="11" t="inlineStr">
        <is>
          <t>Memo — USD equivalents</t>
        </is>
      </c>
      <c r="B32" s="12" t="n"/>
      <c r="C32" s="12" t="n"/>
      <c r="D32" s="12" t="n"/>
      <c r="E32" s="12" t="n"/>
      <c r="F32" s="12" t="n"/>
      <c r="G32" s="12" t="n"/>
      <c r="H32" s="12" t="n"/>
      <c r="I32" s="12" t="n"/>
      <c r="J32" s="12" t="n"/>
    </row>
    <row r="33">
      <c r="A33" t="inlineStr">
        <is>
          <t>PHP per USD</t>
        </is>
      </c>
      <c r="B33" s="22" t="n">
        <v>55.8</v>
      </c>
      <c r="D33" s="22" t="n">
        <v>55.8</v>
      </c>
      <c r="F33" s="22" t="n">
        <v>55.8</v>
      </c>
      <c r="H33" s="22" t="n">
        <v>55.8</v>
      </c>
    </row>
    <row r="34">
      <c r="A34" t="inlineStr">
        <is>
          <t>Average receivables of the book month (USD)</t>
        </is>
      </c>
      <c r="B34" s="13">
        <f>B6/B33</f>
        <v/>
      </c>
      <c r="D34" s="13">
        <f>D6/D33</f>
        <v/>
      </c>
      <c r="F34" s="13">
        <f>F6/F33</f>
        <v/>
      </c>
      <c r="H34" s="13">
        <f>H6/H33</f>
        <v/>
      </c>
    </row>
    <row r="35">
      <c r="A35" t="inlineStr">
        <is>
          <t>Revenue attributable to the book (USD)</t>
        </is>
      </c>
      <c r="B35" s="13">
        <f>B21/B33</f>
        <v/>
      </c>
      <c r="D35" s="13">
        <f>D21/D33</f>
        <v/>
      </c>
      <c r="F35" s="13">
        <f>F21/F33</f>
        <v/>
      </c>
      <c r="H35" s="13">
        <f>H21/H33</f>
        <v/>
      </c>
    </row>
    <row r="36">
      <c r="A36" t="inlineStr">
        <is>
          <t>Principal flow (USD)</t>
        </is>
      </c>
      <c r="B36" s="13">
        <f>B24/B33</f>
        <v/>
      </c>
      <c r="D36" s="13">
        <f>D24/D33</f>
        <v/>
      </c>
      <c r="F36" s="13">
        <f>F24/F33</f>
        <v/>
      </c>
      <c r="H36" s="13">
        <f>H24/H33</f>
        <v/>
      </c>
    </row>
  </sheetData>
  <mergeCells count="2">
    <mergeCell ref="B3:I3"/>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3" t="inlineStr">
        <is>
          <t>PHP. Revenue is recognised in the month billed (interest and fees) or settled (interchange). Yields are annualized simply: month ÷ average receivables × 12.</t>
        </is>
      </c>
    </row>
    <row r="3"/>
    <row r="4">
      <c r="A4" s="5" t="inlineStr">
        <is>
          <t>Line</t>
        </is>
      </c>
      <c r="B4" s="6" t="inlineStr">
        <is>
          <t>Jan 2026</t>
        </is>
      </c>
      <c r="C4" s="6" t="inlineStr">
        <is>
          <t>Feb 2026</t>
        </is>
      </c>
      <c r="D4" s="6" t="inlineStr">
        <is>
          <t>Mar 2026</t>
        </is>
      </c>
      <c r="E4" s="6" t="inlineStr">
        <is>
          <t>Apr 2026</t>
        </is>
      </c>
      <c r="F4" s="6" t="inlineStr">
        <is>
          <t>May 2026</t>
        </is>
      </c>
      <c r="G4" s="6" t="inlineStr">
        <is>
          <t>Jun 2026</t>
        </is>
      </c>
      <c r="H4" s="6" t="inlineStr">
        <is>
          <t>Jul 2026</t>
        </is>
      </c>
      <c r="I4" s="6" t="inlineStr">
        <is>
          <t>Aug 2026</t>
        </is>
      </c>
      <c r="J4" s="6" t="inlineStr">
        <is>
          <t>Sep 2026</t>
        </is>
      </c>
      <c r="K4" s="6" t="inlineStr">
        <is>
          <t>Jul–Sep 2026</t>
        </is>
      </c>
    </row>
    <row r="5">
      <c r="A5" t="inlineStr">
        <is>
          <t>Revolving interest</t>
        </is>
      </c>
      <c r="B5" s="13" t="n">
        <v>0</v>
      </c>
      <c r="C5" s="13" t="n">
        <v>0</v>
      </c>
      <c r="D5" s="13" t="n">
        <v>0</v>
      </c>
      <c r="E5" s="13" t="n">
        <v>0</v>
      </c>
      <c r="F5" s="13" t="n">
        <v>0</v>
      </c>
      <c r="G5" s="13" t="n">
        <v>685463.409999999</v>
      </c>
      <c r="H5" s="13" t="n">
        <v>1501634.9</v>
      </c>
      <c r="I5" s="13" t="n">
        <v>1951592.03</v>
      </c>
      <c r="J5" s="13" t="n">
        <v>2229680.03</v>
      </c>
      <c r="K5" s="13">
        <f>SUM(H5:J5)</f>
        <v/>
      </c>
    </row>
    <row r="6">
      <c r="A6" t="inlineStr">
        <is>
          <t>Installment interest</t>
        </is>
      </c>
      <c r="B6" s="13" t="n">
        <v>1316.21</v>
      </c>
      <c r="C6" s="13" t="n">
        <v>47765.48</v>
      </c>
      <c r="D6" s="13" t="n">
        <v>134016.53</v>
      </c>
      <c r="E6" s="13" t="n">
        <v>220070.96</v>
      </c>
      <c r="F6" s="13" t="n">
        <v>257582.01</v>
      </c>
      <c r="G6" s="13" t="n">
        <v>340853.06</v>
      </c>
      <c r="H6" s="13" t="n">
        <v>403236.04</v>
      </c>
      <c r="I6" s="13" t="n">
        <v>445213.13</v>
      </c>
      <c r="J6" s="13" t="n">
        <v>486325.05</v>
      </c>
      <c r="K6" s="13">
        <f>SUM(H6:J6)</f>
        <v/>
      </c>
    </row>
    <row r="7">
      <c r="A7" t="inlineStr">
        <is>
          <t>Installment upfront fees</t>
        </is>
      </c>
      <c r="B7" s="13" t="n">
        <v>2185.69</v>
      </c>
      <c r="C7" s="13" t="n">
        <v>146390.53</v>
      </c>
      <c r="D7" s="13" t="n">
        <v>291311.38</v>
      </c>
      <c r="E7" s="13" t="n">
        <v>307856.48</v>
      </c>
      <c r="F7" s="13" t="n">
        <v>320397.94</v>
      </c>
      <c r="G7" s="13" t="n">
        <v>337749.34</v>
      </c>
      <c r="H7" s="13" t="n">
        <v>290513.47</v>
      </c>
      <c r="I7" s="13" t="n">
        <v>341458.41</v>
      </c>
      <c r="J7" s="13" t="n">
        <v>439733.93</v>
      </c>
      <c r="K7" s="13">
        <f>SUM(H7:J7)</f>
        <v/>
      </c>
    </row>
    <row r="8">
      <c r="A8" t="inlineStr">
        <is>
          <t>Late payment fees</t>
        </is>
      </c>
      <c r="B8" s="13" t="n">
        <v>64707.62</v>
      </c>
      <c r="C8" s="13" t="n">
        <v>71011.07000000001</v>
      </c>
      <c r="D8" s="13" t="n">
        <v>104805.31</v>
      </c>
      <c r="E8" s="13" t="n">
        <v>138112.4</v>
      </c>
      <c r="F8" s="13" t="n">
        <v>139049.93</v>
      </c>
      <c r="G8" s="13" t="n">
        <v>84871.59</v>
      </c>
      <c r="H8" s="13" t="n">
        <v>89421.49000000001</v>
      </c>
      <c r="I8" s="13" t="n">
        <v>108174.67</v>
      </c>
      <c r="J8" s="13" t="n">
        <v>126426.4</v>
      </c>
      <c r="K8" s="13">
        <f>SUM(H8:J8)</f>
        <v/>
      </c>
    </row>
    <row r="9">
      <c r="A9" t="inlineStr">
        <is>
          <t>Interchange</t>
        </is>
      </c>
      <c r="B9" s="13" t="n">
        <v>800466.96</v>
      </c>
      <c r="C9" s="13" t="n">
        <v>864632.9299999999</v>
      </c>
      <c r="D9" s="13" t="n">
        <v>1364620.690445234</v>
      </c>
      <c r="E9" s="13" t="n">
        <v>1521533.27</v>
      </c>
      <c r="F9" s="13" t="n">
        <v>1545608.623867449</v>
      </c>
      <c r="G9" s="13" t="n">
        <v>1963194.1105</v>
      </c>
      <c r="H9" s="13" t="n">
        <v>1811444.7469</v>
      </c>
      <c r="I9" s="13" t="n">
        <v>1892210.135992006</v>
      </c>
      <c r="J9" s="13" t="n">
        <v>2630889.798</v>
      </c>
      <c r="K9" s="13">
        <f>SUM(H9:J9)</f>
        <v/>
      </c>
    </row>
    <row r="10">
      <c r="A10" t="inlineStr">
        <is>
          <t>Total revenue — billed basis (ties to management reporting)</t>
        </is>
      </c>
      <c r="B10" s="13">
        <f>SUM(B5:B9)</f>
        <v/>
      </c>
      <c r="C10" s="13">
        <f>SUM(C5:C9)</f>
        <v/>
      </c>
      <c r="D10" s="13">
        <f>SUM(D5:D9)</f>
        <v/>
      </c>
      <c r="E10" s="13">
        <f>SUM(E5:E9)</f>
        <v/>
      </c>
      <c r="F10" s="13">
        <f>SUM(F5:F9)</f>
        <v/>
      </c>
      <c r="G10" s="13">
        <f>SUM(G5:G9)</f>
        <v/>
      </c>
      <c r="H10" s="13">
        <f>SUM(H5:H9)</f>
        <v/>
      </c>
      <c r="I10" s="13">
        <f>SUM(I5:I9)</f>
        <v/>
      </c>
      <c r="J10" s="13">
        <f>SUM(J5:J9)</f>
        <v/>
      </c>
      <c r="K10" s="13">
        <f>SUM(K5:K9)</f>
        <v/>
      </c>
    </row>
    <row r="11">
      <c r="A11" t="inlineStr">
        <is>
          <t>Revolving interest — accrued (calendar month)</t>
        </is>
      </c>
      <c r="H11" s="13" t="n">
        <v>1658171.4</v>
      </c>
      <c r="I11" s="13" t="n">
        <v>2023314.88</v>
      </c>
      <c r="J11" s="13" t="n">
        <v>2282599.61</v>
      </c>
      <c r="K11" s="13">
        <f>SUM(H11:J11)</f>
        <v/>
      </c>
    </row>
    <row r="12">
      <c r="A12" t="inlineStr">
        <is>
          <t>Installment interest — allocated across cycle days (calendar month)</t>
        </is>
      </c>
      <c r="G12" s="13" t="n">
        <v>380786.2</v>
      </c>
      <c r="H12" s="13" t="n">
        <v>430644.66</v>
      </c>
      <c r="I12" s="13" t="n">
        <v>467199.88</v>
      </c>
      <c r="J12" s="13" t="n">
        <v>517295.33</v>
      </c>
      <c r="K12" s="13">
        <f>SUM(H12:J12)</f>
        <v/>
      </c>
    </row>
    <row r="13">
      <c r="A13" s="8" t="inlineStr">
        <is>
          <t>Total revenue — accrual basis (used in Yield Summary)</t>
        </is>
      </c>
      <c r="H13" s="9">
        <f>H11+H12+H7+H8+H9</f>
        <v/>
      </c>
      <c r="I13" s="9">
        <f>I11+I12+I7+I8+I9</f>
        <v/>
      </c>
      <c r="J13" s="9">
        <f>J11+J12+J7+J8+J9</f>
        <v/>
      </c>
      <c r="K13" s="9">
        <f>K11+K12+K7+K8+K9</f>
        <v/>
      </c>
    </row>
    <row r="14"/>
    <row r="15">
      <c r="A15" s="11" t="inlineStr">
        <is>
          <t>Balances and volumes</t>
        </is>
      </c>
      <c r="B15" s="12" t="n"/>
      <c r="C15" s="12" t="n"/>
      <c r="D15" s="12" t="n"/>
      <c r="E15" s="12" t="n"/>
      <c r="F15" s="12" t="n"/>
      <c r="G15" s="12" t="n"/>
      <c r="H15" s="12" t="n"/>
      <c r="I15" s="12" t="n"/>
      <c r="J15" s="12" t="n"/>
      <c r="K15" s="12" t="n"/>
    </row>
    <row r="16">
      <c r="A16" t="inlineStr">
        <is>
          <t>Average receivables outstanding</t>
        </is>
      </c>
      <c r="B16" s="13" t="n">
        <v>60876935.09</v>
      </c>
      <c r="C16" s="13" t="n">
        <v>61287125.635</v>
      </c>
      <c r="D16" s="13" t="n">
        <v>78004357.58999999</v>
      </c>
      <c r="E16" s="13" t="n">
        <v>105226683.72</v>
      </c>
      <c r="F16" s="13" t="n">
        <v>126178365.54</v>
      </c>
      <c r="G16" s="13" t="n">
        <v>143946231.47</v>
      </c>
      <c r="H16" s="13" t="n">
        <v>158604610.965</v>
      </c>
      <c r="I16" s="13" t="n">
        <v>176625299.92</v>
      </c>
      <c r="J16" s="13" t="n">
        <v>211159156.895</v>
      </c>
      <c r="K16" s="13">
        <f>AVERAGE(H16:J16)</f>
        <v/>
      </c>
    </row>
    <row r="17">
      <c r="A17" t="inlineStr">
        <is>
          <t>Average receivables outstanding, prior month (reference)</t>
        </is>
      </c>
      <c r="C17" s="13">
        <f>B16</f>
        <v/>
      </c>
      <c r="D17" s="13">
        <f>C16</f>
        <v/>
      </c>
      <c r="E17" s="13">
        <f>D16</f>
        <v/>
      </c>
      <c r="F17" s="13">
        <f>E16</f>
        <v/>
      </c>
      <c r="G17" s="13">
        <f>F16</f>
        <v/>
      </c>
      <c r="H17" s="13">
        <f>G16</f>
        <v/>
      </c>
      <c r="I17" s="13">
        <f>H16</f>
        <v/>
      </c>
      <c r="J17" s="13">
        <f>I16</f>
        <v/>
      </c>
      <c r="K17" s="13">
        <f>AVERAGE(G16:I16)</f>
        <v/>
      </c>
    </row>
    <row r="18">
      <c r="A18" t="inlineStr">
        <is>
          <t>Receivables outstanding, end of month</t>
        </is>
      </c>
      <c r="B18" s="13" t="n">
        <v>59172827.04</v>
      </c>
      <c r="C18" s="13" t="n">
        <v>63401424.23</v>
      </c>
      <c r="D18" s="13" t="n">
        <v>92607290.94999999</v>
      </c>
      <c r="E18" s="13" t="n">
        <v>117846076.49</v>
      </c>
      <c r="F18" s="13" t="n">
        <v>134510654.59</v>
      </c>
      <c r="G18" s="13" t="n">
        <v>153381808.35</v>
      </c>
      <c r="H18" s="13" t="n">
        <v>163827413.58</v>
      </c>
      <c r="I18" s="13" t="n">
        <v>189423186.26</v>
      </c>
      <c r="J18" s="13" t="n">
        <v>232895127.53</v>
      </c>
      <c r="K18" s="13">
        <f>J18</f>
        <v/>
      </c>
    </row>
    <row r="19">
      <c r="A19" t="inlineStr">
        <is>
          <t>Principal originated, statement-month basis (base on which the loss rate is measured)</t>
        </is>
      </c>
      <c r="B19" s="13" t="n">
        <v>69900973.84</v>
      </c>
      <c r="C19" s="13" t="n">
        <v>60820771.28</v>
      </c>
      <c r="D19" s="13" t="n">
        <v>89743205.59</v>
      </c>
      <c r="E19" s="13" t="n">
        <v>107115373.17</v>
      </c>
      <c r="F19" s="13" t="n">
        <v>118184976.17</v>
      </c>
      <c r="G19" s="13" t="n">
        <v>136417479.48</v>
      </c>
      <c r="H19" s="13" t="n">
        <v>140624271.71</v>
      </c>
      <c r="I19" s="13" t="n">
        <v>141888335.14</v>
      </c>
      <c r="J19" s="13" t="n">
        <v>160221212.53</v>
      </c>
      <c r="K19" s="13">
        <f>SUM(H19:J19)</f>
        <v/>
      </c>
    </row>
    <row r="20">
      <c r="A20" t="inlineStr">
        <is>
          <t>Purchase volume settled (Mastercard, net of returns)</t>
        </is>
      </c>
      <c r="B20" s="13" t="n">
        <v>59671645.156</v>
      </c>
      <c r="C20" s="13" t="n">
        <v>60642780.726</v>
      </c>
      <c r="D20" s="13" t="n">
        <v>95344566</v>
      </c>
      <c r="E20" s="13" t="n">
        <v>105947213.036</v>
      </c>
      <c r="F20" s="13" t="n">
        <v>110400244.168</v>
      </c>
      <c r="G20" s="13" t="n">
        <v>137145988.384</v>
      </c>
      <c r="H20" s="13" t="n">
        <v>127249656.88</v>
      </c>
      <c r="I20" s="13" t="n">
        <v>130388896.484</v>
      </c>
      <c r="J20" s="13" t="n">
        <v>190860991.79</v>
      </c>
      <c r="K20" s="13">
        <f>SUM(H20:J20)</f>
        <v/>
      </c>
    </row>
    <row r="21">
      <c r="A21" t="inlineStr">
        <is>
          <t>Pay-a-friend transfers (cardholder-to-cardholder, charged to the card; no interchange)</t>
        </is>
      </c>
      <c r="B21" s="13" t="n">
        <v>1060000</v>
      </c>
      <c r="C21" s="13" t="n">
        <v>980000</v>
      </c>
      <c r="D21" s="13" t="n">
        <v>1900000</v>
      </c>
      <c r="E21" s="13" t="n">
        <v>1190000</v>
      </c>
      <c r="F21" s="13" t="n">
        <v>2250000</v>
      </c>
      <c r="G21" s="13" t="n">
        <v>2040000</v>
      </c>
      <c r="H21" s="13" t="n">
        <v>2730000</v>
      </c>
      <c r="I21" s="13" t="n">
        <v>2970000</v>
      </c>
      <c r="J21" s="13" t="n">
        <v>2650000</v>
      </c>
      <c r="K21" s="13">
        <f>SUM(H21:J21)</f>
        <v/>
      </c>
    </row>
    <row r="22">
      <c r="A22" s="8" t="inlineStr">
        <is>
          <t>Principal flow (purchase volume + pay-a-friend) — calendar-month loss base</t>
        </is>
      </c>
      <c r="B22" s="13">
        <f>B20+B21</f>
        <v/>
      </c>
      <c r="C22" s="13">
        <f>C20+C21</f>
        <v/>
      </c>
      <c r="D22" s="13">
        <f>D20+D21</f>
        <v/>
      </c>
      <c r="E22" s="13">
        <f>E20+E21</f>
        <v/>
      </c>
      <c r="F22" s="13">
        <f>F20+F21</f>
        <v/>
      </c>
      <c r="G22" s="13">
        <f>G20+G21</f>
        <v/>
      </c>
      <c r="H22" s="13">
        <f>H20+H21</f>
        <v/>
      </c>
      <c r="I22" s="13">
        <f>I20+I21</f>
        <v/>
      </c>
      <c r="J22" s="13">
        <f>J20+J21</f>
        <v/>
      </c>
      <c r="K22" s="13">
        <f>K20+K21</f>
        <v/>
      </c>
    </row>
    <row r="23"/>
    <row r="24">
      <c r="A24" s="11" t="inlineStr">
        <is>
          <t>Annualized yields by book month — interchange and upfront fees earned when the month's balance was created, installment charges billed on the month's statements, and the revolving interest and late fees charged on it the following month, ÷ that month's average receivables</t>
        </is>
      </c>
      <c r="B24" s="12" t="n"/>
      <c r="C24" s="12" t="n"/>
      <c r="D24" s="12" t="n"/>
      <c r="E24" s="12" t="n"/>
      <c r="F24" s="12" t="n"/>
      <c r="G24" s="12" t="n"/>
      <c r="H24" s="12" t="n"/>
      <c r="I24" s="12" t="n"/>
      <c r="J24" s="12" t="n"/>
      <c r="K24" s="12" t="n"/>
    </row>
    <row r="25">
      <c r="A25" t="inlineStr">
        <is>
          <t>Months in period</t>
        </is>
      </c>
      <c r="B25" t="n">
        <v>1</v>
      </c>
      <c r="C25" t="n">
        <v>1</v>
      </c>
      <c r="D25" t="n">
        <v>1</v>
      </c>
      <c r="E25" t="n">
        <v>1</v>
      </c>
      <c r="F25" t="n">
        <v>1</v>
      </c>
      <c r="G25" t="n">
        <v>1</v>
      </c>
      <c r="H25" t="n">
        <v>1</v>
      </c>
      <c r="I25" t="n">
        <v>1</v>
      </c>
      <c r="J25" t="n">
        <v>1</v>
      </c>
      <c r="K25" t="n">
        <v>3</v>
      </c>
    </row>
    <row r="26">
      <c r="A26" t="inlineStr">
        <is>
          <t>Revolving interest and late fees charged the following month</t>
        </is>
      </c>
      <c r="B26" s="17">
        <f>(C5+C8)*12/B25/B16</f>
        <v/>
      </c>
      <c r="C26" s="17">
        <f>(D5+D8)*12/C25/C16</f>
        <v/>
      </c>
      <c r="D26" s="17">
        <f>(E5+E8)*12/D25/D16</f>
        <v/>
      </c>
      <c r="E26" s="17">
        <f>(F5+F8)*12/E25/E16</f>
        <v/>
      </c>
      <c r="F26" s="17">
        <f>(G5+G8)*12/F25/F16</f>
        <v/>
      </c>
      <c r="G26" s="17">
        <f>(H11+H8)*12/G25/G16</f>
        <v/>
      </c>
      <c r="H26" s="17">
        <f>(I11+I8)*12/H25/H16</f>
        <v/>
      </c>
      <c r="I26" s="17">
        <f>(J11+J8)*12/I25/I16</f>
        <v/>
      </c>
    </row>
    <row r="27">
      <c r="A27" t="inlineStr">
        <is>
          <t>Installment interest (billed with each installment on the book month's statements)</t>
        </is>
      </c>
      <c r="B27" s="17">
        <f>B6*12/B25/B16</f>
        <v/>
      </c>
      <c r="C27" s="17">
        <f>C6*12/C25/C16</f>
        <v/>
      </c>
      <c r="D27" s="17">
        <f>D6*12/D25/D16</f>
        <v/>
      </c>
      <c r="E27" s="17">
        <f>E6*12/E25/E16</f>
        <v/>
      </c>
      <c r="F27" s="17">
        <f>F6*12/F25/F16</f>
        <v/>
      </c>
      <c r="G27" s="17">
        <f>G12*12/G25/G16</f>
        <v/>
      </c>
      <c r="H27" s="17">
        <f>H12*12/H25/H16</f>
        <v/>
      </c>
      <c r="I27" s="17">
        <f>I12*12/I25/I16</f>
        <v/>
      </c>
    </row>
    <row r="28">
      <c r="A28" t="inlineStr">
        <is>
          <t>Installment upfront fees (at conversion, same month)</t>
        </is>
      </c>
      <c r="B28" s="17">
        <f>B7*12/B25/B16</f>
        <v/>
      </c>
      <c r="C28" s="17">
        <f>C7*12/C25/C16</f>
        <v/>
      </c>
      <c r="D28" s="17">
        <f>D7*12/D25/D16</f>
        <v/>
      </c>
      <c r="E28" s="17">
        <f>E7*12/E25/E16</f>
        <v/>
      </c>
      <c r="F28" s="17">
        <f>F7*12/F25/F16</f>
        <v/>
      </c>
      <c r="G28" s="17">
        <f>G7*12/G25/G16</f>
        <v/>
      </c>
      <c r="H28" s="17">
        <f>H7*12/H25/H16</f>
        <v/>
      </c>
      <c r="I28" s="17">
        <f>I7*12/I25/I16</f>
        <v/>
      </c>
    </row>
    <row r="29">
      <c r="A29" t="inlineStr">
        <is>
          <t>Purchase turnover (annualized purchase volume ÷ average receivables)</t>
        </is>
      </c>
      <c r="B29" s="14">
        <f>B20*12/B25/B16</f>
        <v/>
      </c>
      <c r="C29" s="14">
        <f>C20*12/C25/C16</f>
        <v/>
      </c>
      <c r="D29" s="14">
        <f>D20*12/D25/D16</f>
        <v/>
      </c>
      <c r="E29" s="14">
        <f>E20*12/E25/E16</f>
        <v/>
      </c>
      <c r="F29" s="14">
        <f>F20*12/F25/F16</f>
        <v/>
      </c>
      <c r="G29" s="14">
        <f>G20*12/G25/G16</f>
        <v/>
      </c>
      <c r="H29" s="14">
        <f>H20*12/H25/H16</f>
        <v/>
      </c>
      <c r="I29" s="14">
        <f>I20*12/I25/I16</f>
        <v/>
      </c>
    </row>
    <row r="30">
      <c r="A30" t="inlineStr">
        <is>
          <t>Interchange rate on purchase volume</t>
        </is>
      </c>
      <c r="B30" s="15">
        <f>B9/B20</f>
        <v/>
      </c>
      <c r="C30" s="15">
        <f>C9/C20</f>
        <v/>
      </c>
      <c r="D30" s="15">
        <f>D9/D20</f>
        <v/>
      </c>
      <c r="E30" s="15">
        <f>E9/E20</f>
        <v/>
      </c>
      <c r="F30" s="15">
        <f>F9/F20</f>
        <v/>
      </c>
      <c r="G30" s="15">
        <f>G9/G20</f>
        <v/>
      </c>
      <c r="H30" s="15">
        <f>H9/H20</f>
        <v/>
      </c>
      <c r="I30" s="15">
        <f>I9/I20</f>
        <v/>
      </c>
    </row>
    <row r="31">
      <c r="A31" t="inlineStr">
        <is>
          <t>Interchange (rate × purchase turnover, same month)</t>
        </is>
      </c>
      <c r="B31" s="17">
        <f>B9*12/B25/B16</f>
        <v/>
      </c>
      <c r="C31" s="17">
        <f>C9*12/C25/C16</f>
        <v/>
      </c>
      <c r="D31" s="17">
        <f>D9*12/D25/D16</f>
        <v/>
      </c>
      <c r="E31" s="17">
        <f>E9*12/E25/E16</f>
        <v/>
      </c>
      <c r="F31" s="17">
        <f>F9*12/F25/F16</f>
        <v/>
      </c>
      <c r="G31" s="17">
        <f>G9*12/G25/G16</f>
        <v/>
      </c>
      <c r="H31" s="17">
        <f>H9*12/H25/H16</f>
        <v/>
      </c>
      <c r="I31" s="17">
        <f>I9*12/I25/I16</f>
        <v/>
      </c>
    </row>
    <row r="32">
      <c r="A32" s="8" t="inlineStr">
        <is>
          <t>Gross yield — all revenue</t>
        </is>
      </c>
      <c r="B32" s="16">
        <f>((C5+C8)+B6+B7+B9)*12/B25/B16</f>
        <v/>
      </c>
      <c r="C32" s="16">
        <f>((D5+D8)+C6+C7+C9)*12/C25/C16</f>
        <v/>
      </c>
      <c r="D32" s="16">
        <f>((E5+E8)+D6+D7+D9)*12/D25/D16</f>
        <v/>
      </c>
      <c r="E32" s="16">
        <f>((F5+F8)+E6+E7+E9)*12/E25/E16</f>
        <v/>
      </c>
      <c r="F32" s="16">
        <f>((G5+G8)+F6+F7+F9)*12/F25/F16</f>
        <v/>
      </c>
      <c r="G32" s="16">
        <f>((H11+H8)+G12+G7+G9)*12/G25/G16</f>
        <v/>
      </c>
      <c r="H32" s="16">
        <f>((I11+I8)+H12+H7+H9)*12/H25/H16</f>
        <v/>
      </c>
      <c r="I32" s="16">
        <f>((J11+J8)+I12+I7+I9)*12/I25/I16</f>
        <v/>
      </c>
    </row>
    <row r="33">
      <c r="A33" t="inlineStr">
        <is>
          <t>Principal turnover (annualized principal flow ÷ average receivables)</t>
        </is>
      </c>
      <c r="B33" s="14">
        <f>B22*12/B25/B16</f>
        <v/>
      </c>
      <c r="C33" s="14">
        <f>C22*12/C25/C16</f>
        <v/>
      </c>
      <c r="D33" s="14">
        <f>D22*12/D25/D16</f>
        <v/>
      </c>
      <c r="E33" s="14">
        <f>E22*12/E25/E16</f>
        <v/>
      </c>
      <c r="F33" s="14">
        <f>F22*12/F25/F16</f>
        <v/>
      </c>
      <c r="G33" s="14">
        <f>G22*12/G25/G16</f>
        <v/>
      </c>
      <c r="H33" s="14">
        <f>H22*12/H25/H16</f>
        <v/>
      </c>
      <c r="I33" s="14">
        <f>I22*12/I25/I16</f>
        <v/>
      </c>
    </row>
    <row r="34"/>
    <row r="35">
      <c r="A35" s="11" t="inlineStr">
        <is>
          <t>Reference — conventional basis: all of a month's revenue over that month's own average receivables</t>
        </is>
      </c>
      <c r="B35" s="12" t="n"/>
      <c r="C35" s="12" t="n"/>
      <c r="D35" s="12" t="n"/>
      <c r="E35" s="12" t="n"/>
      <c r="F35" s="12" t="n"/>
      <c r="G35" s="12" t="n"/>
      <c r="H35" s="12" t="n"/>
      <c r="I35" s="12" t="n"/>
      <c r="J35" s="12" t="n"/>
      <c r="K35" s="12" t="n"/>
    </row>
    <row r="36">
      <c r="A36" t="inlineStr">
        <is>
          <t>Interest and fees</t>
        </is>
      </c>
      <c r="B36" s="17">
        <f>SUM(B5:B8)*12/B25/B16</f>
        <v/>
      </c>
      <c r="C36" s="17">
        <f>SUM(C5:C8)*12/C25/C16</f>
        <v/>
      </c>
      <c r="D36" s="17">
        <f>SUM(D5:D8)*12/D25/D16</f>
        <v/>
      </c>
      <c r="E36" s="17">
        <f>SUM(E5:E8)*12/E25/E16</f>
        <v/>
      </c>
      <c r="F36" s="17">
        <f>SUM(F5:F8)*12/F25/F16</f>
        <v/>
      </c>
      <c r="G36" s="17">
        <f>SUM(G5:G8)*12/G25/G16</f>
        <v/>
      </c>
      <c r="H36" s="17">
        <f>(H11+H12+H7+H8)*12/H25/H16</f>
        <v/>
      </c>
      <c r="I36" s="17">
        <f>(I11+I12+I7+I8)*12/I25/I16</f>
        <v/>
      </c>
      <c r="J36" s="17">
        <f>(J11+J12+J7+J8)*12/J25/J16</f>
        <v/>
      </c>
      <c r="K36" s="17">
        <f>(K11+K12+K7+K8)*12/K25/K16</f>
        <v/>
      </c>
    </row>
    <row r="37">
      <c r="A37" t="inlineStr">
        <is>
          <t>Gross yield — all revenue</t>
        </is>
      </c>
      <c r="B37" s="17">
        <f>SUM(B5:B8)*12/B25/B16+B9*12/B25/B16</f>
        <v/>
      </c>
      <c r="C37" s="17">
        <f>SUM(C5:C8)*12/C25/C16+C9*12/C25/C16</f>
        <v/>
      </c>
      <c r="D37" s="17">
        <f>SUM(D5:D8)*12/D25/D16+D9*12/D25/D16</f>
        <v/>
      </c>
      <c r="E37" s="17">
        <f>SUM(E5:E8)*12/E25/E16+E9*12/E25/E16</f>
        <v/>
      </c>
      <c r="F37" s="17">
        <f>SUM(F5:F8)*12/F25/F16+F9*12/F25/F16</f>
        <v/>
      </c>
      <c r="G37" s="17">
        <f>SUM(G5:G8)*12/G25/G16+G9*12/G25/G16</f>
        <v/>
      </c>
      <c r="H37" s="17">
        <f>(H11+H12+H7+H8)*12/H25/H16+H9*12/H25/H16</f>
        <v/>
      </c>
      <c r="I37" s="17">
        <f>(I11+I12+I7+I8)*12/I25/I16+I9*12/I25/I16</f>
        <v/>
      </c>
      <c r="J37" s="17">
        <f>(J11+J12+J7+J8)*12/J25/J16+J9*12/J25/J16</f>
        <v/>
      </c>
      <c r="K37" s="17">
        <f>(K11+K12+K7+K8)*12/K25/K16+K9*12/K25/K16</f>
        <v/>
      </c>
    </row>
    <row r="38"/>
    <row r="39">
      <c r="A39" s="23" t="inlineStr">
        <is>
          <t>Installment plans scaled from March 2026 and revolving interest was introduced with the June 2026 statement cycle, so July–September 2026 is the first quarter with every revenue line in place. Earlier months are shown for completeness on the billed basis. Accrued interest allocates each statement cycle's interest across the calendar days it covers (half the book statements on the 14th, so those cycles straddle two months); it is shown for July–September, where the October 14 cycle is available to complete September. Yields are by book month: a month's balance earns interchange and upfront fees when it is created (that month's purchases and conversions), installment charges on the statements closing in the month (1% of the original plan amount per installment, for every plan outstanding at the close), and revolving interest and late fees the following month (charged on the balance billed at month end, net of payments). The conventional basis is shown for reference; the two coincide when the book is not growing.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34" customWidth="1" min="1" max="1"/>
    <col width="14"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3"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48" customHeight="1">
      <c r="A4" s="5" t="inlineStr">
        <is>
          <t>Origination month</t>
        </is>
      </c>
      <c r="B4" s="6" t="inlineStr">
        <is>
          <t>Accounts</t>
        </is>
      </c>
      <c r="C4" s="6" t="inlineStr">
        <is>
          <t>Principal originated</t>
        </is>
      </c>
      <c r="D4" s="6" t="inlineStr">
        <is>
          <t>Seasoned principal (due ≥90 days ago)</t>
        </is>
      </c>
      <c r="E4" s="6" t="inlineStr">
        <is>
          <t>Excluded: FPD principal 90+ DPD</t>
        </is>
      </c>
      <c r="F4" s="6" t="inlineStr">
        <is>
          <t>Denominator: seasoned, ex-FPD</t>
        </is>
      </c>
      <c r="G4" s="6" t="inlineStr">
        <is>
          <t>Numerator: 90+ DPD, ex-FPD</t>
        </is>
      </c>
      <c r="H4" s="6" t="inlineStr">
        <is>
          <t>Loss rate</t>
        </is>
      </c>
    </row>
    <row r="5">
      <c r="A5" t="inlineStr">
        <is>
          <t>Jan 2026</t>
        </is>
      </c>
      <c r="B5" s="13" t="n">
        <v>3828</v>
      </c>
      <c r="C5" s="13" t="n">
        <v>69900973.84</v>
      </c>
      <c r="D5" s="13" t="n">
        <v>69900973.84</v>
      </c>
      <c r="E5" s="13" t="n">
        <v>195035.55</v>
      </c>
      <c r="F5" s="13" t="n">
        <v>69690793.31</v>
      </c>
      <c r="G5" s="13" t="n">
        <v>1577286.85</v>
      </c>
      <c r="H5" s="15">
        <f>IF(F5=0,"not yet seasoned",G5/F5)</f>
        <v/>
      </c>
    </row>
    <row r="6">
      <c r="A6" t="inlineStr">
        <is>
          <t>Feb 2026</t>
        </is>
      </c>
      <c r="B6" s="13" t="n">
        <v>4029</v>
      </c>
      <c r="C6" s="13" t="n">
        <v>60820771.28</v>
      </c>
      <c r="D6" s="13" t="n">
        <v>60820771.28</v>
      </c>
      <c r="E6" s="13" t="n">
        <v>31366.54</v>
      </c>
      <c r="F6" s="13" t="n">
        <v>60789404.74</v>
      </c>
      <c r="G6" s="13" t="n">
        <v>685527.14</v>
      </c>
      <c r="H6" s="15">
        <f>IF(F6=0,"not yet seasoned",G6/F6)</f>
        <v/>
      </c>
    </row>
    <row r="7">
      <c r="A7" t="inlineStr">
        <is>
          <t>Mar 2026</t>
        </is>
      </c>
      <c r="B7" s="13" t="n">
        <v>5113</v>
      </c>
      <c r="C7" s="13" t="n">
        <v>89743205.59</v>
      </c>
      <c r="D7" s="13" t="n">
        <v>89743205.59</v>
      </c>
      <c r="E7" s="13" t="n">
        <v>562712.45</v>
      </c>
      <c r="F7" s="13" t="n">
        <v>89089554.73999999</v>
      </c>
      <c r="G7" s="13" t="n">
        <v>1404938.62</v>
      </c>
      <c r="H7" s="15">
        <f>IF(F7=0,"not yet seasoned",G7/F7)</f>
        <v/>
      </c>
    </row>
    <row r="8">
      <c r="A8" t="inlineStr">
        <is>
          <t>Apr 2026</t>
        </is>
      </c>
      <c r="B8" s="13" t="n">
        <v>6505</v>
      </c>
      <c r="C8" s="13" t="n">
        <v>107115373.17</v>
      </c>
      <c r="D8" s="13" t="n">
        <v>107115373.17</v>
      </c>
      <c r="E8" s="13" t="n">
        <v>911016.11</v>
      </c>
      <c r="F8" s="13" t="n">
        <v>106123235.92</v>
      </c>
      <c r="G8" s="13" t="n">
        <v>1471002.56</v>
      </c>
      <c r="H8" s="15">
        <f>IF(F8=0,"not yet seasoned",G8/F8)</f>
        <v/>
      </c>
    </row>
    <row r="9">
      <c r="A9" t="inlineStr">
        <is>
          <t>May 2026</t>
        </is>
      </c>
      <c r="B9" s="13" t="n">
        <v>7564</v>
      </c>
      <c r="C9" s="13" t="n">
        <v>118184976.17</v>
      </c>
      <c r="D9" s="13" t="n">
        <v>118184976.17</v>
      </c>
      <c r="E9" s="13" t="n">
        <v>889165.96</v>
      </c>
      <c r="F9" s="13" t="n">
        <v>117226741.83</v>
      </c>
      <c r="G9" s="13" t="n">
        <v>1061583</v>
      </c>
      <c r="H9" s="15">
        <f>IF(F9=0,"not yet seasoned",G9/F9)</f>
        <v/>
      </c>
    </row>
    <row r="10">
      <c r="A10" t="inlineStr">
        <is>
          <t>Jun 2026</t>
        </is>
      </c>
      <c r="B10" s="13" t="n">
        <v>9024</v>
      </c>
      <c r="C10" s="13" t="n">
        <v>136417479.48</v>
      </c>
      <c r="D10" s="13" t="n">
        <v>136417479.48</v>
      </c>
      <c r="E10" s="13" t="n">
        <v>499873.5</v>
      </c>
      <c r="F10" s="13" t="n">
        <v>135917605.98</v>
      </c>
      <c r="G10" s="13" t="n">
        <v>459463.31</v>
      </c>
      <c r="H10" s="15">
        <f>IF(F10=0,"not yet seasoned",G10/F10)</f>
        <v/>
      </c>
    </row>
    <row r="11">
      <c r="A11" t="inlineStr">
        <is>
          <t>Jul 2026</t>
        </is>
      </c>
      <c r="B11" s="13" t="n">
        <v>11366</v>
      </c>
      <c r="C11" s="13" t="n">
        <v>140624271.71</v>
      </c>
      <c r="D11" s="13" t="n">
        <v>0</v>
      </c>
      <c r="E11" s="13" t="n">
        <v>29390.51</v>
      </c>
      <c r="F11" s="13" t="n">
        <v>0</v>
      </c>
      <c r="G11" s="13" t="n">
        <v>8828.190000000001</v>
      </c>
      <c r="H11" s="15">
        <f>IF(F11=0,"not yet seasoned",G11/F11)</f>
        <v/>
      </c>
    </row>
    <row r="12">
      <c r="A12" t="inlineStr">
        <is>
          <t>Aug 2026</t>
        </is>
      </c>
      <c r="B12" s="13" t="n">
        <v>12347</v>
      </c>
      <c r="C12" s="13" t="n">
        <v>141888335.14</v>
      </c>
      <c r="D12" s="13" t="n">
        <v>0</v>
      </c>
      <c r="E12" s="13" t="n">
        <v>0</v>
      </c>
      <c r="F12" s="13" t="n">
        <v>0</v>
      </c>
      <c r="G12" s="13" t="n">
        <v>0</v>
      </c>
      <c r="H12" s="15">
        <f>IF(F12=0,"not yet seasoned",G12/F12)</f>
        <v/>
      </c>
    </row>
    <row r="13">
      <c r="A13" t="inlineStr">
        <is>
          <t>Sep 2026</t>
        </is>
      </c>
      <c r="B13" s="13" t="n">
        <v>13196</v>
      </c>
      <c r="C13" s="13" t="n">
        <v>160221212.53</v>
      </c>
      <c r="D13" s="13" t="n">
        <v>0</v>
      </c>
      <c r="E13" s="13" t="n">
        <v>0</v>
      </c>
      <c r="F13" s="13" t="n">
        <v>0</v>
      </c>
      <c r="G13" s="13" t="n">
        <v>0</v>
      </c>
      <c r="H13" s="15">
        <f>IF(F13=0,"not yet seasoned",G13/F13)</f>
        <v/>
      </c>
    </row>
    <row r="14">
      <c r="A14" s="18" t="inlineStr">
        <is>
          <t>Since January 2026 (all vintages above)</t>
        </is>
      </c>
      <c r="B14" s="19">
        <f>SUM(B5:B13)</f>
        <v/>
      </c>
      <c r="C14" s="19">
        <f>SUM(C5:C13)</f>
        <v/>
      </c>
      <c r="D14" s="19">
        <f>SUM(D5:D13)</f>
        <v/>
      </c>
      <c r="E14" s="19">
        <f>SUM(E5:E13)</f>
        <v/>
      </c>
      <c r="F14" s="19">
        <f>SUM(F5:F13)</f>
        <v/>
      </c>
      <c r="G14" s="19">
        <f>SUM(G5:G13)</f>
        <v/>
      </c>
      <c r="H14" s="24">
        <f>G14/F14</f>
        <v/>
      </c>
    </row>
    <row r="15"/>
    <row r="16" ht="15" customHeight="1">
      <c r="A16" s="25" t="inlineStr">
        <is>
          <t>How to read this table</t>
        </is>
      </c>
    </row>
    <row r="17" ht="48" customHeight="1">
      <c r="A17" s="10"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10"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10"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First-payment default is managed separately from credit underwriting: duplicate-applicant checks (exact name and date of birth, ID number) have been in place since 1 October 2026, and from the 24 October 2026 decisioning run every application is screened for bank account numbers shared with another applicant, repeated selfie or ID images, invite-name mismatches and past-due bureau tradelines, with business-owner limits set on half of declared income pending documents.</t>
        </is>
      </c>
    </row>
    <row r="20" ht="48" customHeight="1">
      <c r="A20" s="10" t="inlineStr">
        <is>
          <t>• Why January 2026. The current underwriting model (V2) was deployed in December 2025 and is the model that originates the portfolio today; earlier vintages were originated under the prior model.</t>
        </is>
      </c>
    </row>
    <row r="21"/>
    <row r="22">
      <c r="A22" s="11" t="inlineStr">
        <is>
          <t>Loss emergence — when a vintage's loss arrives (ex-FPD, same measure as the table above)</t>
        </is>
      </c>
      <c r="B22" s="12" t="n"/>
      <c r="C22" s="12" t="n"/>
      <c r="D22" s="12" t="n"/>
      <c r="E22" s="12" t="n"/>
      <c r="F22" s="12" t="n"/>
      <c r="G22" s="12" t="n"/>
      <c r="H22" s="12" t="n"/>
    </row>
    <row r="23" ht="32" customHeight="1">
      <c r="A23" s="5" t="inlineStr">
        <is>
          <t>Origination month</t>
        </is>
      </c>
      <c r="B23" s="6" t="inlineStr">
        <is>
          <t>By month 3 on book</t>
        </is>
      </c>
      <c r="C23" s="6" t="inlineStr">
        <is>
          <t>By month 4</t>
        </is>
      </c>
      <c r="D23" s="6" t="inlineStr">
        <is>
          <t>By month 5</t>
        </is>
      </c>
      <c r="E23" s="6" t="inlineStr">
        <is>
          <t>By month 6</t>
        </is>
      </c>
      <c r="F23" s="6" t="inlineStr">
        <is>
          <t>By month 8</t>
        </is>
      </c>
      <c r="G23" s="6" t="inlineStr">
        <is>
          <t>Today</t>
        </is>
      </c>
      <c r="H23" s="6" t="inlineStr">
        <is>
          <t>Months on book today</t>
        </is>
      </c>
    </row>
    <row r="24">
      <c r="A24" t="inlineStr">
        <is>
          <t>Jan 2026</t>
        </is>
      </c>
      <c r="B24" s="26" t="n">
        <v>0.00675</v>
      </c>
      <c r="C24" s="26" t="n">
        <v>0.02263</v>
      </c>
      <c r="D24" s="26" t="n">
        <v>0.02263</v>
      </c>
      <c r="E24" s="26" t="n">
        <v>0.02263</v>
      </c>
      <c r="F24" s="26" t="n">
        <v>0.02263</v>
      </c>
      <c r="G24" s="27" t="n">
        <v>0.02263</v>
      </c>
      <c r="H24" t="n">
        <v>9</v>
      </c>
    </row>
    <row r="25">
      <c r="A25" t="inlineStr">
        <is>
          <t>Feb 2026</t>
        </is>
      </c>
      <c r="B25" s="26" t="n">
        <v>0.00851</v>
      </c>
      <c r="C25" s="26" t="n">
        <v>0.01028</v>
      </c>
      <c r="D25" s="26" t="n">
        <v>0.01118</v>
      </c>
      <c r="E25" s="26" t="n">
        <v>0.01128</v>
      </c>
      <c r="F25" s="26" t="inlineStr">
        <is>
          <t>—</t>
        </is>
      </c>
      <c r="G25" s="27" t="n">
        <v>0.01128</v>
      </c>
      <c r="H25" t="n">
        <v>8</v>
      </c>
    </row>
    <row r="26">
      <c r="A26" t="inlineStr">
        <is>
          <t>Mar 2026</t>
        </is>
      </c>
      <c r="B26" s="26" t="n">
        <v>0.00455</v>
      </c>
      <c r="C26" s="26" t="n">
        <v>0.01469</v>
      </c>
      <c r="D26" s="26" t="n">
        <v>0.01577</v>
      </c>
      <c r="E26" s="26" t="n">
        <v>0.01577</v>
      </c>
      <c r="F26" s="26" t="inlineStr">
        <is>
          <t>—</t>
        </is>
      </c>
      <c r="G26" s="27" t="n">
        <v>0.01577</v>
      </c>
      <c r="H26" t="n">
        <v>7</v>
      </c>
    </row>
    <row r="27">
      <c r="A27" t="inlineStr">
        <is>
          <t>Apr 2026</t>
        </is>
      </c>
      <c r="B27" s="26" t="n">
        <v>0.00773</v>
      </c>
      <c r="C27" s="26" t="n">
        <v>0.01313</v>
      </c>
      <c r="D27" s="26" t="n">
        <v>0.01366</v>
      </c>
      <c r="E27" s="26" t="inlineStr">
        <is>
          <t>—</t>
        </is>
      </c>
      <c r="F27" s="26" t="inlineStr">
        <is>
          <t>—</t>
        </is>
      </c>
      <c r="G27" s="27" t="n">
        <v>0.01386</v>
      </c>
      <c r="H27" t="n">
        <v>6</v>
      </c>
    </row>
    <row r="28">
      <c r="A28" t="inlineStr">
        <is>
          <t>May 2026</t>
        </is>
      </c>
      <c r="B28" s="26" t="n">
        <v>0.00494</v>
      </c>
      <c r="C28" s="26" t="n">
        <v>0.00758</v>
      </c>
      <c r="D28" s="26" t="inlineStr">
        <is>
          <t>—</t>
        </is>
      </c>
      <c r="E28" s="26" t="inlineStr">
        <is>
          <t>—</t>
        </is>
      </c>
      <c r="F28" s="26" t="inlineStr">
        <is>
          <t>—</t>
        </is>
      </c>
      <c r="G28" s="27" t="n">
        <v>0.00906</v>
      </c>
      <c r="H28" t="n">
        <v>5</v>
      </c>
    </row>
    <row r="29">
      <c r="A29" t="inlineStr">
        <is>
          <t>Jun 2026</t>
        </is>
      </c>
      <c r="B29" s="26" t="n">
        <v>0.00215</v>
      </c>
      <c r="C29" s="26" t="inlineStr">
        <is>
          <t>—</t>
        </is>
      </c>
      <c r="D29" s="26" t="inlineStr">
        <is>
          <t>—</t>
        </is>
      </c>
      <c r="E29" s="26" t="inlineStr">
        <is>
          <t>—</t>
        </is>
      </c>
      <c r="F29" s="26" t="inlineStr">
        <is>
          <t>—</t>
        </is>
      </c>
      <c r="G29" s="27" t="n">
        <v>0.00338</v>
      </c>
      <c r="H29" t="n">
        <v>4</v>
      </c>
    </row>
    <row r="30" ht="15" customHeight="1">
      <c r="A30" s="25" t="inlineStr">
        <is>
          <t>How to read this table</t>
        </is>
      </c>
    </row>
    <row r="31" ht="44" customHeight="1">
      <c r="A31" s="10" t="inlineStr">
        <is>
          <t>• Each cell is the part of the vintage's loss rate (principal ≥90 DPD today ÷ seasoned principal, ex-FPD — the same measure as the table above) that comes from accounts which had reached 90 days past due by the end of month n after the origination month. 'Today' is the full current loss rate. Cells are blank where month n has not yet ended.</t>
        </is>
      </c>
    </row>
    <row r="32" ht="44" customHeight="1">
      <c r="A32" s="10" t="inlineStr">
        <is>
          <t>• The loss on a vintage is essentially complete by month 4 on book: January–March 2026 show no further movement from month 4 to month 6–8. Because cash is applied to the oldest balances first, an account that defaults later has already repaid its earlier months' purchases, so late defaults fall on later vintages rather than reopening old ones.</t>
        </is>
      </c>
    </row>
    <row r="33" ht="44" customHeight="1">
      <c r="A33" s="10" t="inlineStr">
        <is>
          <t>• Read across the 'Today' column for the trend in fully emerged vintages: 2.26% (Jan), 1.13% (Feb), 1.58% (Mar), 1.39% (Apr), 0.91% (May, at month 5 — effectively final). June is at month 4 with one month of emergence still to come.</t>
        </is>
      </c>
    </row>
  </sheetData>
  <mergeCells count="9">
    <mergeCell ref="A18:H18"/>
    <mergeCell ref="A30:H30"/>
    <mergeCell ref="A20:H20"/>
    <mergeCell ref="A16:H16"/>
    <mergeCell ref="A19:H19"/>
    <mergeCell ref="A33:H33"/>
    <mergeCell ref="A32:H32"/>
    <mergeCell ref="A31:H31"/>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5" t="inlineStr">
        <is>
          <t>Item</t>
        </is>
      </c>
      <c r="B3" s="5" t="inlineStr">
        <is>
          <t>Definition</t>
        </is>
      </c>
    </row>
    <row r="4" ht="75" customHeight="1">
      <c r="A4" s="28" t="inlineStr">
        <is>
          <t>Scope</t>
        </is>
      </c>
      <c r="B4" s="10" t="inlineStr">
        <is>
          <t>Zed's Philippine credit card receivables, all cardholders. Yield Summary covers the June, July and August 2026 books and the three together — the books whose interest was earned in July–September 2026,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195" customHeight="1">
      <c r="A5" s="28" t="inlineStr">
        <is>
          <t>Book month (yield basis)</t>
        </is>
      </c>
      <c r="B5" s="10" t="inlineStr">
        <is>
          <t>Yields are measured by book month: the month's average receivables outstanding (principal, interest and fees billed to cardholders, plus installment principal not yet billed) are the capital employed, and the revenue attributed to them is what that capital earned — interchange and upfront fees when the balance was created (that month's purchases and conversions), installment charges on the month's statements (a fixed charge per installment for every plan outstanding at the close), and revolving interest and late fees the following month, because revolving interest is charged on the balance billed at month end, net of payments (adjusted daily balance), and a purchase earns no interest until it has been statemented. Losses are the loss rate on the principal the month lent. The June, July and August 2026 books are shown — the books whose interest arrived in July–September, the first quarter with every revenue line in place — and the three together, where the denominator is the average of the three months. The conventional basis (a month's revenue over that month's own average receivables) is shown for reference; the two coincide when the book is not growing and differ by roughly the monthly growth rate while it is.</t>
        </is>
      </c>
    </row>
    <row r="6" ht="30" customHeight="1">
      <c r="A6" s="28" t="inlineStr">
        <is>
          <t>Annualization</t>
        </is>
      </c>
      <c r="B6" s="10" t="inlineStr">
        <is>
          <t>Simple: monthly amount ÷ the book month's average receivables × 12. No compounding.</t>
        </is>
      </c>
    </row>
    <row r="7" ht="105" customHeight="1">
      <c r="A7" s="28" t="inlineStr">
        <is>
          <t>Revolving interest</t>
        </is>
      </c>
      <c r="B7" s="10" t="inlineStr">
        <is>
          <t>Finance charge on billed balances not paid in full by the due date; 3% per month, the BSP ceiling. Under the BSP's credit card rules interest is charged only on billed balances, so purchases earn no interest until they are statemented, and balances paid within the grace period never do. Launched with the statement cycle closing 30 June 2026. Yield Summary uses an accrual basis: each statement cycle's interest is allocated evenly across the calendar days the cycle covers (cycles close on the 14th and on the last day of the month); Monthly Detail carries the billed basis, which ties to management reporting.</t>
        </is>
      </c>
    </row>
    <row r="8" ht="105" customHeight="1">
      <c r="A8" s="28" t="inlineStr">
        <is>
          <t>Installment interest and upfront fees</t>
        </is>
      </c>
      <c r="B8" s="10" t="inlineStr">
        <is>
          <t>Installment interest is 1% of the original plan amount per installment (add-on), billed together with the principal installment on every statement closing while the plan is outstanding, starting with the first statement after conversion; on the declining balance it is about 1.5% per month. The upfront conversion fee is 0.5% per month of term, billed when a purchase is converted. Both are attributed to the book month: the fee to the month of conversion, the interest to the month whose statements carried the installment (14th-close statements allocated across their cycle days).</t>
        </is>
      </c>
    </row>
    <row r="9" ht="30" customHeight="1">
      <c r="A9" s="28" t="inlineStr">
        <is>
          <t>Late payment fees</t>
        </is>
      </c>
      <c r="B9" s="10" t="inlineStr">
        <is>
          <t>Fee billed when the minimum payment is not received by the due date.</t>
        </is>
      </c>
    </row>
    <row r="10" ht="90" customHeight="1">
      <c r="A10" s="28" t="inlineStr">
        <is>
          <t>Interchange</t>
        </is>
      </c>
      <c r="B10" s="10"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the book month's average receivables) — the same construction as the loss line. Mastercard settles the merchant net of interchange and the cardholder is billed the full purchase amount, so the interchange margin is collected as part of the cardholder's payment.</t>
        </is>
      </c>
    </row>
    <row r="11" ht="45" customHeight="1">
      <c r="A11" s="28" t="inlineStr">
        <is>
          <t>Turnover</t>
        </is>
      </c>
      <c r="B11" s="10" t="inlineStr">
        <is>
          <t>Annualized flow in the book month ÷ its average receivables. Purchase turnover uses Mastercard purchase volume (the interchange base); principal turnover uses principal flow (the loss base). They differ only by pay-a-friend transfers.</t>
        </is>
      </c>
    </row>
    <row r="12" ht="45" customHeight="1">
      <c r="A12" s="28" t="inlineStr">
        <is>
          <t>Principal flow</t>
        </is>
      </c>
      <c r="B12" s="10" t="inlineStr">
        <is>
          <t>Calendar-month flow of new receivables: Mastercard purchase volume net of returns plus pay-a-friend transfers (cardholder-to-cardholder transfers charged to the card, which earn no interchange). This is the loss base in the Yield Summary.</t>
        </is>
      </c>
    </row>
    <row r="13" ht="90" customHeight="1">
      <c r="A13" s="28" t="inlineStr">
        <is>
          <t>Principal originated (Loss Rate tab)</t>
        </is>
      </c>
      <c r="B13" s="10" t="inlineStr">
        <is>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is>
      </c>
    </row>
    <row r="14" ht="90" customHeight="1">
      <c r="A14" s="28" t="inlineStr">
        <is>
          <t>Loss rate</t>
        </is>
      </c>
      <c r="B14" s="10"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5" ht="45" customHeight="1">
      <c r="A15" s="28" t="inlineStr">
        <is>
          <t>Loss on receivables</t>
        </is>
      </c>
      <c r="B15" s="10" t="inlineStr">
        <is>
          <t>Loss rate on originated principal × principal turnover (annualized principal flow in the book month ÷ its average receivables). Expresses a loss on amounts lent as an annual charge against the receivables balance, on the same basis as the yields.</t>
        </is>
      </c>
    </row>
    <row r="16" ht="30" customHeight="1">
      <c r="A16" s="28" t="inlineStr">
        <is>
          <t>Net yield</t>
        </is>
      </c>
      <c r="B16" s="10" t="inlineStr">
        <is>
          <t>Gross yield less loss on receivables. Before operating costs, servicing, processing and network costs, funding costs, taxes and FX.</t>
        </is>
      </c>
    </row>
    <row r="17" ht="75" customHeight="1">
      <c r="A17" s="28" t="inlineStr">
        <is>
          <t>Sources</t>
        </is>
      </c>
      <c r="B17" s="10" t="inlineStr">
        <is>
          <t>Zed management reporting built from the i2c transaction and settlement extracts (revenue, receivables, purchase volume; as of 26 October 2026), the processor transaction feed (pay-a-friend transfers) and Zed's statement and delinquency data (originations, delinquency by origination month and delinquency history for the emergence table; as of 27 October 2026). September 2026 is the latest complete month.</t>
        </is>
      </c>
    </row>
    <row r="18" ht="30" customHeight="1">
      <c r="A18" s="28" t="inlineStr">
        <is>
          <t>Prepared</t>
        </is>
      </c>
      <c r="B18" s="10"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2026-10-28T22:15:11Z</dcterms:created>
  <dcterms:modified xmlns:dcterms="http://purl.org/dc/terms/" xmlns:xsi="http://www.w3.org/2001/XMLSchema-instance" xsi:type="dcterms:W3CDTF">2026-10-28T22:15:11Z</dcterms:modified>
</cp:coreProperties>
</file>