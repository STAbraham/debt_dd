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tevenabraham/apps/zed/debt_dd/Prior Responses (outside data room)/"/>
    </mc:Choice>
  </mc:AlternateContent>
  <xr:revisionPtr revIDLastSave="0" documentId="13_ncr:1_{F0BC5AD5-B70C-2045-9190-9789DF8ABF0F}" xr6:coauthVersionLast="47" xr6:coauthVersionMax="47" xr10:uidLastSave="{00000000-0000-0000-0000-000000000000}"/>
  <bookViews>
    <workbookView xWindow="58400" yWindow="2340" windowWidth="30480" windowHeight="25940" xr2:uid="{00000000-000D-0000-FFFF-FFFF00000000}"/>
  </bookViews>
  <sheets>
    <sheet name="Yield Summary" sheetId="1" r:id="rId1"/>
    <sheet name="Monthly Detail" sheetId="2" r:id="rId2"/>
    <sheet name="Loss Rate" sheetId="3" r:id="rId3"/>
    <sheet name="Notes" sheetId="4" r:id="rId4"/>
  </sheets>
  <definedNames>
    <definedName name="loss_rate_xfpd">'Loss Rate'!$H$14</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2" l="1"/>
  <c r="G14" i="3"/>
  <c r="H14" i="3" s="1"/>
  <c r="F14" i="3"/>
  <c r="E14" i="3"/>
  <c r="D14" i="3"/>
  <c r="C14" i="3"/>
  <c r="B14" i="3"/>
  <c r="H13" i="3"/>
  <c r="H12" i="3"/>
  <c r="H11" i="3"/>
  <c r="H10" i="3"/>
  <c r="H9" i="3"/>
  <c r="H8" i="3"/>
  <c r="H7" i="3"/>
  <c r="H6" i="3"/>
  <c r="H5" i="3"/>
  <c r="J37" i="2"/>
  <c r="I37" i="2"/>
  <c r="H37" i="2"/>
  <c r="G37" i="2"/>
  <c r="F37" i="2"/>
  <c r="E37" i="2"/>
  <c r="D37" i="2"/>
  <c r="C37" i="2"/>
  <c r="B37" i="2"/>
  <c r="J36" i="2"/>
  <c r="I36" i="2"/>
  <c r="H36" i="2"/>
  <c r="G36" i="2"/>
  <c r="F36" i="2"/>
  <c r="E36" i="2"/>
  <c r="D36" i="2"/>
  <c r="C36" i="2"/>
  <c r="B36" i="2"/>
  <c r="I32" i="2"/>
  <c r="H32" i="2"/>
  <c r="G32" i="2"/>
  <c r="F32" i="2"/>
  <c r="E32" i="2"/>
  <c r="D32" i="2"/>
  <c r="C32" i="2"/>
  <c r="B32" i="2"/>
  <c r="I31" i="2"/>
  <c r="H31" i="2"/>
  <c r="G31" i="2"/>
  <c r="F31" i="2"/>
  <c r="E31" i="2"/>
  <c r="D31" i="2"/>
  <c r="C31" i="2"/>
  <c r="B31" i="2"/>
  <c r="I30" i="2"/>
  <c r="H30" i="2"/>
  <c r="G30" i="2"/>
  <c r="F30" i="2"/>
  <c r="E30" i="2"/>
  <c r="D30" i="2"/>
  <c r="C30" i="2"/>
  <c r="B30" i="2"/>
  <c r="I29" i="2"/>
  <c r="H29" i="2"/>
  <c r="G29" i="2"/>
  <c r="F29" i="2"/>
  <c r="E29" i="2"/>
  <c r="D29" i="2"/>
  <c r="C29" i="2"/>
  <c r="B29" i="2"/>
  <c r="I28" i="2"/>
  <c r="H28" i="2"/>
  <c r="G28" i="2"/>
  <c r="F28" i="2"/>
  <c r="E28" i="2"/>
  <c r="D28" i="2"/>
  <c r="C28" i="2"/>
  <c r="B28" i="2"/>
  <c r="I27" i="2"/>
  <c r="H27" i="2"/>
  <c r="G27" i="2"/>
  <c r="F27" i="2"/>
  <c r="E27" i="2"/>
  <c r="D27" i="2"/>
  <c r="C27" i="2"/>
  <c r="B27" i="2"/>
  <c r="I26" i="2"/>
  <c r="H26" i="2"/>
  <c r="G26" i="2"/>
  <c r="F26" i="2"/>
  <c r="E26" i="2"/>
  <c r="D26" i="2"/>
  <c r="C26" i="2"/>
  <c r="B26" i="2"/>
  <c r="J22" i="2"/>
  <c r="I22" i="2"/>
  <c r="I33" i="2" s="1"/>
  <c r="H22" i="2"/>
  <c r="H33" i="2" s="1"/>
  <c r="G22" i="2"/>
  <c r="G33" i="2" s="1"/>
  <c r="F22" i="2"/>
  <c r="F33" i="2" s="1"/>
  <c r="E22" i="2"/>
  <c r="E33" i="2" s="1"/>
  <c r="D22" i="2"/>
  <c r="D33" i="2" s="1"/>
  <c r="C22" i="2"/>
  <c r="C33" i="2" s="1"/>
  <c r="B33" i="2"/>
  <c r="K21" i="2"/>
  <c r="K20" i="2"/>
  <c r="K22" i="2" s="1"/>
  <c r="K19" i="2"/>
  <c r="K18" i="2"/>
  <c r="K17" i="2"/>
  <c r="J17" i="2"/>
  <c r="I17" i="2"/>
  <c r="H17" i="2"/>
  <c r="G17" i="2"/>
  <c r="F17" i="2"/>
  <c r="E17" i="2"/>
  <c r="D17" i="2"/>
  <c r="C17" i="2"/>
  <c r="K16" i="2"/>
  <c r="J13" i="2"/>
  <c r="I13" i="2"/>
  <c r="H13" i="2"/>
  <c r="K12" i="2"/>
  <c r="K11" i="2"/>
  <c r="J10" i="2"/>
  <c r="I10" i="2"/>
  <c r="H10" i="2"/>
  <c r="G10" i="2"/>
  <c r="F10" i="2"/>
  <c r="E10" i="2"/>
  <c r="D10" i="2"/>
  <c r="C10" i="2"/>
  <c r="B10" i="2"/>
  <c r="K9" i="2"/>
  <c r="K8" i="2"/>
  <c r="K7" i="2"/>
  <c r="K6" i="2"/>
  <c r="K5" i="2"/>
  <c r="K10" i="2" s="1"/>
  <c r="H22" i="1"/>
  <c r="F22" i="1"/>
  <c r="D22" i="1"/>
  <c r="B22" i="1"/>
  <c r="H16" i="1"/>
  <c r="F16" i="1"/>
  <c r="D16" i="1"/>
  <c r="B16" i="1"/>
  <c r="H15" i="1"/>
  <c r="F15" i="1"/>
  <c r="D15" i="1"/>
  <c r="B15" i="1"/>
  <c r="H13" i="1"/>
  <c r="F13" i="1"/>
  <c r="D13" i="1"/>
  <c r="B13" i="1"/>
  <c r="H12" i="1"/>
  <c r="F12" i="1"/>
  <c r="D12" i="1"/>
  <c r="B12" i="1"/>
  <c r="H11" i="1"/>
  <c r="F11" i="1"/>
  <c r="D11" i="1"/>
  <c r="B11" i="1"/>
  <c r="H10" i="1"/>
  <c r="H18" i="1" s="1"/>
  <c r="F10" i="1"/>
  <c r="F18" i="1" s="1"/>
  <c r="D10" i="1"/>
  <c r="D18" i="1" s="1"/>
  <c r="B10" i="1"/>
  <c r="B18" i="1" s="1"/>
  <c r="H7" i="1"/>
  <c r="F7" i="1"/>
  <c r="D7" i="1"/>
  <c r="B7" i="1"/>
  <c r="H5" i="1"/>
  <c r="F5" i="1"/>
  <c r="D5" i="1"/>
  <c r="B5" i="1"/>
  <c r="I23" i="1" l="1"/>
  <c r="G23" i="1"/>
  <c r="E23" i="1"/>
  <c r="C23" i="1"/>
  <c r="I16" i="1"/>
  <c r="G16" i="1"/>
  <c r="E16" i="1"/>
  <c r="C16" i="1"/>
  <c r="I15" i="1"/>
  <c r="G15" i="1"/>
  <c r="E15" i="1"/>
  <c r="C15" i="1"/>
  <c r="I13" i="1"/>
  <c r="G13" i="1"/>
  <c r="E13" i="1"/>
  <c r="C13" i="1"/>
  <c r="I12" i="1"/>
  <c r="G12" i="1"/>
  <c r="E12" i="1"/>
  <c r="C12" i="1"/>
  <c r="E24" i="1"/>
  <c r="E25" i="1" s="1"/>
  <c r="G24" i="1"/>
  <c r="G25" i="1" s="1"/>
  <c r="C24" i="1"/>
  <c r="C25" i="1" s="1"/>
  <c r="I24" i="1"/>
  <c r="I25" i="1" s="1"/>
  <c r="K36" i="2"/>
  <c r="K37" i="2"/>
  <c r="K13" i="2"/>
  <c r="I11" i="1"/>
  <c r="H19" i="1"/>
  <c r="F19" i="1"/>
  <c r="G11" i="1"/>
  <c r="D19" i="1"/>
  <c r="E11" i="1"/>
  <c r="B19" i="1"/>
  <c r="C11" i="1"/>
  <c r="I9" i="1"/>
  <c r="I8" i="1"/>
  <c r="G9" i="1"/>
  <c r="G8" i="1"/>
  <c r="E9" i="1"/>
  <c r="E8" i="1"/>
  <c r="C9" i="1"/>
  <c r="C8" i="1"/>
  <c r="H20" i="1" l="1"/>
  <c r="I19" i="1"/>
  <c r="F20" i="1"/>
  <c r="G19" i="1"/>
  <c r="D20" i="1"/>
  <c r="E19" i="1"/>
  <c r="B20" i="1"/>
  <c r="C19" i="1"/>
  <c r="I10" i="1"/>
  <c r="I18" i="1" s="1"/>
  <c r="I20" i="1" s="1"/>
  <c r="I27" i="1" s="1"/>
  <c r="G10" i="1"/>
  <c r="G18" i="1" s="1"/>
  <c r="G20" i="1" s="1"/>
  <c r="G27" i="1" s="1"/>
  <c r="E10" i="1"/>
  <c r="E18" i="1" s="1"/>
  <c r="E20" i="1" s="1"/>
  <c r="E27" i="1" s="1"/>
  <c r="C10" i="1"/>
  <c r="C18" i="1" s="1"/>
  <c r="C20" i="1" s="1"/>
  <c r="C27" i="1" s="1"/>
</calcChain>
</file>

<file path=xl/sharedStrings.xml><?xml version="1.0" encoding="utf-8"?>
<sst xmlns="http://schemas.openxmlformats.org/spreadsheetml/2006/main" count="155" uniqueCount="126">
  <si>
    <t>Zed — Portfolio yield on receivables</t>
  </si>
  <si>
    <t>Book — the month's receivables and what they earned (interest and late fees arrive the following month)</t>
  </si>
  <si>
    <t>Jun 2026</t>
  </si>
  <si>
    <t>Annualized</t>
  </si>
  <si>
    <t>Jul 2026</t>
  </si>
  <si>
    <t>Aug 2026</t>
  </si>
  <si>
    <t>Jun–Aug 2026</t>
  </si>
  <si>
    <t>Notes</t>
  </si>
  <si>
    <t>Average receivables of the book month (denominator)</t>
  </si>
  <si>
    <t>The capital employed; the quarter averages the three months.</t>
  </si>
  <si>
    <t>Earned as the balance is created — the book month's purchases, conversions and statements</t>
  </si>
  <si>
    <t>Purchase volume settled</t>
  </si>
  <si>
    <t>Mastercard purchases in the month, net of returns.</t>
  </si>
  <si>
    <t>Purchase turnover</t>
  </si>
  <si>
    <t>Annualized purchases ÷ receivables: how often the book is re-spent</t>
  </si>
  <si>
    <t>Interchange rate on purchase volume</t>
  </si>
  <si>
    <t>Set by Mastercard by merchant category and domestic/foreign</t>
  </si>
  <si>
    <t>Interchange income</t>
  </si>
  <si>
    <t>Rate × turnover</t>
  </si>
  <si>
    <t>Installments</t>
  </si>
  <si>
    <t>Upfront fees + installment interest</t>
  </si>
  <si>
    <t>Installment upfront fees</t>
  </si>
  <si>
    <t>0.5% × term in months, billed at conversion.</t>
  </si>
  <si>
    <t>Installment interest</t>
  </si>
  <si>
    <t>1% of plan per month of term (3% on 3 months); one charge per statement, from the first after conversion</t>
  </si>
  <si>
    <t>Earned the following month — charged on the balance billed at the end of the book month</t>
  </si>
  <si>
    <t>Revolving interest (accrued)</t>
  </si>
  <si>
    <t>3%/month (BSP cap) on billed balances unpaid past due date; no interest until a purchase is statemented</t>
  </si>
  <si>
    <t>Late payment fees</t>
  </si>
  <si>
    <t>Charged when the book month's statement is not paid by its due date.</t>
  </si>
  <si>
    <t>Gross yield</t>
  </si>
  <si>
    <t>Interchange</t>
  </si>
  <si>
    <t>Interest and fees</t>
  </si>
  <si>
    <t>Installments + revolving interest + late fees</t>
  </si>
  <si>
    <t>Gross yield — all revenue</t>
  </si>
  <si>
    <t>Amount: revenue attributable to the book.</t>
  </si>
  <si>
    <t>Loss on the principal the book lent</t>
  </si>
  <si>
    <t>Principal flow (purchase volume + pay-a-friend transfers)</t>
  </si>
  <si>
    <t>Everything that became a receivable in the month; pay-a-friend transfers earn no interchange.</t>
  </si>
  <si>
    <t>Principal turnover</t>
  </si>
  <si>
    <t>Annualized principal flow ÷ receivables</t>
  </si>
  <si>
    <t>Loss rate on originated principal — ≥90 DPD, excluding first-payment defaults</t>
  </si>
  <si>
    <t>Loss Rate tab: 90+ DPD ÷ principal seasoned 90 days, vintages since Jan 2026, ex-FPD, before recoveries</t>
  </si>
  <si>
    <t>Loss on receivables</t>
  </si>
  <si>
    <t>Loss rate × principal turnover</t>
  </si>
  <si>
    <t>Net yield</t>
  </si>
  <si>
    <t>Net yield — all revenue less loss on receivables</t>
  </si>
  <si>
    <t>Before operating, servicing and funding costs.</t>
  </si>
  <si>
    <t>Monthly revenue, receivables and originations — January to September 2026</t>
  </si>
  <si>
    <t>PHP. Revenue is recognised in the month billed (interest and fees) or settled (interchange). Yields are annualized simply: month ÷ average receivables × 12.</t>
  </si>
  <si>
    <t>Line</t>
  </si>
  <si>
    <t>Jan 2026</t>
  </si>
  <si>
    <t>Feb 2026</t>
  </si>
  <si>
    <t>Mar 2026</t>
  </si>
  <si>
    <t>Apr 2026</t>
  </si>
  <si>
    <t>May 2026</t>
  </si>
  <si>
    <t>Sep 2026</t>
  </si>
  <si>
    <t>Jul–Sep 2026</t>
  </si>
  <si>
    <t>Revolving interest</t>
  </si>
  <si>
    <t>Total revenue — billed basis (ties to management reporting)</t>
  </si>
  <si>
    <t>Revolving interest — accrued (calendar month)</t>
  </si>
  <si>
    <t>Installment interest — allocated across cycle days (calendar month)</t>
  </si>
  <si>
    <t>Total revenue — accrual basis (used in Yield Summary)</t>
  </si>
  <si>
    <t>Balances and volumes</t>
  </si>
  <si>
    <t>Average receivables outstanding</t>
  </si>
  <si>
    <t>Average receivables outstanding, prior month (reference)</t>
  </si>
  <si>
    <t>Receivables outstanding, end of month</t>
  </si>
  <si>
    <t>Principal originated, statement-month basis (base on which the loss rate is measured)</t>
  </si>
  <si>
    <t>Purchase volume settled (Mastercard, net of returns)</t>
  </si>
  <si>
    <t>Pay-a-friend transfers (cardholder-to-cardholder, charged to the card; no interchange)</t>
  </si>
  <si>
    <t>Principal flow (purchase volume + pay-a-friend) — calendar-month loss base</t>
  </si>
  <si>
    <t>Annualized yields by book month — interchange and upfront fees earned when the month's balance was created, installment charges billed on the month's statements, and the revolving interest and late fees charged on it the following month, ÷ that month's average receivables</t>
  </si>
  <si>
    <t>Months in period</t>
  </si>
  <si>
    <t>Revolving interest and late fees charged the following month</t>
  </si>
  <si>
    <t>Installment interest (billed with each installment on the book month's statements)</t>
  </si>
  <si>
    <t>Installment upfront fees (at conversion, same month)</t>
  </si>
  <si>
    <t>Purchase turnover (annualized purchase volume ÷ average receivables)</t>
  </si>
  <si>
    <t>Interchange (rate × purchase turnover, same month)</t>
  </si>
  <si>
    <t>Principal turnover (annualized principal flow ÷ average receivables)</t>
  </si>
  <si>
    <t>Reference — conventional basis: all of a month's revenue over that month's own average receivables</t>
  </si>
  <si>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</si>
  <si>
    <t>Loss rate on originated principal — 90+ days past due, vintages since January 2026</t>
  </si>
  <si>
    <t>PHP. Each row is the principal originated in that month and how much of it sits on an account 90 or more days past due today (data as of 27 October 2026). Vintages begin January 2026, the first full month after the current underwriting model was introduced (December 2025).</t>
  </si>
  <si>
    <t>Origination month</t>
  </si>
  <si>
    <t>Accounts</t>
  </si>
  <si>
    <t>Principal originated</t>
  </si>
  <si>
    <t>Seasoned principal (due ≥90 days ago)</t>
  </si>
  <si>
    <t>Excluded: FPD principal 90+ DPD</t>
  </si>
  <si>
    <t>Denominator: seasoned, ex-FPD</t>
  </si>
  <si>
    <t>Numerator: 90+ DPD, ex-FPD</t>
  </si>
  <si>
    <t>Loss rate</t>
  </si>
  <si>
    <t>Since January 2026 (all vintages above)</t>
  </si>
  <si>
    <t>How to read this table</t>
  </si>
  <si>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</si>
  <si>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</si>
  <si>
    <t>• First-payment defaults (FPD). An account whose first statement was never paid: billed once, no payment at all. Zed treats these as fraud and identity losses for its own account rather than credit losses, and excludes them here on that basis. The principal excluded is shown in column E.</t>
  </si>
  <si>
    <t>• Fraud controls and their timing. Basic duplicate-applicant checks have been part of decisioning since May 2026 and the first set of major improvements to our second generation credit model were released on 5 May 2026 (v2.1). Version 2.1 sharply reduced uncoordinated first-payment default on new accounts: first-payment defaults fell from 1.2–1.5% of cards issued in February–April 2026 to 0.4% of cards issued in May–August. On 24 October 2026 Zed deployed a full suite of fraud-signal policies, informed by its review of first-payment defaults: bank account numbers shared across applicants, repeated selfie or ID images, invite-name mismatches, business-owner income verification and past-due bureau tradelines.</t>
  </si>
  <si>
    <t>• Why January 2026. The current underwriting model (V2) was deployed in December 2025 and is the model that originates the portfolio today; earlier vintages were originated under the prior model.</t>
  </si>
  <si>
    <t>Definitions and sources</t>
  </si>
  <si>
    <t>Item</t>
  </si>
  <si>
    <t>Definition</t>
  </si>
  <si>
    <t>Scope</t>
  </si>
  <si>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</si>
  <si>
    <t>Book month (yield basis)</t>
  </si>
  <si>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</si>
  <si>
    <t>Annualization</t>
  </si>
  <si>
    <t>Simple: monthly amount ÷ the book month's average receivables × 12. No compounding.</t>
  </si>
  <si>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</si>
  <si>
    <t>Installment interest and upfront fees</t>
  </si>
  <si>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</si>
  <si>
    <t>Fee billed when the minimum payment is not received by the due date.</t>
  </si>
  <si>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</si>
  <si>
    <t>Turnover</t>
  </si>
  <si>
    <t>Annualized flow in the book month ÷ its average receivables. Purchase turnover uses Mastercard purchase volume (the interchange base); principal turnover uses principal flow (the loss base). They differ only by pay-a-friend transfers.</t>
  </si>
  <si>
    <t>Principal flow</t>
  </si>
  <si>
    <t>Calendar-month flow of new receivables: Mastercard purchase volume net of returns plus pay-a-friend transfers (cardholder-to-cardholder transfers charged to the card, which earn no interchange). This is the loss base in the Yield Summary.</t>
  </si>
  <si>
    <t>Principal originated (Loss Rate tab)</t>
  </si>
  <si>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</si>
  <si>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</si>
  <si>
    <t>Loss rate on originated principal × principal turnover (annualized principal flow in the book month ÷ its average receivables). Expresses a loss on amounts lent as an annual charge against the receivables balance, on the same basis as the yields.</t>
  </si>
  <si>
    <t>Gross yield less loss on receivables. Before operating costs, servicing, processing and network costs, funding costs, taxes and FX.</t>
  </si>
  <si>
    <t>Sources</t>
  </si>
  <si>
    <t>Zed management reporting built from the i2c transaction and settlement extracts (revenue, receivables, purchase volume; as of 26 October 2026), the processor transaction feed (pay-a-friend transfers) and Zed's statement and delinquency data (originations, delinquency by origination month; as of 27 October 2026). September 2026 is the latest complete month.</t>
  </si>
  <si>
    <t>Prepared</t>
  </si>
  <si>
    <t>Zed Financial, October 2026, in connection with the evaluation of a receivables facility.</t>
  </si>
  <si>
    <t>Each column is a book: a month's average receivables and what that capital earned and lost. The product works in two steps — a purchase earns interchange the day it settles and, if converted to an installment, its upfront fee and installment is charged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</si>
</sst>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quot;x&quot;"/>
  </numFmts>
  <fonts count="5" x14ac:knownFonts="1">
    <font>
      <sz val="11"/>
      <color theme="1"/>
      <name val="Calibri"/>
      <family val="2"/>
      <scheme val="minor"/>
    </font>
    <font>
      <b/>
      <sz val="14"/>
      <name val="Calibri"/>
      <family val="2"/>
    </font>
    <font>
      <i/>
      <sz val="11"/>
      <color rgb="FF555555"/>
      <name val="Calibri"/>
      <family val="2"/>
    </font>
    <font>
      <b/>
      <sz val="11"/>
      <color rgb="FFFFFFFF"/>
      <name val="Calibri"/>
      <family val="2"/>
    </font>
    <font>
      <b/>
      <sz val="11"/>
      <name val="Calibri"/>
      <family val="2"/>
    </font>
  </fonts>
  <fills count="5">
    <fill>
      <patternFill patternType="none"/>
    </fill>
    <fill>
      <patternFill patternType="gray125"/>
    </fill>
    <fill>
      <patternFill patternType="solid">
        <fgColor rgb="FF1F3A5F"/>
      </patternFill>
    </fill>
    <fill>
      <patternFill patternType="solid">
        <fgColor rgb="FFE8EEF5"/>
      </patternFill>
    </fill>
    <fill>
      <patternFill patternType="solid">
        <fgColor rgb="FFFFF4CC"/>
      </patternFill>
    </fill>
  </fills>
  <borders count="2">
    <border>
      <left/>
      <right/>
      <top/>
      <bottom/>
      <diagonal/>
    </border>
    <border>
      <left/>
      <right/>
      <top style="thin">
        <color rgb="FFBBBBBB"/>
      </top>
      <bottom/>
      <diagonal/>
    </border>
  </borders>
  <cellStyleXfs count="1">
    <xf numFmtId="0" fontId="0" fillId="0" borderId="0"/>
  </cellStyleXfs>
  <cellXfs count="29">
    <xf numFmtId="0" fontId="0" fillId="0" borderId="0" xfId="0"/>
    <xf numFmtId="0" fontId="1" fillId="0" borderId="0" xfId="0" applyFont="1"/>
    <xf numFmtId="0" fontId="0" fillId="2" borderId="0" xfId="0" applyFill="1"/>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4" fillId="0" borderId="0" xfId="0" applyFont="1"/>
    <xf numFmtId="3" fontId="4" fillId="0" borderId="0" xfId="0" applyNumberFormat="1" applyFont="1"/>
    <xf numFmtId="0" fontId="0" fillId="0" borderId="0" xfId="0" applyAlignment="1">
      <alignment vertical="center"/>
    </xf>
    <xf numFmtId="0" fontId="4" fillId="3" borderId="0" xfId="0" applyFont="1" applyFill="1"/>
    <xf numFmtId="0" fontId="0" fillId="3" borderId="0" xfId="0" applyFill="1"/>
    <xf numFmtId="3" fontId="0" fillId="0" borderId="0" xfId="0" applyNumberFormat="1"/>
    <xf numFmtId="165" fontId="0" fillId="0" borderId="0" xfId="0" applyNumberFormat="1"/>
    <xf numFmtId="10" fontId="0" fillId="0" borderId="0" xfId="0" applyNumberFormat="1"/>
    <xf numFmtId="164" fontId="4" fillId="0" borderId="0" xfId="0" applyNumberFormat="1" applyFont="1"/>
    <xf numFmtId="0" fontId="0" fillId="0" borderId="0" xfId="0" applyAlignment="1">
      <alignment indent="1"/>
    </xf>
    <xf numFmtId="164" fontId="0" fillId="0" borderId="0" xfId="0" applyNumberFormat="1"/>
    <xf numFmtId="0" fontId="4" fillId="0" borderId="1" xfId="0" applyFont="1" applyBorder="1"/>
    <xf numFmtId="3" fontId="4" fillId="0" borderId="1" xfId="0" applyNumberFormat="1" applyFont="1" applyBorder="1"/>
    <xf numFmtId="164" fontId="4" fillId="0" borderId="1" xfId="0" applyNumberFormat="1" applyFont="1" applyBorder="1"/>
    <xf numFmtId="0" fontId="0" fillId="0" borderId="1" xfId="0" applyBorder="1" applyAlignment="1">
      <alignment vertical="center"/>
    </xf>
    <xf numFmtId="0" fontId="2" fillId="0" borderId="0" xfId="0" applyFont="1"/>
    <xf numFmtId="10" fontId="4" fillId="4" borderId="1" xfId="0" applyNumberFormat="1" applyFont="1" applyFill="1" applyBorder="1"/>
    <xf numFmtId="0" fontId="0" fillId="0" borderId="0" xfId="0" applyAlignment="1">
      <alignment vertical="top" wrapText="1"/>
    </xf>
    <xf numFmtId="0" fontId="4" fillId="0" borderId="0" xfId="0" applyFont="1" applyAlignment="1">
      <alignment vertical="top"/>
    </xf>
    <xf numFmtId="0" fontId="3" fillId="2" borderId="0" xfId="0" applyFont="1" applyFill="1" applyAlignment="1">
      <alignment horizontal="center" vertical="center"/>
    </xf>
    <xf numFmtId="0" fontId="0" fillId="0" borderId="0" xfId="0"/>
    <xf numFmtId="0" fontId="2"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showGridLines="0" tabSelected="1"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58" customWidth="1"/>
    <col min="2" max="2" width="15" customWidth="1"/>
    <col min="3" max="3" width="12" customWidth="1"/>
    <col min="4" max="4" width="15" customWidth="1"/>
    <col min="5" max="5" width="12" customWidth="1"/>
    <col min="6" max="6" width="15" customWidth="1"/>
    <col min="7" max="7" width="12" customWidth="1"/>
    <col min="8" max="8" width="15" customWidth="1"/>
    <col min="9" max="9" width="12" customWidth="1"/>
    <col min="10" max="10" width="110" customWidth="1"/>
  </cols>
  <sheetData>
    <row r="1" spans="1:10" ht="19" x14ac:dyDescent="0.25">
      <c r="A1" s="1" t="s">
        <v>0</v>
      </c>
    </row>
    <row r="2" spans="1:10" ht="60" customHeight="1" x14ac:dyDescent="0.2">
      <c r="A2" s="26" t="s">
        <v>125</v>
      </c>
      <c r="B2" s="25"/>
      <c r="C2" s="25"/>
      <c r="D2" s="25"/>
      <c r="E2" s="25"/>
      <c r="F2" s="25"/>
      <c r="G2" s="25"/>
      <c r="H2" s="25"/>
      <c r="I2" s="25"/>
      <c r="J2" s="25"/>
    </row>
    <row r="3" spans="1:10" ht="18" customHeight="1" x14ac:dyDescent="0.2">
      <c r="A3" s="2"/>
      <c r="B3" s="24" t="s">
        <v>1</v>
      </c>
      <c r="C3" s="25"/>
      <c r="D3" s="25"/>
      <c r="E3" s="25"/>
      <c r="F3" s="25"/>
      <c r="G3" s="25"/>
      <c r="H3" s="25"/>
      <c r="I3" s="25"/>
      <c r="J3" s="2"/>
    </row>
    <row r="4" spans="1:10" ht="20" customHeight="1" x14ac:dyDescent="0.2">
      <c r="A4" s="3"/>
      <c r="B4" s="4" t="s">
        <v>2</v>
      </c>
      <c r="C4" s="4" t="s">
        <v>3</v>
      </c>
      <c r="D4" s="4" t="s">
        <v>4</v>
      </c>
      <c r="E4" s="4" t="s">
        <v>3</v>
      </c>
      <c r="F4" s="4" t="s">
        <v>5</v>
      </c>
      <c r="G4" s="4" t="s">
        <v>3</v>
      </c>
      <c r="H4" s="4" t="s">
        <v>6</v>
      </c>
      <c r="I4" s="4" t="s">
        <v>3</v>
      </c>
      <c r="J4" s="3" t="s">
        <v>7</v>
      </c>
    </row>
    <row r="5" spans="1:10" ht="18" customHeight="1" x14ac:dyDescent="0.2">
      <c r="A5" s="5" t="s">
        <v>8</v>
      </c>
      <c r="B5" s="6">
        <f>'Monthly Detail'!G16</f>
        <v>143946231.47</v>
      </c>
      <c r="C5" s="5"/>
      <c r="D5" s="6">
        <f>'Monthly Detail'!H16</f>
        <v>158604610.965</v>
      </c>
      <c r="E5" s="5"/>
      <c r="F5" s="6">
        <f>'Monthly Detail'!I16</f>
        <v>176625299.91999999</v>
      </c>
      <c r="G5" s="5"/>
      <c r="H5" s="6">
        <f>AVERAGE('Monthly Detail'!G16:I16)</f>
        <v>159725380.785</v>
      </c>
      <c r="I5" s="5"/>
      <c r="J5" s="7" t="s">
        <v>9</v>
      </c>
    </row>
    <row r="6" spans="1:10" ht="18" customHeight="1" x14ac:dyDescent="0.2">
      <c r="A6" s="8" t="s">
        <v>10</v>
      </c>
      <c r="B6" s="9"/>
      <c r="C6" s="9"/>
      <c r="D6" s="9"/>
      <c r="E6" s="9"/>
      <c r="F6" s="9"/>
      <c r="G6" s="9"/>
      <c r="H6" s="9"/>
      <c r="I6" s="9"/>
      <c r="J6" s="9"/>
    </row>
    <row r="7" spans="1:10" ht="18" customHeight="1" x14ac:dyDescent="0.2">
      <c r="A7" t="s">
        <v>11</v>
      </c>
      <c r="B7" s="10">
        <f>'Monthly Detail'!G20</f>
        <v>137145988.384</v>
      </c>
      <c r="D7" s="10">
        <f>'Monthly Detail'!H20</f>
        <v>127249656.88</v>
      </c>
      <c r="F7" s="10">
        <f>'Monthly Detail'!I20</f>
        <v>130388896.484</v>
      </c>
      <c r="H7" s="10">
        <f>'Monthly Detail'!G20+'Monthly Detail'!H20+'Monthly Detail'!I20</f>
        <v>394784541.74800003</v>
      </c>
      <c r="J7" s="7" t="s">
        <v>12</v>
      </c>
    </row>
    <row r="8" spans="1:10" ht="18" customHeight="1" x14ac:dyDescent="0.2">
      <c r="A8" t="s">
        <v>13</v>
      </c>
      <c r="C8" s="11">
        <f>B7*12/B$5</f>
        <v>11.433101400441963</v>
      </c>
      <c r="E8" s="11">
        <f>D7*12/D$5</f>
        <v>9.6276890896757656</v>
      </c>
      <c r="G8" s="11">
        <f>F7*12/F$5</f>
        <v>8.8586785614331269</v>
      </c>
      <c r="I8" s="11">
        <f>H7*4/H$5</f>
        <v>9.8865825783668999</v>
      </c>
      <c r="J8" s="7" t="s">
        <v>14</v>
      </c>
    </row>
    <row r="9" spans="1:10" ht="18" customHeight="1" x14ac:dyDescent="0.2">
      <c r="A9" t="s">
        <v>15</v>
      </c>
      <c r="C9" s="12">
        <f>B10/B7</f>
        <v>1.4314630224569034E-2</v>
      </c>
      <c r="E9" s="12">
        <f>D10/D7</f>
        <v>1.4235360560604444E-2</v>
      </c>
      <c r="G9" s="12">
        <f>F10/F7</f>
        <v>1.4512049622447712E-2</v>
      </c>
      <c r="I9" s="12">
        <f>H10/H7</f>
        <v>1.4354282891373403E-2</v>
      </c>
      <c r="J9" s="7" t="s">
        <v>16</v>
      </c>
    </row>
    <row r="10" spans="1:10" ht="18" customHeight="1" x14ac:dyDescent="0.2">
      <c r="A10" s="5" t="s">
        <v>17</v>
      </c>
      <c r="B10" s="6">
        <f>'Monthly Detail'!G9</f>
        <v>1963194.1105</v>
      </c>
      <c r="C10" s="13">
        <f>C9*C8</f>
        <v>0.16366061886732908</v>
      </c>
      <c r="D10" s="6">
        <f>'Monthly Detail'!H9</f>
        <v>1811444.7468999999</v>
      </c>
      <c r="E10" s="13">
        <f>E9*E8</f>
        <v>0.1370536255569321</v>
      </c>
      <c r="F10" s="6">
        <f>'Monthly Detail'!I9</f>
        <v>1892210.1359920059</v>
      </c>
      <c r="G10" s="13">
        <f>G9*G8</f>
        <v>0.12855758287283126</v>
      </c>
      <c r="H10" s="6">
        <f>'Monthly Detail'!G9+'Monthly Detail'!H9+'Monthly Detail'!I9</f>
        <v>5666848.9933920056</v>
      </c>
      <c r="I10" s="13">
        <f>I9*I8</f>
        <v>0.14191480315880234</v>
      </c>
      <c r="J10" s="7" t="s">
        <v>18</v>
      </c>
    </row>
    <row r="11" spans="1:10" ht="18" customHeight="1" x14ac:dyDescent="0.2">
      <c r="A11" s="5" t="s">
        <v>19</v>
      </c>
      <c r="B11" s="6">
        <f>B12+B13</f>
        <v>718535.54</v>
      </c>
      <c r="C11" s="13">
        <f>B11*12/B$5</f>
        <v>5.9900328004050665E-2</v>
      </c>
      <c r="D11" s="6">
        <f>D12+D13</f>
        <v>721158.12999999989</v>
      </c>
      <c r="E11" s="13">
        <f>D11*12/D$5</f>
        <v>5.4562711054533551E-2</v>
      </c>
      <c r="F11" s="6">
        <f>F12+F13</f>
        <v>808658.29</v>
      </c>
      <c r="G11" s="13">
        <f>F11*12/F$5</f>
        <v>5.4940597323233135E-2</v>
      </c>
      <c r="H11" s="6">
        <f>H12+H13</f>
        <v>2248351.96</v>
      </c>
      <c r="I11" s="13">
        <f>H11*4/H$5</f>
        <v>5.6305439973285583E-2</v>
      </c>
      <c r="J11" s="7" t="s">
        <v>20</v>
      </c>
    </row>
    <row r="12" spans="1:10" ht="18" customHeight="1" x14ac:dyDescent="0.2">
      <c r="A12" s="14" t="s">
        <v>21</v>
      </c>
      <c r="B12" s="10">
        <f>'Monthly Detail'!G7</f>
        <v>337749.34</v>
      </c>
      <c r="C12" s="15">
        <f>B12*12/B$5</f>
        <v>2.8156291683431037E-2</v>
      </c>
      <c r="D12" s="10">
        <f>'Monthly Detail'!H7</f>
        <v>290513.46999999997</v>
      </c>
      <c r="E12" s="15">
        <f>D12*12/D$5</f>
        <v>2.1980203594265658E-2</v>
      </c>
      <c r="F12" s="10">
        <f>'Monthly Detail'!I7</f>
        <v>341458.41</v>
      </c>
      <c r="G12" s="15">
        <f>F12*12/F$5</f>
        <v>2.3198833473210841E-2</v>
      </c>
      <c r="H12" s="10">
        <f>'Monthly Detail'!G7+'Monthly Detail'!H7+'Monthly Detail'!I7</f>
        <v>969721.22</v>
      </c>
      <c r="I12" s="15">
        <f>H12*4/H$5</f>
        <v>2.4284712053503965E-2</v>
      </c>
      <c r="J12" s="7" t="s">
        <v>22</v>
      </c>
    </row>
    <row r="13" spans="1:10" ht="18" customHeight="1" x14ac:dyDescent="0.2">
      <c r="A13" s="14" t="s">
        <v>23</v>
      </c>
      <c r="B13" s="10">
        <f>'Monthly Detail'!G12</f>
        <v>380786.2</v>
      </c>
      <c r="C13" s="15">
        <f>B13*12/B$5</f>
        <v>3.1744036320619631E-2</v>
      </c>
      <c r="D13" s="10">
        <f>'Monthly Detail'!H12</f>
        <v>430644.66</v>
      </c>
      <c r="E13" s="15">
        <f>D13*12/D$5</f>
        <v>3.2582507460267897E-2</v>
      </c>
      <c r="F13" s="10">
        <f>'Monthly Detail'!I12</f>
        <v>467199.88</v>
      </c>
      <c r="G13" s="15">
        <f>F13*12/F$5</f>
        <v>3.1741763850022288E-2</v>
      </c>
      <c r="H13" s="10">
        <f>'Monthly Detail'!G12+'Monthly Detail'!H12+'Monthly Detail'!I12</f>
        <v>1278630.74</v>
      </c>
      <c r="I13" s="15">
        <f>H13*4/H$5</f>
        <v>3.2020727919781618E-2</v>
      </c>
      <c r="J13" s="7" t="s">
        <v>24</v>
      </c>
    </row>
    <row r="14" spans="1:10" ht="18" customHeight="1" x14ac:dyDescent="0.2">
      <c r="A14" s="8" t="s">
        <v>25</v>
      </c>
      <c r="B14" s="9"/>
      <c r="C14" s="9"/>
      <c r="D14" s="9"/>
      <c r="E14" s="9"/>
      <c r="F14" s="9"/>
      <c r="G14" s="9"/>
      <c r="H14" s="9"/>
      <c r="I14" s="9"/>
      <c r="J14" s="9"/>
    </row>
    <row r="15" spans="1:10" ht="18" customHeight="1" x14ac:dyDescent="0.2">
      <c r="A15" t="s">
        <v>26</v>
      </c>
      <c r="B15" s="10">
        <f>'Monthly Detail'!H11</f>
        <v>1658171.4</v>
      </c>
      <c r="C15" s="15">
        <f>B15*12/B$5</f>
        <v>0.13823256501263095</v>
      </c>
      <c r="D15" s="10">
        <f>'Monthly Detail'!I11</f>
        <v>2023314.88</v>
      </c>
      <c r="E15" s="15">
        <f>D15*12/D$5</f>
        <v>0.15308368661083838</v>
      </c>
      <c r="F15" s="10">
        <f>'Monthly Detail'!J11</f>
        <v>2282599.61</v>
      </c>
      <c r="G15" s="15">
        <f>F15*12/F$5</f>
        <v>0.15508081420049374</v>
      </c>
      <c r="H15" s="10">
        <f>'Monthly Detail'!H11+'Monthly Detail'!I11+'Monthly Detail'!J11</f>
        <v>5964085.8899999997</v>
      </c>
      <c r="I15" s="15">
        <f>H15*4/H$5</f>
        <v>0.14935850171559195</v>
      </c>
      <c r="J15" s="7" t="s">
        <v>27</v>
      </c>
    </row>
    <row r="16" spans="1:10" ht="18" customHeight="1" x14ac:dyDescent="0.2">
      <c r="A16" t="s">
        <v>28</v>
      </c>
      <c r="B16" s="10">
        <f>'Monthly Detail'!H8</f>
        <v>89421.49</v>
      </c>
      <c r="C16" s="15">
        <f>B16*12/B$5</f>
        <v>7.4545743159912968E-3</v>
      </c>
      <c r="D16" s="10">
        <f>'Monthly Detail'!I8</f>
        <v>108174.67</v>
      </c>
      <c r="E16" s="15">
        <f>D16*12/D$5</f>
        <v>8.1844785728610175E-3</v>
      </c>
      <c r="F16" s="10">
        <f>'Monthly Detail'!J8</f>
        <v>126426.4</v>
      </c>
      <c r="G16" s="15">
        <f>F16*12/F$5</f>
        <v>8.5894648200861203E-3</v>
      </c>
      <c r="H16" s="10">
        <f>'Monthly Detail'!H8+'Monthly Detail'!I8+'Monthly Detail'!J8</f>
        <v>324022.56</v>
      </c>
      <c r="I16" s="15">
        <f>H16*4/H$5</f>
        <v>8.1144914704859312E-3</v>
      </c>
      <c r="J16" s="7" t="s">
        <v>29</v>
      </c>
    </row>
    <row r="17" spans="1:10" ht="18" customHeight="1" x14ac:dyDescent="0.2">
      <c r="A17" s="8" t="s">
        <v>30</v>
      </c>
      <c r="B17" s="9"/>
      <c r="C17" s="9"/>
      <c r="D17" s="9"/>
      <c r="E17" s="9"/>
      <c r="F17" s="9"/>
      <c r="G17" s="9"/>
      <c r="H17" s="9"/>
      <c r="I17" s="9"/>
      <c r="J17" s="9"/>
    </row>
    <row r="18" spans="1:10" ht="18" customHeight="1" x14ac:dyDescent="0.2">
      <c r="A18" t="s">
        <v>31</v>
      </c>
      <c r="B18" s="10">
        <f t="shared" ref="B18:I18" si="0">B10</f>
        <v>1963194.1105</v>
      </c>
      <c r="C18" s="15">
        <f t="shared" si="0"/>
        <v>0.16366061886732908</v>
      </c>
      <c r="D18" s="10">
        <f t="shared" si="0"/>
        <v>1811444.7468999999</v>
      </c>
      <c r="E18" s="15">
        <f t="shared" si="0"/>
        <v>0.1370536255569321</v>
      </c>
      <c r="F18" s="10">
        <f t="shared" si="0"/>
        <v>1892210.1359920059</v>
      </c>
      <c r="G18" s="15">
        <f t="shared" si="0"/>
        <v>0.12855758287283126</v>
      </c>
      <c r="H18" s="10">
        <f t="shared" si="0"/>
        <v>5666848.9933920056</v>
      </c>
      <c r="I18" s="15">
        <f t="shared" si="0"/>
        <v>0.14191480315880234</v>
      </c>
    </row>
    <row r="19" spans="1:10" ht="18" customHeight="1" x14ac:dyDescent="0.2">
      <c r="A19" t="s">
        <v>32</v>
      </c>
      <c r="B19" s="10">
        <f>B11+B15+B16</f>
        <v>2466128.4300000002</v>
      </c>
      <c r="C19" s="15">
        <f>B19*12/B$5</f>
        <v>0.20558746733267294</v>
      </c>
      <c r="D19" s="10">
        <f>D11+D15+D16</f>
        <v>2852647.6799999997</v>
      </c>
      <c r="E19" s="15">
        <f>D19*12/D$5</f>
        <v>0.21583087623823294</v>
      </c>
      <c r="F19" s="10">
        <f>F11+F15+F16</f>
        <v>3217684.3</v>
      </c>
      <c r="G19" s="15">
        <f>F19*12/F$5</f>
        <v>0.21861087634381296</v>
      </c>
      <c r="H19" s="10">
        <f>H11+H15+H16</f>
        <v>8536460.4100000001</v>
      </c>
      <c r="I19" s="15">
        <f>H19*4/H$5</f>
        <v>0.21377843315936348</v>
      </c>
      <c r="J19" s="7" t="s">
        <v>33</v>
      </c>
    </row>
    <row r="20" spans="1:10" ht="18" customHeight="1" x14ac:dyDescent="0.2">
      <c r="A20" s="16" t="s">
        <v>34</v>
      </c>
      <c r="B20" s="17">
        <f t="shared" ref="B20:I20" si="1">B18+B19</f>
        <v>4429322.5405000001</v>
      </c>
      <c r="C20" s="18">
        <f t="shared" si="1"/>
        <v>0.36924808620000205</v>
      </c>
      <c r="D20" s="17">
        <f t="shared" si="1"/>
        <v>4664092.4268999994</v>
      </c>
      <c r="E20" s="18">
        <f t="shared" si="1"/>
        <v>0.35288450179516506</v>
      </c>
      <c r="F20" s="17">
        <f t="shared" si="1"/>
        <v>5109894.4359920062</v>
      </c>
      <c r="G20" s="18">
        <f t="shared" si="1"/>
        <v>0.34716845921664419</v>
      </c>
      <c r="H20" s="17">
        <f t="shared" si="1"/>
        <v>14203309.403392006</v>
      </c>
      <c r="I20" s="18">
        <f t="shared" si="1"/>
        <v>0.35569323631816585</v>
      </c>
      <c r="J20" s="19" t="s">
        <v>35</v>
      </c>
    </row>
    <row r="21" spans="1:10" ht="18" customHeight="1" x14ac:dyDescent="0.2">
      <c r="A21" s="8" t="s">
        <v>36</v>
      </c>
      <c r="B21" s="9"/>
      <c r="C21" s="9"/>
      <c r="D21" s="9"/>
      <c r="E21" s="9"/>
      <c r="F21" s="9"/>
      <c r="G21" s="9"/>
      <c r="H21" s="9"/>
      <c r="I21" s="9"/>
      <c r="J21" s="9"/>
    </row>
    <row r="22" spans="1:10" ht="18" customHeight="1" x14ac:dyDescent="0.2">
      <c r="A22" t="s">
        <v>37</v>
      </c>
      <c r="B22" s="10">
        <f>'Monthly Detail'!G22</f>
        <v>139185988.384</v>
      </c>
      <c r="D22" s="10">
        <f>'Monthly Detail'!H22</f>
        <v>129979656.88</v>
      </c>
      <c r="F22" s="10">
        <f>'Monthly Detail'!I22</f>
        <v>133358896.484</v>
      </c>
      <c r="H22" s="10">
        <f>'Monthly Detail'!G22+'Monthly Detail'!H22+'Monthly Detail'!I22</f>
        <v>402524541.74800003</v>
      </c>
      <c r="J22" s="7" t="s">
        <v>38</v>
      </c>
    </row>
    <row r="23" spans="1:10" ht="18" customHeight="1" x14ac:dyDescent="0.2">
      <c r="A23" t="s">
        <v>39</v>
      </c>
      <c r="C23" s="11">
        <f>B22*12/B$5</f>
        <v>11.603164900889364</v>
      </c>
      <c r="E23" s="11">
        <f>D22*12/D$5</f>
        <v>9.8342404616735788</v>
      </c>
      <c r="G23" s="11">
        <f>F22*12/F$5</f>
        <v>9.0604616582835931</v>
      </c>
      <c r="I23" s="11">
        <f>H22*4/H$5</f>
        <v>10.080415266996855</v>
      </c>
      <c r="J23" s="7" t="s">
        <v>40</v>
      </c>
    </row>
    <row r="24" spans="1:10" ht="18" customHeight="1" x14ac:dyDescent="0.2">
      <c r="A24" t="s">
        <v>41</v>
      </c>
      <c r="C24" s="12">
        <f>loss_rate_xfpd</f>
        <v>1.1520731731114904E-2</v>
      </c>
      <c r="E24" s="12">
        <f>loss_rate_xfpd</f>
        <v>1.1520731731114904E-2</v>
      </c>
      <c r="G24" s="12">
        <f>loss_rate_xfpd</f>
        <v>1.1520731731114904E-2</v>
      </c>
      <c r="I24" s="12">
        <f>loss_rate_xfpd</f>
        <v>1.1520731731114904E-2</v>
      </c>
      <c r="J24" s="7" t="s">
        <v>42</v>
      </c>
    </row>
    <row r="25" spans="1:10" ht="18" customHeight="1" x14ac:dyDescent="0.2">
      <c r="A25" s="5" t="s">
        <v>43</v>
      </c>
      <c r="B25" s="5"/>
      <c r="C25" s="13">
        <f>C24*C23</f>
        <v>0.13367695005503483</v>
      </c>
      <c r="D25" s="5"/>
      <c r="E25" s="13">
        <f>E24*E23</f>
        <v>0.11329764613821688</v>
      </c>
      <c r="F25" s="5"/>
      <c r="G25" s="13">
        <f>G24*G23</f>
        <v>0.10438314812513776</v>
      </c>
      <c r="H25" s="5"/>
      <c r="I25" s="13">
        <f>I24*I23</f>
        <v>0.11613376002930578</v>
      </c>
      <c r="J25" s="7" t="s">
        <v>44</v>
      </c>
    </row>
    <row r="26" spans="1:10" ht="18" customHeight="1" x14ac:dyDescent="0.2">
      <c r="A26" s="8" t="s">
        <v>45</v>
      </c>
      <c r="B26" s="9"/>
      <c r="C26" s="9"/>
      <c r="D26" s="9"/>
      <c r="E26" s="9"/>
      <c r="F26" s="9"/>
      <c r="G26" s="9"/>
      <c r="H26" s="9"/>
      <c r="I26" s="9"/>
      <c r="J26" s="9"/>
    </row>
    <row r="27" spans="1:10" ht="18" customHeight="1" x14ac:dyDescent="0.2">
      <c r="A27" s="5" t="s">
        <v>46</v>
      </c>
      <c r="B27" s="5"/>
      <c r="C27" s="13">
        <f>C20-C25</f>
        <v>0.23557113614496722</v>
      </c>
      <c r="D27" s="5"/>
      <c r="E27" s="13">
        <f>E20-E25</f>
        <v>0.23958685565694818</v>
      </c>
      <c r="F27" s="5"/>
      <c r="G27" s="13">
        <f>G20-G25</f>
        <v>0.24278531109150642</v>
      </c>
      <c r="H27" s="5"/>
      <c r="I27" s="13">
        <f>I20-I25</f>
        <v>0.23955947628886007</v>
      </c>
      <c r="J27" s="7" t="s">
        <v>47</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showGridLines="0"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62" customWidth="1"/>
    <col min="2" max="10" width="14" customWidth="1"/>
    <col min="11" max="11" width="16" customWidth="1"/>
  </cols>
  <sheetData>
    <row r="1" spans="1:11" ht="19" x14ac:dyDescent="0.25">
      <c r="A1" s="1" t="s">
        <v>48</v>
      </c>
    </row>
    <row r="2" spans="1:11" x14ac:dyDescent="0.2">
      <c r="A2" s="20" t="s">
        <v>49</v>
      </c>
    </row>
    <row r="4" spans="1:11" ht="16" x14ac:dyDescent="0.2">
      <c r="A4" s="3" t="s">
        <v>50</v>
      </c>
      <c r="B4" s="4" t="s">
        <v>51</v>
      </c>
      <c r="C4" s="4" t="s">
        <v>52</v>
      </c>
      <c r="D4" s="4" t="s">
        <v>53</v>
      </c>
      <c r="E4" s="4" t="s">
        <v>54</v>
      </c>
      <c r="F4" s="4" t="s">
        <v>55</v>
      </c>
      <c r="G4" s="4" t="s">
        <v>2</v>
      </c>
      <c r="H4" s="4" t="s">
        <v>4</v>
      </c>
      <c r="I4" s="4" t="s">
        <v>5</v>
      </c>
      <c r="J4" s="4" t="s">
        <v>56</v>
      </c>
      <c r="K4" s="4" t="s">
        <v>57</v>
      </c>
    </row>
    <row r="5" spans="1:11" x14ac:dyDescent="0.2">
      <c r="A5" t="s">
        <v>58</v>
      </c>
      <c r="B5" s="10">
        <v>0</v>
      </c>
      <c r="C5" s="10">
        <v>0</v>
      </c>
      <c r="D5" s="10">
        <v>0</v>
      </c>
      <c r="E5" s="10">
        <v>0</v>
      </c>
      <c r="F5" s="10">
        <v>0</v>
      </c>
      <c r="G5" s="10">
        <v>685463.40999999898</v>
      </c>
      <c r="H5" s="10">
        <v>1501634.9</v>
      </c>
      <c r="I5" s="10">
        <v>1951592.03</v>
      </c>
      <c r="J5" s="10">
        <v>2229680.0299999998</v>
      </c>
      <c r="K5" s="10">
        <f>SUM(H5:J5)</f>
        <v>5682906.959999999</v>
      </c>
    </row>
    <row r="6" spans="1:11" x14ac:dyDescent="0.2">
      <c r="A6" t="s">
        <v>23</v>
      </c>
      <c r="B6" s="10">
        <v>1316.21</v>
      </c>
      <c r="C6" s="10">
        <v>47765.48</v>
      </c>
      <c r="D6" s="10">
        <v>134016.53</v>
      </c>
      <c r="E6" s="10">
        <v>220070.96</v>
      </c>
      <c r="F6" s="10">
        <v>257582.01</v>
      </c>
      <c r="G6" s="10">
        <v>340853.06</v>
      </c>
      <c r="H6" s="10">
        <v>403236.04</v>
      </c>
      <c r="I6" s="10">
        <v>445213.13</v>
      </c>
      <c r="J6" s="10">
        <v>486325.05</v>
      </c>
      <c r="K6" s="10">
        <f>SUM(H6:J6)</f>
        <v>1334774.22</v>
      </c>
    </row>
    <row r="7" spans="1:11" x14ac:dyDescent="0.2">
      <c r="A7" t="s">
        <v>21</v>
      </c>
      <c r="B7" s="10">
        <v>2185.69</v>
      </c>
      <c r="C7" s="10">
        <v>146390.53</v>
      </c>
      <c r="D7" s="10">
        <v>291311.38</v>
      </c>
      <c r="E7" s="10">
        <v>307856.48</v>
      </c>
      <c r="F7" s="10">
        <v>320397.94</v>
      </c>
      <c r="G7" s="10">
        <v>337749.34</v>
      </c>
      <c r="H7" s="10">
        <v>290513.46999999997</v>
      </c>
      <c r="I7" s="10">
        <v>341458.41</v>
      </c>
      <c r="J7" s="10">
        <v>439733.93</v>
      </c>
      <c r="K7" s="10">
        <f>SUM(H7:J7)</f>
        <v>1071705.8099999998</v>
      </c>
    </row>
    <row r="8" spans="1:11" x14ac:dyDescent="0.2">
      <c r="A8" t="s">
        <v>28</v>
      </c>
      <c r="B8" s="10">
        <v>64707.62</v>
      </c>
      <c r="C8" s="10">
        <v>71011.070000000007</v>
      </c>
      <c r="D8" s="10">
        <v>104805.31</v>
      </c>
      <c r="E8" s="10">
        <v>138112.4</v>
      </c>
      <c r="F8" s="10">
        <v>139049.93</v>
      </c>
      <c r="G8" s="10">
        <v>84871.59</v>
      </c>
      <c r="H8" s="10">
        <v>89421.49</v>
      </c>
      <c r="I8" s="10">
        <v>108174.67</v>
      </c>
      <c r="J8" s="10">
        <v>126426.4</v>
      </c>
      <c r="K8" s="10">
        <f>SUM(H8:J8)</f>
        <v>324022.56</v>
      </c>
    </row>
    <row r="9" spans="1:11" x14ac:dyDescent="0.2">
      <c r="A9" t="s">
        <v>31</v>
      </c>
      <c r="B9" s="10">
        <v>800466.96</v>
      </c>
      <c r="C9" s="10">
        <v>864632.92999999993</v>
      </c>
      <c r="D9" s="10">
        <v>1364620.6904452341</v>
      </c>
      <c r="E9" s="10">
        <v>1521533.27</v>
      </c>
      <c r="F9" s="10">
        <v>1545608.6238674489</v>
      </c>
      <c r="G9" s="10">
        <v>1963194.1105</v>
      </c>
      <c r="H9" s="10">
        <v>1811444.7468999999</v>
      </c>
      <c r="I9" s="10">
        <v>1892210.1359920059</v>
      </c>
      <c r="J9" s="10">
        <v>2630889.798</v>
      </c>
      <c r="K9" s="10">
        <f>SUM(H9:J9)</f>
        <v>6334544.6808920056</v>
      </c>
    </row>
    <row r="10" spans="1:11" x14ac:dyDescent="0.2">
      <c r="A10" t="s">
        <v>59</v>
      </c>
      <c r="B10" s="10">
        <f t="shared" ref="B10:K10" si="0">SUM(B5:B9)</f>
        <v>868676.48</v>
      </c>
      <c r="C10" s="10">
        <f t="shared" si="0"/>
        <v>1129800.01</v>
      </c>
      <c r="D10" s="10">
        <f t="shared" si="0"/>
        <v>1894753.910445234</v>
      </c>
      <c r="E10" s="10">
        <f t="shared" si="0"/>
        <v>2187573.11</v>
      </c>
      <c r="F10" s="10">
        <f t="shared" si="0"/>
        <v>2262638.5038674488</v>
      </c>
      <c r="G10" s="10">
        <f t="shared" si="0"/>
        <v>3412131.5104999989</v>
      </c>
      <c r="H10" s="10">
        <f t="shared" si="0"/>
        <v>4096250.6469000001</v>
      </c>
      <c r="I10" s="10">
        <f t="shared" si="0"/>
        <v>4738648.3759920057</v>
      </c>
      <c r="J10" s="10">
        <f t="shared" si="0"/>
        <v>5913055.2079999996</v>
      </c>
      <c r="K10" s="10">
        <f t="shared" si="0"/>
        <v>14747954.230892004</v>
      </c>
    </row>
    <row r="11" spans="1:11" x14ac:dyDescent="0.2">
      <c r="A11" t="s">
        <v>60</v>
      </c>
      <c r="H11" s="10">
        <v>1658171.4</v>
      </c>
      <c r="I11" s="10">
        <v>2023314.88</v>
      </c>
      <c r="J11" s="10">
        <v>2282599.61</v>
      </c>
      <c r="K11" s="10">
        <f>SUM(H11:J11)</f>
        <v>5964085.8899999997</v>
      </c>
    </row>
    <row r="12" spans="1:11" x14ac:dyDescent="0.2">
      <c r="A12" t="s">
        <v>61</v>
      </c>
      <c r="G12" s="10">
        <v>380786.2</v>
      </c>
      <c r="H12" s="10">
        <v>430644.66</v>
      </c>
      <c r="I12" s="10">
        <v>467199.88</v>
      </c>
      <c r="J12" s="10">
        <v>517295.33</v>
      </c>
      <c r="K12" s="10">
        <f>SUM(H12:J12)</f>
        <v>1415139.87</v>
      </c>
    </row>
    <row r="13" spans="1:11" x14ac:dyDescent="0.2">
      <c r="A13" s="5" t="s">
        <v>62</v>
      </c>
      <c r="H13" s="6">
        <f>H11+H12+H7+H8+H9</f>
        <v>4280195.7669000002</v>
      </c>
      <c r="I13" s="6">
        <f>I11+I12+I7+I8+I9</f>
        <v>4832357.9759920053</v>
      </c>
      <c r="J13" s="6">
        <f>J11+J12+J7+J8+J9</f>
        <v>5996945.068</v>
      </c>
      <c r="K13" s="6">
        <f>K11+K12+K7+K8+K9</f>
        <v>15109498.810892006</v>
      </c>
    </row>
    <row r="15" spans="1:11" x14ac:dyDescent="0.2">
      <c r="A15" s="8" t="s">
        <v>63</v>
      </c>
      <c r="B15" s="9"/>
      <c r="C15" s="9"/>
      <c r="D15" s="9"/>
      <c r="E15" s="9"/>
      <c r="F15" s="9"/>
      <c r="G15" s="9"/>
      <c r="H15" s="9"/>
      <c r="I15" s="9"/>
      <c r="J15" s="9"/>
      <c r="K15" s="9"/>
    </row>
    <row r="16" spans="1:11" x14ac:dyDescent="0.2">
      <c r="A16" t="s">
        <v>64</v>
      </c>
      <c r="B16" s="10">
        <v>60876935.090000004</v>
      </c>
      <c r="C16" s="10">
        <v>61287125.634999998</v>
      </c>
      <c r="D16" s="10">
        <v>78004357.589999989</v>
      </c>
      <c r="E16" s="10">
        <v>105226683.72</v>
      </c>
      <c r="F16" s="10">
        <v>126178365.54000001</v>
      </c>
      <c r="G16" s="10">
        <v>143946231.47</v>
      </c>
      <c r="H16" s="10">
        <v>158604610.965</v>
      </c>
      <c r="I16" s="10">
        <v>176625299.91999999</v>
      </c>
      <c r="J16" s="10">
        <v>211159156.89500001</v>
      </c>
      <c r="K16" s="10">
        <f>AVERAGE(H16:J16)</f>
        <v>182129689.25999999</v>
      </c>
    </row>
    <row r="17" spans="1:11" x14ac:dyDescent="0.2">
      <c r="A17" t="s">
        <v>65</v>
      </c>
      <c r="C17" s="10">
        <f t="shared" ref="C17:J17" si="1">B16</f>
        <v>60876935.090000004</v>
      </c>
      <c r="D17" s="10">
        <f t="shared" si="1"/>
        <v>61287125.634999998</v>
      </c>
      <c r="E17" s="10">
        <f t="shared" si="1"/>
        <v>78004357.589999989</v>
      </c>
      <c r="F17" s="10">
        <f t="shared" si="1"/>
        <v>105226683.72</v>
      </c>
      <c r="G17" s="10">
        <f t="shared" si="1"/>
        <v>126178365.54000001</v>
      </c>
      <c r="H17" s="10">
        <f t="shared" si="1"/>
        <v>143946231.47</v>
      </c>
      <c r="I17" s="10">
        <f t="shared" si="1"/>
        <v>158604610.965</v>
      </c>
      <c r="J17" s="10">
        <f t="shared" si="1"/>
        <v>176625299.91999999</v>
      </c>
      <c r="K17" s="10">
        <f>AVERAGE(G16:I16)</f>
        <v>159725380.785</v>
      </c>
    </row>
    <row r="18" spans="1:11" x14ac:dyDescent="0.2">
      <c r="A18" t="s">
        <v>66</v>
      </c>
      <c r="B18" s="10">
        <v>59172827.039999999</v>
      </c>
      <c r="C18" s="10">
        <v>63401424.229999997</v>
      </c>
      <c r="D18" s="10">
        <v>92607290.949999988</v>
      </c>
      <c r="E18" s="10">
        <v>117846076.48999999</v>
      </c>
      <c r="F18" s="10">
        <v>134510654.59</v>
      </c>
      <c r="G18" s="10">
        <v>153381808.34999999</v>
      </c>
      <c r="H18" s="10">
        <v>163827413.58000001</v>
      </c>
      <c r="I18" s="10">
        <v>189423186.25999999</v>
      </c>
      <c r="J18" s="10">
        <v>232895127.53</v>
      </c>
      <c r="K18" s="10">
        <f>J18</f>
        <v>232895127.53</v>
      </c>
    </row>
    <row r="19" spans="1:11" x14ac:dyDescent="0.2">
      <c r="A19" t="s">
        <v>67</v>
      </c>
      <c r="B19" s="10">
        <v>69900973.840000004</v>
      </c>
      <c r="C19" s="10">
        <v>60820771.280000001</v>
      </c>
      <c r="D19" s="10">
        <v>89743205.590000004</v>
      </c>
      <c r="E19" s="10">
        <v>107115373.17</v>
      </c>
      <c r="F19" s="10">
        <v>118184976.17</v>
      </c>
      <c r="G19" s="10">
        <v>136417479.47999999</v>
      </c>
      <c r="H19" s="10">
        <v>140624271.71000001</v>
      </c>
      <c r="I19" s="10">
        <v>141888335.13999999</v>
      </c>
      <c r="J19" s="10">
        <v>160221212.53</v>
      </c>
      <c r="K19" s="10">
        <f>SUM(H19:J19)</f>
        <v>442733819.38</v>
      </c>
    </row>
    <row r="20" spans="1:11" x14ac:dyDescent="0.2">
      <c r="A20" t="s">
        <v>68</v>
      </c>
      <c r="B20" s="10">
        <v>59671645.156000003</v>
      </c>
      <c r="C20" s="10">
        <v>60642780.726000004</v>
      </c>
      <c r="D20" s="10">
        <v>95344566</v>
      </c>
      <c r="E20" s="10">
        <v>105947213.036</v>
      </c>
      <c r="F20" s="10">
        <v>110400244.168</v>
      </c>
      <c r="G20" s="10">
        <v>137145988.384</v>
      </c>
      <c r="H20" s="10">
        <v>127249656.88</v>
      </c>
      <c r="I20" s="10">
        <v>130388896.484</v>
      </c>
      <c r="J20" s="10">
        <v>190860991.78999999</v>
      </c>
      <c r="K20" s="10">
        <f>SUM(H20:J20)</f>
        <v>448499545.15399998</v>
      </c>
    </row>
    <row r="21" spans="1:11" x14ac:dyDescent="0.2">
      <c r="A21" t="s">
        <v>69</v>
      </c>
      <c r="B21" s="10">
        <v>1060000</v>
      </c>
      <c r="C21" s="10">
        <v>980000</v>
      </c>
      <c r="D21" s="10">
        <v>1900000</v>
      </c>
      <c r="E21" s="10">
        <v>1190000</v>
      </c>
      <c r="F21" s="10">
        <v>2250000</v>
      </c>
      <c r="G21" s="10">
        <v>2040000</v>
      </c>
      <c r="H21" s="10">
        <v>2730000</v>
      </c>
      <c r="I21" s="10">
        <v>2970000</v>
      </c>
      <c r="J21" s="10">
        <v>2650000</v>
      </c>
      <c r="K21" s="10">
        <f>SUM(H21:J21)</f>
        <v>8350000</v>
      </c>
    </row>
    <row r="22" spans="1:11" x14ac:dyDescent="0.2">
      <c r="A22" s="5" t="s">
        <v>70</v>
      </c>
      <c r="B22" s="10">
        <f>B20+B21</f>
        <v>60731645.156000003</v>
      </c>
      <c r="C22" s="10">
        <f t="shared" ref="B22:K22" si="2">C20+C21</f>
        <v>61622780.726000004</v>
      </c>
      <c r="D22" s="10">
        <f t="shared" si="2"/>
        <v>97244566</v>
      </c>
      <c r="E22" s="10">
        <f t="shared" si="2"/>
        <v>107137213.036</v>
      </c>
      <c r="F22" s="10">
        <f t="shared" si="2"/>
        <v>112650244.168</v>
      </c>
      <c r="G22" s="10">
        <f t="shared" si="2"/>
        <v>139185988.384</v>
      </c>
      <c r="H22" s="10">
        <f t="shared" si="2"/>
        <v>129979656.88</v>
      </c>
      <c r="I22" s="10">
        <f t="shared" si="2"/>
        <v>133358896.484</v>
      </c>
      <c r="J22" s="10">
        <f t="shared" si="2"/>
        <v>193510991.78999999</v>
      </c>
      <c r="K22" s="10">
        <f t="shared" si="2"/>
        <v>456849545.15399998</v>
      </c>
    </row>
    <row r="24" spans="1:11" x14ac:dyDescent="0.2">
      <c r="A24" s="8" t="s">
        <v>71</v>
      </c>
      <c r="B24" s="9"/>
      <c r="C24" s="9"/>
      <c r="D24" s="9"/>
      <c r="E24" s="9"/>
      <c r="F24" s="9"/>
      <c r="G24" s="9"/>
      <c r="H24" s="9"/>
      <c r="I24" s="9"/>
      <c r="J24" s="9"/>
      <c r="K24" s="9"/>
    </row>
    <row r="25" spans="1:11" x14ac:dyDescent="0.2">
      <c r="A25" t="s">
        <v>72</v>
      </c>
      <c r="B25">
        <v>1</v>
      </c>
      <c r="C25">
        <v>1</v>
      </c>
      <c r="D25">
        <v>1</v>
      </c>
      <c r="E25">
        <v>1</v>
      </c>
      <c r="F25">
        <v>1</v>
      </c>
      <c r="G25">
        <v>1</v>
      </c>
      <c r="H25">
        <v>1</v>
      </c>
      <c r="I25">
        <v>1</v>
      </c>
      <c r="J25">
        <v>1</v>
      </c>
      <c r="K25">
        <v>3</v>
      </c>
    </row>
    <row r="26" spans="1:11" x14ac:dyDescent="0.2">
      <c r="A26" t="s">
        <v>73</v>
      </c>
      <c r="B26" s="15">
        <f>(C5+C8)*12/B25/B16</f>
        <v>1.3997630444768832E-2</v>
      </c>
      <c r="C26" s="15">
        <f>(D5+D8)*12/C25/C16</f>
        <v>2.0520846865785633E-2</v>
      </c>
      <c r="D26" s="15">
        <f>(E5+E8)*12/D25/D16</f>
        <v>2.1246874549127354E-2</v>
      </c>
      <c r="E26" s="15">
        <f>(F5+F8)*12/E25/E16</f>
        <v>1.5857186609054528E-2</v>
      </c>
      <c r="F26" s="15">
        <f>(G5+G8)*12/F25/F16</f>
        <v>7.3261529109516998E-2</v>
      </c>
      <c r="G26" s="15">
        <f>(H11+H8)*12/G25/G16</f>
        <v>0.14568713932862226</v>
      </c>
      <c r="H26" s="15">
        <f>(I11+I8)*12/H25/H16</f>
        <v>0.16126816518369938</v>
      </c>
      <c r="I26" s="15">
        <f>(J11+J8)*12/I25/I16</f>
        <v>0.16367027902057985</v>
      </c>
    </row>
    <row r="27" spans="1:11" x14ac:dyDescent="0.2">
      <c r="A27" t="s">
        <v>74</v>
      </c>
      <c r="B27" s="15">
        <f>B6*12/B25/B16</f>
        <v>2.5944998670924385E-4</v>
      </c>
      <c r="C27" s="15">
        <f>C6*12/C25/C16</f>
        <v>9.3524660205742093E-3</v>
      </c>
      <c r="D27" s="15">
        <f>D6*12/D25/D16</f>
        <v>2.0616775904403677E-2</v>
      </c>
      <c r="E27" s="15">
        <f>E6*12/E25/E16</f>
        <v>2.509678559315905E-2</v>
      </c>
      <c r="F27" s="15">
        <f>F6*12/F25/F16</f>
        <v>2.4496942140371302E-2</v>
      </c>
      <c r="G27" s="15">
        <f>G12*12/G25/G16</f>
        <v>3.1744036320619631E-2</v>
      </c>
      <c r="H27" s="15">
        <f>H12*12/H25/H16</f>
        <v>3.2582507460267897E-2</v>
      </c>
      <c r="I27" s="15">
        <f>I12*12/I25/I16</f>
        <v>3.1741763850022288E-2</v>
      </c>
    </row>
    <row r="28" spans="1:11" x14ac:dyDescent="0.2">
      <c r="A28" t="s">
        <v>75</v>
      </c>
      <c r="B28" s="15">
        <f t="shared" ref="B28:I28" si="3">B7*12/B25/B16</f>
        <v>4.3084100671665398E-4</v>
      </c>
      <c r="C28" s="15">
        <f t="shared" si="3"/>
        <v>2.8663219914441332E-2</v>
      </c>
      <c r="D28" s="15">
        <f t="shared" si="3"/>
        <v>4.4814631746267299E-2</v>
      </c>
      <c r="E28" s="15">
        <f t="shared" si="3"/>
        <v>3.5107803737597441E-2</v>
      </c>
      <c r="F28" s="15">
        <f t="shared" si="3"/>
        <v>3.0470954854627294E-2</v>
      </c>
      <c r="G28" s="15">
        <f t="shared" si="3"/>
        <v>2.8156291683431037E-2</v>
      </c>
      <c r="H28" s="15">
        <f t="shared" si="3"/>
        <v>2.1980203594265658E-2</v>
      </c>
      <c r="I28" s="15">
        <f t="shared" si="3"/>
        <v>2.3198833473210841E-2</v>
      </c>
    </row>
    <row r="29" spans="1:11" x14ac:dyDescent="0.2">
      <c r="A29" t="s">
        <v>76</v>
      </c>
      <c r="B29" s="11">
        <f t="shared" ref="B29:I29" si="4">B20*12/B25/B16</f>
        <v>11.762414464745682</v>
      </c>
      <c r="C29" s="11">
        <f t="shared" si="4"/>
        <v>11.873837468670839</v>
      </c>
      <c r="D29" s="11">
        <f t="shared" si="4"/>
        <v>14.667575342568759</v>
      </c>
      <c r="E29" s="11">
        <f t="shared" si="4"/>
        <v>12.082168813900923</v>
      </c>
      <c r="F29" s="11">
        <f t="shared" si="4"/>
        <v>10.499445957682992</v>
      </c>
      <c r="G29" s="11">
        <f t="shared" si="4"/>
        <v>11.433101400441963</v>
      </c>
      <c r="H29" s="11">
        <f t="shared" si="4"/>
        <v>9.6276890896757656</v>
      </c>
      <c r="I29" s="11">
        <f t="shared" si="4"/>
        <v>8.8586785614331269</v>
      </c>
    </row>
    <row r="30" spans="1:11" x14ac:dyDescent="0.2">
      <c r="A30" t="s">
        <v>15</v>
      </c>
      <c r="B30" s="12">
        <f t="shared" ref="B30:I30" si="5">B9/B20</f>
        <v>1.3414528087960932E-2</v>
      </c>
      <c r="C30" s="12">
        <f t="shared" si="5"/>
        <v>1.4257804798012783E-2</v>
      </c>
      <c r="D30" s="12">
        <f t="shared" si="5"/>
        <v>1.431251667184928E-2</v>
      </c>
      <c r="E30" s="12">
        <f t="shared" si="5"/>
        <v>1.4361239209595778E-2</v>
      </c>
      <c r="F30" s="12">
        <f t="shared" si="5"/>
        <v>1.4000047151303768E-2</v>
      </c>
      <c r="G30" s="12">
        <f t="shared" si="5"/>
        <v>1.4314630224569034E-2</v>
      </c>
      <c r="H30" s="12">
        <f t="shared" si="5"/>
        <v>1.4235360560604444E-2</v>
      </c>
      <c r="I30" s="12">
        <f t="shared" si="5"/>
        <v>1.4512049622447712E-2</v>
      </c>
    </row>
    <row r="31" spans="1:11" x14ac:dyDescent="0.2">
      <c r="A31" t="s">
        <v>77</v>
      </c>
      <c r="B31" s="15">
        <f t="shared" ref="B31:I31" si="6">B9*12/B25/B16</f>
        <v>0.15778723921956891</v>
      </c>
      <c r="C31" s="15">
        <f t="shared" si="6"/>
        <v>0.16929485683163906</v>
      </c>
      <c r="D31" s="15">
        <f t="shared" si="6"/>
        <v>0.20992991662612076</v>
      </c>
      <c r="E31" s="15">
        <f t="shared" si="6"/>
        <v>0.17351491650714926</v>
      </c>
      <c r="F31" s="15">
        <f t="shared" si="6"/>
        <v>0.14699273847012764</v>
      </c>
      <c r="G31" s="15">
        <f t="shared" si="6"/>
        <v>0.16366061886732905</v>
      </c>
      <c r="H31" s="15">
        <f t="shared" si="6"/>
        <v>0.13705362555693212</v>
      </c>
      <c r="I31" s="15">
        <f t="shared" si="6"/>
        <v>0.12855758287283126</v>
      </c>
    </row>
    <row r="32" spans="1:11" x14ac:dyDescent="0.2">
      <c r="A32" s="5" t="s">
        <v>34</v>
      </c>
      <c r="B32" s="13">
        <f>((C5+C8)+B6+B7+B9)*12/B25/B16</f>
        <v>0.17247516065776367</v>
      </c>
      <c r="C32" s="13">
        <f>((D5+D8)+C6+C7+C9)*12/C25/C16</f>
        <v>0.22783138963244023</v>
      </c>
      <c r="D32" s="13">
        <f>((E5+E8)+D6+D7+D9)*12/D25/D16</f>
        <v>0.29660819882591916</v>
      </c>
      <c r="E32" s="13">
        <f>((F5+F8)+E6+E7+E9)*12/E25/E16</f>
        <v>0.24957669244696026</v>
      </c>
      <c r="F32" s="13">
        <f>((G5+G8)+F6+F7+F9)*12/F25/F16</f>
        <v>0.27522216457464321</v>
      </c>
      <c r="G32" s="13">
        <f>((H11+H8)+G12+G7+G9)*12/G25/G16</f>
        <v>0.36924808620000199</v>
      </c>
      <c r="H32" s="13">
        <f>((I11+I8)+H12+H7+H9)*12/H25/H16</f>
        <v>0.35288450179516501</v>
      </c>
      <c r="I32" s="13">
        <f>((J11+J8)+I12+I7+I9)*12/I25/I16</f>
        <v>0.34716845921664424</v>
      </c>
    </row>
    <row r="33" spans="1:11" x14ac:dyDescent="0.2">
      <c r="A33" t="s">
        <v>78</v>
      </c>
      <c r="B33" s="11">
        <f t="shared" ref="B33:I33" si="7">B22*12/B25/B16</f>
        <v>11.971360594855465</v>
      </c>
      <c r="C33" s="11">
        <f t="shared" si="7"/>
        <v>12.065721161667595</v>
      </c>
      <c r="D33" s="11">
        <f t="shared" si="7"/>
        <v>14.959866705569777</v>
      </c>
      <c r="E33" s="11">
        <f t="shared" si="7"/>
        <v>12.217875837016827</v>
      </c>
      <c r="F33" s="11">
        <f t="shared" si="7"/>
        <v>10.713428758018448</v>
      </c>
      <c r="G33" s="11">
        <f t="shared" si="7"/>
        <v>11.603164900889364</v>
      </c>
      <c r="H33" s="11">
        <f t="shared" si="7"/>
        <v>9.8342404616735788</v>
      </c>
      <c r="I33" s="11">
        <f t="shared" si="7"/>
        <v>9.0604616582835931</v>
      </c>
    </row>
    <row r="35" spans="1:11" x14ac:dyDescent="0.2">
      <c r="A35" s="8" t="s">
        <v>79</v>
      </c>
      <c r="B35" s="9"/>
      <c r="C35" s="9"/>
      <c r="D35" s="9"/>
      <c r="E35" s="9"/>
      <c r="F35" s="9"/>
      <c r="G35" s="9"/>
      <c r="H35" s="9"/>
      <c r="I35" s="9"/>
      <c r="J35" s="9"/>
      <c r="K35" s="9"/>
    </row>
    <row r="36" spans="1:11" x14ac:dyDescent="0.2">
      <c r="A36" t="s">
        <v>32</v>
      </c>
      <c r="B36" s="15">
        <f t="shared" ref="B36:G36" si="8">SUM(B5:B8)*12/B25/B16</f>
        <v>1.3445391736458392E-2</v>
      </c>
      <c r="C36" s="15">
        <f t="shared" si="8"/>
        <v>5.1919631195475956E-2</v>
      </c>
      <c r="D36" s="15">
        <f t="shared" si="8"/>
        <v>8.1554400761010101E-2</v>
      </c>
      <c r="E36" s="15">
        <f t="shared" si="8"/>
        <v>7.5954860473103583E-2</v>
      </c>
      <c r="F36" s="15">
        <f t="shared" si="8"/>
        <v>6.8192027398487079E-2</v>
      </c>
      <c r="G36" s="15">
        <f t="shared" si="8"/>
        <v>0.12078988537899783</v>
      </c>
      <c r="H36" s="15">
        <f>(H11+H12+H7+H8)*12/H25/H16</f>
        <v>0.18678531512893712</v>
      </c>
      <c r="I36" s="15">
        <f>(I11+I12+I7+I8)*12/I25/I16</f>
        <v>0.19975492806512088</v>
      </c>
      <c r="J36" s="15">
        <f>(J11+J12+J7+J8)*12/J25/J16</f>
        <v>0.19129013315811572</v>
      </c>
      <c r="K36" s="15">
        <f>(K11+K12+K7+K8)*12/K25/K16</f>
        <v>0.1927188074751125</v>
      </c>
    </row>
    <row r="37" spans="1:11" x14ac:dyDescent="0.2">
      <c r="A37" t="s">
        <v>34</v>
      </c>
      <c r="B37" s="15">
        <f t="shared" ref="B37:G37" si="9">SUM(B5:B8)*12/B25/B16+B9*12/B25/B16</f>
        <v>0.17123263095602731</v>
      </c>
      <c r="C37" s="15">
        <f t="shared" si="9"/>
        <v>0.22121448802711502</v>
      </c>
      <c r="D37" s="15">
        <f t="shared" si="9"/>
        <v>0.29148431738713088</v>
      </c>
      <c r="E37" s="15">
        <f t="shared" si="9"/>
        <v>0.24946977698025286</v>
      </c>
      <c r="F37" s="15">
        <f t="shared" si="9"/>
        <v>0.21518476586861474</v>
      </c>
      <c r="G37" s="15">
        <f t="shared" si="9"/>
        <v>0.2844505042463269</v>
      </c>
      <c r="H37" s="15">
        <f>(H11+H12+H7+H8)*12/H25/H16+H9*12/H25/H16</f>
        <v>0.32383894068586927</v>
      </c>
      <c r="I37" s="15">
        <f>(I11+I12+I7+I8)*12/I25/I16+I9*12/I25/I16</f>
        <v>0.32831251093795211</v>
      </c>
      <c r="J37" s="15">
        <f>(J11+J12+J7+J8)*12/J25/J16+J9*12/J25/J16</f>
        <v>0.34080142142158742</v>
      </c>
      <c r="K37" s="15">
        <f>(K11+K12+K7+K8)*12/K25/K16+K9*12/K25/K16</f>
        <v>0.33184043463276058</v>
      </c>
    </row>
    <row r="39" spans="1:11" x14ac:dyDescent="0.2">
      <c r="A39" s="20" t="s">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showGridLines="0" workbookViewId="0">
      <selection activeCell="A17" sqref="A17:H17"/>
    </sheetView>
  </sheetViews>
  <sheetFormatPr baseColWidth="10" defaultColWidth="8.83203125" defaultRowHeight="15" x14ac:dyDescent="0.2"/>
  <cols>
    <col min="1" max="1" width="34" customWidth="1"/>
    <col min="2" max="2" width="14" customWidth="1"/>
    <col min="3" max="3" width="18" customWidth="1"/>
    <col min="4" max="5" width="22" customWidth="1"/>
    <col min="6" max="7" width="18" customWidth="1"/>
    <col min="8" max="8" width="20" customWidth="1"/>
  </cols>
  <sheetData>
    <row r="1" spans="1:8" ht="19" x14ac:dyDescent="0.25">
      <c r="A1" s="1" t="s">
        <v>81</v>
      </c>
    </row>
    <row r="2" spans="1:8" x14ac:dyDescent="0.2">
      <c r="A2" s="20" t="s">
        <v>82</v>
      </c>
    </row>
    <row r="4" spans="1:8" ht="48" customHeight="1" x14ac:dyDescent="0.2">
      <c r="A4" s="3" t="s">
        <v>83</v>
      </c>
      <c r="B4" s="4" t="s">
        <v>84</v>
      </c>
      <c r="C4" s="4" t="s">
        <v>85</v>
      </c>
      <c r="D4" s="4" t="s">
        <v>86</v>
      </c>
      <c r="E4" s="4" t="s">
        <v>87</v>
      </c>
      <c r="F4" s="4" t="s">
        <v>88</v>
      </c>
      <c r="G4" s="4" t="s">
        <v>89</v>
      </c>
      <c r="H4" s="4" t="s">
        <v>90</v>
      </c>
    </row>
    <row r="5" spans="1:8" x14ac:dyDescent="0.2">
      <c r="A5" t="s">
        <v>51</v>
      </c>
      <c r="B5" s="10">
        <v>3828</v>
      </c>
      <c r="C5" s="10">
        <v>69900973.840000004</v>
      </c>
      <c r="D5" s="10">
        <v>69900973.840000004</v>
      </c>
      <c r="E5" s="10">
        <v>195035.55</v>
      </c>
      <c r="F5" s="10">
        <v>69690793.310000002</v>
      </c>
      <c r="G5" s="10">
        <v>1577286.85</v>
      </c>
      <c r="H5" s="12">
        <f t="shared" ref="H5:H13" si="0">IF(F5=0,"not yet seasoned",G5/F5)</f>
        <v>2.2632643066407363E-2</v>
      </c>
    </row>
    <row r="6" spans="1:8" x14ac:dyDescent="0.2">
      <c r="A6" t="s">
        <v>52</v>
      </c>
      <c r="B6" s="10">
        <v>4029</v>
      </c>
      <c r="C6" s="10">
        <v>60820771.280000001</v>
      </c>
      <c r="D6" s="10">
        <v>60820771.280000001</v>
      </c>
      <c r="E6" s="10">
        <v>31366.54</v>
      </c>
      <c r="F6" s="10">
        <v>60789404.740000002</v>
      </c>
      <c r="G6" s="10">
        <v>685527.14</v>
      </c>
      <c r="H6" s="12">
        <f t="shared" si="0"/>
        <v>1.1277082625369363E-2</v>
      </c>
    </row>
    <row r="7" spans="1:8" x14ac:dyDescent="0.2">
      <c r="A7" t="s">
        <v>53</v>
      </c>
      <c r="B7" s="10">
        <v>5113</v>
      </c>
      <c r="C7" s="10">
        <v>89743205.590000004</v>
      </c>
      <c r="D7" s="10">
        <v>89743205.590000004</v>
      </c>
      <c r="E7" s="10">
        <v>562712.44999999995</v>
      </c>
      <c r="F7" s="10">
        <v>89089554.739999995</v>
      </c>
      <c r="G7" s="10">
        <v>1404938.62</v>
      </c>
      <c r="H7" s="12">
        <f t="shared" si="0"/>
        <v>1.5769958937388223E-2</v>
      </c>
    </row>
    <row r="8" spans="1:8" x14ac:dyDescent="0.2">
      <c r="A8" t="s">
        <v>54</v>
      </c>
      <c r="B8" s="10">
        <v>6505</v>
      </c>
      <c r="C8" s="10">
        <v>107115373.17</v>
      </c>
      <c r="D8" s="10">
        <v>107115373.17</v>
      </c>
      <c r="E8" s="10">
        <v>911016.11</v>
      </c>
      <c r="F8" s="10">
        <v>106123235.92</v>
      </c>
      <c r="G8" s="10">
        <v>1471002.56</v>
      </c>
      <c r="H8" s="12">
        <f t="shared" si="0"/>
        <v>1.3861267490080131E-2</v>
      </c>
    </row>
    <row r="9" spans="1:8" x14ac:dyDescent="0.2">
      <c r="A9" t="s">
        <v>55</v>
      </c>
      <c r="B9" s="10">
        <v>7564</v>
      </c>
      <c r="C9" s="10">
        <v>118184976.17</v>
      </c>
      <c r="D9" s="10">
        <v>118184976.17</v>
      </c>
      <c r="E9" s="10">
        <v>889165.96</v>
      </c>
      <c r="F9" s="10">
        <v>117226741.83</v>
      </c>
      <c r="G9" s="10">
        <v>1061583</v>
      </c>
      <c r="H9" s="12">
        <f t="shared" si="0"/>
        <v>9.0558091390059072E-3</v>
      </c>
    </row>
    <row r="10" spans="1:8" x14ac:dyDescent="0.2">
      <c r="A10" t="s">
        <v>2</v>
      </c>
      <c r="B10" s="10">
        <v>9024</v>
      </c>
      <c r="C10" s="10">
        <v>136417479.47999999</v>
      </c>
      <c r="D10" s="10">
        <v>136417479.47999999</v>
      </c>
      <c r="E10" s="10">
        <v>499873.5</v>
      </c>
      <c r="F10" s="10">
        <v>135917605.97999999</v>
      </c>
      <c r="G10" s="10">
        <v>459463.31</v>
      </c>
      <c r="H10" s="12">
        <f t="shared" si="0"/>
        <v>3.3804547003837685E-3</v>
      </c>
    </row>
    <row r="11" spans="1:8" x14ac:dyDescent="0.2">
      <c r="A11" t="s">
        <v>4</v>
      </c>
      <c r="B11" s="10">
        <v>11366</v>
      </c>
      <c r="C11" s="10">
        <v>140624271.71000001</v>
      </c>
      <c r="D11" s="10">
        <v>0</v>
      </c>
      <c r="E11" s="10">
        <v>29390.51</v>
      </c>
      <c r="F11" s="10">
        <v>0</v>
      </c>
      <c r="G11" s="10">
        <v>8828.19</v>
      </c>
      <c r="H11" s="12" t="str">
        <f t="shared" si="0"/>
        <v>not yet seasoned</v>
      </c>
    </row>
    <row r="12" spans="1:8" x14ac:dyDescent="0.2">
      <c r="A12" t="s">
        <v>5</v>
      </c>
      <c r="B12" s="10">
        <v>12347</v>
      </c>
      <c r="C12" s="10">
        <v>141888335.13999999</v>
      </c>
      <c r="D12" s="10">
        <v>0</v>
      </c>
      <c r="E12" s="10">
        <v>0</v>
      </c>
      <c r="F12" s="10">
        <v>0</v>
      </c>
      <c r="G12" s="10">
        <v>0</v>
      </c>
      <c r="H12" s="12" t="str">
        <f t="shared" si="0"/>
        <v>not yet seasoned</v>
      </c>
    </row>
    <row r="13" spans="1:8" x14ac:dyDescent="0.2">
      <c r="A13" t="s">
        <v>56</v>
      </c>
      <c r="B13" s="10">
        <v>13196</v>
      </c>
      <c r="C13" s="10">
        <v>160221212.53</v>
      </c>
      <c r="D13" s="10">
        <v>0</v>
      </c>
      <c r="E13" s="10">
        <v>0</v>
      </c>
      <c r="F13" s="10">
        <v>0</v>
      </c>
      <c r="G13" s="10">
        <v>0</v>
      </c>
      <c r="H13" s="12" t="str">
        <f t="shared" si="0"/>
        <v>not yet seasoned</v>
      </c>
    </row>
    <row r="14" spans="1:8" x14ac:dyDescent="0.2">
      <c r="A14" s="16" t="s">
        <v>91</v>
      </c>
      <c r="B14" s="17">
        <f t="shared" ref="B14:G14" si="1">SUM(B5:B13)</f>
        <v>72972</v>
      </c>
      <c r="C14" s="17">
        <f t="shared" si="1"/>
        <v>1024916598.91</v>
      </c>
      <c r="D14" s="17">
        <f t="shared" si="1"/>
        <v>582182779.52999997</v>
      </c>
      <c r="E14" s="17">
        <f t="shared" si="1"/>
        <v>3118560.6199999996</v>
      </c>
      <c r="F14" s="17">
        <f t="shared" si="1"/>
        <v>578837336.51999998</v>
      </c>
      <c r="G14" s="17">
        <f t="shared" si="1"/>
        <v>6668629.6699999999</v>
      </c>
      <c r="H14" s="21">
        <f>G14/F14</f>
        <v>1.1520731731114904E-2</v>
      </c>
    </row>
    <row r="16" spans="1:8" ht="15" customHeight="1" x14ac:dyDescent="0.2">
      <c r="A16" s="28" t="s">
        <v>92</v>
      </c>
      <c r="B16" s="25"/>
      <c r="C16" s="25"/>
      <c r="D16" s="25"/>
      <c r="E16" s="25"/>
      <c r="F16" s="25"/>
      <c r="G16" s="25"/>
      <c r="H16" s="25"/>
    </row>
    <row r="17" spans="1:8" ht="48" customHeight="1" x14ac:dyDescent="0.2">
      <c r="A17" s="27" t="s">
        <v>93</v>
      </c>
      <c r="B17" s="25"/>
      <c r="C17" s="25"/>
      <c r="D17" s="25"/>
      <c r="E17" s="25"/>
      <c r="F17" s="25"/>
      <c r="G17" s="25"/>
      <c r="H17" s="25"/>
    </row>
    <row r="18" spans="1:8" ht="48" customHeight="1" x14ac:dyDescent="0.2">
      <c r="A18" s="27" t="s">
        <v>94</v>
      </c>
      <c r="B18" s="25"/>
      <c r="C18" s="25"/>
      <c r="D18" s="25"/>
      <c r="E18" s="25"/>
      <c r="F18" s="25"/>
      <c r="G18" s="25"/>
      <c r="H18" s="25"/>
    </row>
    <row r="19" spans="1:8" ht="48" customHeight="1" x14ac:dyDescent="0.2">
      <c r="A19" s="27" t="s">
        <v>95</v>
      </c>
      <c r="B19" s="25"/>
      <c r="C19" s="25"/>
      <c r="D19" s="25"/>
      <c r="E19" s="25"/>
      <c r="F19" s="25"/>
      <c r="G19" s="25"/>
      <c r="H19" s="25"/>
    </row>
    <row r="20" spans="1:8" ht="48" customHeight="1" x14ac:dyDescent="0.2">
      <c r="A20" s="27" t="s">
        <v>96</v>
      </c>
      <c r="B20" s="25"/>
      <c r="C20" s="25"/>
      <c r="D20" s="25"/>
      <c r="E20" s="25"/>
      <c r="F20" s="25"/>
      <c r="G20" s="25"/>
      <c r="H20" s="25"/>
    </row>
    <row r="21" spans="1:8" ht="48" customHeight="1" x14ac:dyDescent="0.2">
      <c r="A21" s="27" t="s">
        <v>97</v>
      </c>
      <c r="B21" s="25"/>
      <c r="C21" s="25"/>
      <c r="D21" s="25"/>
      <c r="E21" s="25"/>
      <c r="F21" s="25"/>
      <c r="G21" s="25"/>
      <c r="H21" s="25"/>
    </row>
  </sheetData>
  <mergeCells count="6">
    <mergeCell ref="A18:H18"/>
    <mergeCell ref="A21:H21"/>
    <mergeCell ref="A20:H20"/>
    <mergeCell ref="A16:H16"/>
    <mergeCell ref="A19:H19"/>
    <mergeCell ref="A17:H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showGridLines="0" workbookViewId="0"/>
  </sheetViews>
  <sheetFormatPr baseColWidth="10" defaultColWidth="8.83203125" defaultRowHeight="15" x14ac:dyDescent="0.2"/>
  <cols>
    <col min="1" max="1" width="30" customWidth="1"/>
    <col min="2" max="2" width="110" customWidth="1"/>
  </cols>
  <sheetData>
    <row r="1" spans="1:2" ht="19" x14ac:dyDescent="0.25">
      <c r="A1" s="1" t="s">
        <v>98</v>
      </c>
    </row>
    <row r="3" spans="1:2" ht="16" x14ac:dyDescent="0.2">
      <c r="A3" s="3" t="s">
        <v>99</v>
      </c>
      <c r="B3" s="3" t="s">
        <v>100</v>
      </c>
    </row>
    <row r="4" spans="1:2" ht="75" customHeight="1" x14ac:dyDescent="0.2">
      <c r="A4" s="23" t="s">
        <v>101</v>
      </c>
      <c r="B4" s="22" t="s">
        <v>102</v>
      </c>
    </row>
    <row r="5" spans="1:2" ht="195" customHeight="1" x14ac:dyDescent="0.2">
      <c r="A5" s="23" t="s">
        <v>103</v>
      </c>
      <c r="B5" s="22" t="s">
        <v>104</v>
      </c>
    </row>
    <row r="6" spans="1:2" ht="30" customHeight="1" x14ac:dyDescent="0.2">
      <c r="A6" s="23" t="s">
        <v>105</v>
      </c>
      <c r="B6" s="22" t="s">
        <v>106</v>
      </c>
    </row>
    <row r="7" spans="1:2" ht="105" customHeight="1" x14ac:dyDescent="0.2">
      <c r="A7" s="23" t="s">
        <v>58</v>
      </c>
      <c r="B7" s="22" t="s">
        <v>107</v>
      </c>
    </row>
    <row r="8" spans="1:2" ht="105" customHeight="1" x14ac:dyDescent="0.2">
      <c r="A8" s="23" t="s">
        <v>108</v>
      </c>
      <c r="B8" s="22" t="s">
        <v>109</v>
      </c>
    </row>
    <row r="9" spans="1:2" ht="30" customHeight="1" x14ac:dyDescent="0.2">
      <c r="A9" s="23" t="s">
        <v>28</v>
      </c>
      <c r="B9" s="22" t="s">
        <v>110</v>
      </c>
    </row>
    <row r="10" spans="1:2" ht="90" customHeight="1" x14ac:dyDescent="0.2">
      <c r="A10" s="23" t="s">
        <v>31</v>
      </c>
      <c r="B10" s="22" t="s">
        <v>111</v>
      </c>
    </row>
    <row r="11" spans="1:2" ht="45" customHeight="1" x14ac:dyDescent="0.2">
      <c r="A11" s="23" t="s">
        <v>112</v>
      </c>
      <c r="B11" s="22" t="s">
        <v>113</v>
      </c>
    </row>
    <row r="12" spans="1:2" ht="45" customHeight="1" x14ac:dyDescent="0.2">
      <c r="A12" s="23" t="s">
        <v>114</v>
      </c>
      <c r="B12" s="22" t="s">
        <v>115</v>
      </c>
    </row>
    <row r="13" spans="1:2" ht="90" customHeight="1" x14ac:dyDescent="0.2">
      <c r="A13" s="23" t="s">
        <v>116</v>
      </c>
      <c r="B13" s="22" t="s">
        <v>117</v>
      </c>
    </row>
    <row r="14" spans="1:2" ht="90" customHeight="1" x14ac:dyDescent="0.2">
      <c r="A14" s="23" t="s">
        <v>90</v>
      </c>
      <c r="B14" s="22" t="s">
        <v>118</v>
      </c>
    </row>
    <row r="15" spans="1:2" ht="45" customHeight="1" x14ac:dyDescent="0.2">
      <c r="A15" s="23" t="s">
        <v>43</v>
      </c>
      <c r="B15" s="22" t="s">
        <v>119</v>
      </c>
    </row>
    <row r="16" spans="1:2" ht="30" customHeight="1" x14ac:dyDescent="0.2">
      <c r="A16" s="23" t="s">
        <v>45</v>
      </c>
      <c r="B16" s="22" t="s">
        <v>120</v>
      </c>
    </row>
    <row r="17" spans="1:2" ht="60" customHeight="1" x14ac:dyDescent="0.2">
      <c r="A17" s="23" t="s">
        <v>121</v>
      </c>
      <c r="B17" s="22" t="s">
        <v>122</v>
      </c>
    </row>
    <row r="18" spans="1:2" ht="30" customHeight="1" x14ac:dyDescent="0.2">
      <c r="A18" s="23" t="s">
        <v>123</v>
      </c>
      <c r="B18" s="22"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Yield Summary</vt:lpstr>
      <vt:lpstr>Monthly Detail</vt:lpstr>
      <vt:lpstr>Loss Rate</vt:lpstr>
      <vt:lpstr>Notes</vt:lpstr>
      <vt:lpstr>loss_rate_xfpd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Abraham</cp:lastModifiedBy>
  <dcterms:created xsi:type="dcterms:W3CDTF">2026-10-29T01:41:34Z</dcterms:created>
  <dcterms:modified xsi:type="dcterms:W3CDTF">2026-10-29T02:48:21Z</dcterms:modified>
</cp:coreProperties>
</file>