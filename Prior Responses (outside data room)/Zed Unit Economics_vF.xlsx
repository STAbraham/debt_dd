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savannah/Documents/Zed/Lender Diligence/"/>
    </mc:Choice>
  </mc:AlternateContent>
  <xr:revisionPtr revIDLastSave="0" documentId="13_ncr:1_{0074D9AC-58AE-3645-8666-68A05D07187C}" xr6:coauthVersionLast="47" xr6:coauthVersionMax="47" xr10:uidLastSave="{00000000-0000-0000-0000-000000000000}"/>
  <bookViews>
    <workbookView xWindow="8400" yWindow="600" windowWidth="25520" windowHeight="19660" xr2:uid="{00000000-000D-0000-FFFF-FFFF00000000}"/>
  </bookViews>
  <sheets>
    <sheet name="Unit Economics" sheetId="2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2" l="1"/>
  <c r="D8" i="2"/>
  <c r="D11" i="2"/>
  <c r="D10" i="2"/>
  <c r="D5" i="2"/>
  <c r="C5" i="2"/>
  <c r="C7" i="2" s="1"/>
  <c r="D7" i="2" l="1"/>
  <c r="D9" i="2" s="1"/>
  <c r="D12" i="2" s="1"/>
  <c r="C9" i="2"/>
  <c r="C12" i="2" s="1"/>
  <c r="D13" i="2" l="1"/>
  <c r="C13" i="2"/>
</calcChain>
</file>

<file path=xl/sharedStrings.xml><?xml version="1.0" encoding="utf-8"?>
<sst xmlns="http://schemas.openxmlformats.org/spreadsheetml/2006/main" count="25" uniqueCount="25">
  <si>
    <t>Contribution Margin per Active Account (monthly, USD)</t>
  </si>
  <si>
    <t>Line</t>
  </si>
  <si>
    <t>Today (June)</t>
  </si>
  <si>
    <t>Pro forma</t>
  </si>
  <si>
    <t>Note</t>
  </si>
  <si>
    <t>June active accounts</t>
  </si>
  <si>
    <t>Accounts able to accrue (June)</t>
  </si>
  <si>
    <t>Pro-forma (revolving ramp)</t>
  </si>
  <si>
    <t>Target accounts revolving</t>
  </si>
  <si>
    <t>Actuals</t>
  </si>
  <si>
    <t>Accounts able to accrue</t>
  </si>
  <si>
    <t>Gross Revenue (ARPAC)</t>
  </si>
  <si>
    <t>Net Revenue</t>
  </si>
  <si>
    <t>Gross Margin</t>
  </si>
  <si>
    <t>% Margin</t>
  </si>
  <si>
    <t>Revolving Interest Revenue</t>
  </si>
  <si>
    <t>Pro forma scales with revolving share × accrual coverage.</t>
  </si>
  <si>
    <t>(-) Interest Expense</t>
  </si>
  <si>
    <t>Revolving interest income</t>
  </si>
  <si>
    <t>Interchange + installment interest + fee income</t>
  </si>
  <si>
    <t>(-) Loan Loss Provision</t>
  </si>
  <si>
    <t>No debt today</t>
  </si>
  <si>
    <t>(-) MC + Processor Fee</t>
  </si>
  <si>
    <t>Revolvers (% of active accounts, June)</t>
  </si>
  <si>
    <t>Residual of ARPAC (interchange, installment interest, fees) held flat per account in pro forma.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</si>
</sst>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\$#,##0"/>
  </numFmts>
  <fonts count="10" x14ac:knownFonts="1">
    <font>
      <sz val="11"/>
      <color theme="1"/>
      <name val="Calibri"/>
      <family val="2"/>
      <scheme val="minor"/>
    </font>
    <font>
      <b/>
      <sz val="14"/>
      <color rgb="FF1F3864"/>
      <name val="Arial"/>
      <family val="2"/>
    </font>
    <font>
      <i/>
      <sz val="9"/>
      <color rgb="FF595959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rgb="FF0070C0"/>
      <name val="Arial"/>
      <family val="2"/>
    </font>
    <font>
      <i/>
      <sz val="10"/>
      <name val="Arial"/>
      <family val="2"/>
    </font>
    <font>
      <sz val="10"/>
      <color rgb="FF0070C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/>
    <xf numFmtId="164" fontId="4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 vertical="top" wrapText="1"/>
    </xf>
    <xf numFmtId="0" fontId="5" fillId="4" borderId="1" xfId="0" applyFont="1" applyFill="1" applyBorder="1"/>
    <xf numFmtId="164" fontId="5" fillId="4" borderId="1" xfId="0" applyNumberFormat="1" applyFont="1" applyFill="1" applyBorder="1" applyAlignment="1">
      <alignment horizontal="right"/>
    </xf>
    <xf numFmtId="0" fontId="3" fillId="2" borderId="1" xfId="0" applyFont="1" applyFill="1" applyBorder="1"/>
    <xf numFmtId="0" fontId="0" fillId="2" borderId="1" xfId="0" applyFill="1" applyBorder="1"/>
    <xf numFmtId="0" fontId="2" fillId="0" borderId="2" xfId="0" applyFont="1" applyBorder="1" applyAlignment="1">
      <alignment horizontal="left" vertical="top" wrapText="1"/>
    </xf>
    <xf numFmtId="0" fontId="7" fillId="3" borderId="1" xfId="0" applyFont="1" applyFill="1" applyBorder="1" applyAlignment="1">
      <alignment horizontal="right"/>
    </xf>
    <xf numFmtId="165" fontId="7" fillId="3" borderId="1" xfId="0" applyNumberFormat="1" applyFont="1" applyFill="1" applyBorder="1" applyAlignment="1">
      <alignment horizontal="right"/>
    </xf>
    <xf numFmtId="9" fontId="7" fillId="3" borderId="1" xfId="0" applyNumberFormat="1" applyFont="1" applyFill="1" applyBorder="1" applyAlignment="1">
      <alignment horizontal="right"/>
    </xf>
    <xf numFmtId="0" fontId="8" fillId="0" borderId="2" xfId="0" applyFont="1" applyBorder="1"/>
    <xf numFmtId="9" fontId="8" fillId="0" borderId="2" xfId="1" applyFont="1" applyBorder="1" applyAlignment="1">
      <alignment horizontal="right"/>
    </xf>
    <xf numFmtId="164" fontId="9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0" width="350" row="0">
    <wetp:webextensionref xmlns:r="http://schemas.openxmlformats.org/officeDocument/2006/relationships" r:id="rId2"/>
  </wetp:taskpane>
  <wetp:taskpane dockstate="right" visibility="0" width="350" row="0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5FC321DE-2636-A443-B587-3F485ED679A3}">
  <we:reference id="wa200009404" version="1.0.0.8" store="en-US" storeType="OMEX"/>
  <we:alternateReferences>
    <we:reference id="wa200009404" version="1.0.0.8" store="en-US" storeType="OMEX"/>
  </we:alternateReferences>
  <we:properties>
    <we:property name="Office.AutoShowTaskpaneWithDocument" value="true"/>
    <we:property name="claude.fileId" value="&quot;2f8332b9-f65d-484c-9120-ba1b0036a4a5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BDE5975E-2D96-1F48-AFF0-6A332B4C4CC7}">
  <we:reference id="wa200001456" version="3.1.1.0" store="en-US" storeType="OMEX"/>
  <we:alternateReferences>
    <we:reference id="WA200001456" version="3.1.1.0" store="WA200001456" storeType="OMEX"/>
  </we:alternateReferences>
  <we:properties>
    <we:property name="Office.DisableTrustUX" value="true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FDS</we:customFunctionIds>
        <we:customFunctionIds>FDSN</we:customFunctionIds>
        <we:customFunctionIds>FDSZ</we:customFunctionIds>
        <we:customFunctionIds>FDSB</we:customFunctionIds>
        <we:customFunctionIds>FDSC</we:customFunctionIds>
        <we:customFunctionIds>FDSR</we:customFunctionIds>
        <we:customFunctionIds>FDSRN</we:customFunctionIds>
        <we:customFunctionIds>FDSRZ</we:customFunctionIds>
        <we:customFunctionIds>FDSRB</we:customFunctionIds>
        <we:customFunctionIds>FDSRC</we:customFunctionIds>
        <we:customFunctionIds>FDSLIVE</we:customFunctionIds>
        <we:customFunctionIds>FactSetLive.RTDFunction.1.FDSLIVE</we:customFunctionIds>
      </we:customFunctionIdList>
    </a:ext>
  </we:extLst>
</we:webextension>
</file>

<file path=xl/webextensions/webextension3.xml><?xml version="1.0" encoding="utf-8"?>
<we:webextension xmlns:we="http://schemas.microsoft.com/office/webextensions/webextension/2010/11" id="{9FC53D68-01A9-BC4F-B695-FD22C6504937}">
  <we:reference id="wa200010725" version="1.0.0.1" store="en-US" storeType="OMEX"/>
  <we:alternateReferences>
    <we:reference id="WA200010725" version="1.0.0.1" store="WA200010725" storeType="OMEX"/>
  </we:alternateReferences>
  <we:properties>
    <we:property name="claude.fileId" value="&quot;39bdf899-cba3-4b99-8665-ba00d5b47170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22"/>
  <sheetViews>
    <sheetView showGridLines="0" tabSelected="1" topLeftCell="A2" zoomScale="120" zoomScaleNormal="120" workbookViewId="0">
      <selection activeCell="A2" sqref="A2"/>
    </sheetView>
  </sheetViews>
  <sheetFormatPr baseColWidth="10" defaultColWidth="8.83203125" defaultRowHeight="15" x14ac:dyDescent="0.2"/>
  <cols>
    <col min="1" max="1" width="2.5" customWidth="1"/>
    <col min="2" max="2" width="33.5" customWidth="1"/>
    <col min="3" max="4" width="14" customWidth="1"/>
    <col min="5" max="5" width="52" customWidth="1"/>
  </cols>
  <sheetData>
    <row r="2" spans="2:5" ht="18" x14ac:dyDescent="0.2">
      <c r="B2" s="1" t="s">
        <v>0</v>
      </c>
    </row>
    <row r="4" spans="2:5" x14ac:dyDescent="0.2">
      <c r="B4" s="2" t="s">
        <v>1</v>
      </c>
      <c r="C4" s="2" t="s">
        <v>2</v>
      </c>
      <c r="D4" s="2" t="s">
        <v>3</v>
      </c>
      <c r="E4" s="2" t="s">
        <v>4</v>
      </c>
    </row>
    <row r="5" spans="2:5" x14ac:dyDescent="0.2">
      <c r="B5" s="3" t="s">
        <v>18</v>
      </c>
      <c r="C5" s="4">
        <f>$C$17/$C$16</f>
        <v>1.6110535284094247</v>
      </c>
      <c r="D5" s="4">
        <f>($C$17/$C$16)*($C$21/$C$18)*($C$22/$C$19)</f>
        <v>6.7596651541654174</v>
      </c>
      <c r="E5" s="5" t="s">
        <v>16</v>
      </c>
    </row>
    <row r="6" spans="2:5" ht="29" x14ac:dyDescent="0.2">
      <c r="B6" s="17" t="s">
        <v>19</v>
      </c>
      <c r="C6" s="16">
        <v>6.4085269404782892</v>
      </c>
      <c r="D6" s="4">
        <f>C6</f>
        <v>6.4085269404782892</v>
      </c>
      <c r="E6" s="5" t="s">
        <v>24</v>
      </c>
    </row>
    <row r="7" spans="2:5" x14ac:dyDescent="0.2">
      <c r="B7" s="6" t="s">
        <v>11</v>
      </c>
      <c r="C7" s="7">
        <f>C5+C6</f>
        <v>8.0195804688877139</v>
      </c>
      <c r="D7" s="7">
        <f>D5+D6</f>
        <v>13.168192094643707</v>
      </c>
      <c r="E7" s="5"/>
    </row>
    <row r="8" spans="2:5" x14ac:dyDescent="0.2">
      <c r="B8" s="3" t="s">
        <v>17</v>
      </c>
      <c r="C8" s="16">
        <v>0</v>
      </c>
      <c r="D8" s="4">
        <f>C8</f>
        <v>0</v>
      </c>
      <c r="E8" s="5" t="s">
        <v>21</v>
      </c>
    </row>
    <row r="9" spans="2:5" x14ac:dyDescent="0.2">
      <c r="B9" s="6" t="s">
        <v>12</v>
      </c>
      <c r="C9" s="7">
        <f>C7+C8</f>
        <v>8.0195804688877139</v>
      </c>
      <c r="D9" s="7">
        <f>D7+D8</f>
        <v>13.168192094643707</v>
      </c>
      <c r="E9" s="5"/>
    </row>
    <row r="10" spans="2:5" x14ac:dyDescent="0.2">
      <c r="B10" s="3" t="s">
        <v>20</v>
      </c>
      <c r="C10" s="16">
        <v>-3.9235959809624541</v>
      </c>
      <c r="D10" s="4">
        <f>C10</f>
        <v>-3.9235959809624541</v>
      </c>
      <c r="E10" s="5"/>
    </row>
    <row r="11" spans="2:5" x14ac:dyDescent="0.2">
      <c r="B11" s="3" t="s">
        <v>22</v>
      </c>
      <c r="C11" s="16">
        <v>-2.1203081967213113</v>
      </c>
      <c r="D11" s="4">
        <f>C11</f>
        <v>-2.1203081967213113</v>
      </c>
      <c r="E11" s="5"/>
    </row>
    <row r="12" spans="2:5" x14ac:dyDescent="0.2">
      <c r="B12" s="6" t="s">
        <v>13</v>
      </c>
      <c r="C12" s="7">
        <f>C9+C10+C11</f>
        <v>1.9756762912039485</v>
      </c>
      <c r="D12" s="7">
        <f>D9+D10+D11</f>
        <v>7.1242879169599433</v>
      </c>
      <c r="E12" s="5"/>
    </row>
    <row r="13" spans="2:5" x14ac:dyDescent="0.2">
      <c r="B13" s="14" t="s">
        <v>14</v>
      </c>
      <c r="C13" s="15">
        <f>C12/C9</f>
        <v>0.24635656427024635</v>
      </c>
      <c r="D13" s="15">
        <f>D12/D9</f>
        <v>0.54102247793437175</v>
      </c>
      <c r="E13" s="10"/>
    </row>
    <row r="15" spans="2:5" x14ac:dyDescent="0.2">
      <c r="B15" s="8" t="s">
        <v>9</v>
      </c>
      <c r="C15" s="9"/>
    </row>
    <row r="16" spans="2:5" x14ac:dyDescent="0.2">
      <c r="B16" s="3" t="s">
        <v>5</v>
      </c>
      <c r="C16" s="11">
        <v>7625</v>
      </c>
    </row>
    <row r="17" spans="2:3" x14ac:dyDescent="0.2">
      <c r="B17" s="3" t="s">
        <v>15</v>
      </c>
      <c r="C17" s="12">
        <v>12284.283154121864</v>
      </c>
    </row>
    <row r="18" spans="2:3" x14ac:dyDescent="0.2">
      <c r="B18" s="3" t="s">
        <v>23</v>
      </c>
      <c r="C18" s="13">
        <v>0.13</v>
      </c>
    </row>
    <row r="19" spans="2:3" x14ac:dyDescent="0.2">
      <c r="B19" s="3" t="s">
        <v>6</v>
      </c>
      <c r="C19" s="13">
        <v>0.55000000000000004</v>
      </c>
    </row>
    <row r="20" spans="2:3" x14ac:dyDescent="0.2">
      <c r="B20" s="8" t="s">
        <v>7</v>
      </c>
      <c r="C20" s="9"/>
    </row>
    <row r="21" spans="2:3" x14ac:dyDescent="0.2">
      <c r="B21" s="3" t="s">
        <v>8</v>
      </c>
      <c r="C21" s="13">
        <v>0.3</v>
      </c>
    </row>
    <row r="22" spans="2:3" x14ac:dyDescent="0.2">
      <c r="B22" s="3" t="s">
        <v>10</v>
      </c>
      <c r="C22" s="1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 Economics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Willis, Savannah</cp:lastModifiedBy>
  <dcterms:created xsi:type="dcterms:W3CDTF">2026-07-31T21:02:59Z</dcterms:created>
  <dcterms:modified xsi:type="dcterms:W3CDTF">2026-08-05T22:23:15Z</dcterms:modified>
</cp:coreProperties>
</file>