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2">
    <numFmt numFmtId="164" formatCode="0.0%"/>
    <numFmt numFmtId="165" formatCode="0.0&quot;x&quot;"/>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2"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4" fillId="0" borderId="0" pivotButton="0" quotePrefix="0" xfId="0"/>
    <xf numFmtId="3" fontId="4" fillId="0" borderId="0" pivotButton="0" quotePrefix="0" xfId="0"/>
    <xf numFmtId="0" fontId="0" fillId="0" borderId="0" applyAlignment="1" pivotButton="0" quotePrefix="0" xfId="0">
      <alignment vertical="center"/>
    </xf>
    <xf numFmtId="0" fontId="4" fillId="3" borderId="0" pivotButton="0" quotePrefix="0" xfId="0"/>
    <xf numFmtId="0" fontId="0" fillId="3" borderId="0" pivotButton="0" quotePrefix="0" xfId="0"/>
    <xf numFmtId="3" fontId="0" fillId="0" borderId="0" pivotButton="0" quotePrefix="0" xfId="0"/>
    <xf numFmtId="165" fontId="0" fillId="0" borderId="0" pivotButton="0" quotePrefix="0" xfId="0"/>
    <xf numFmtId="10" fontId="0" fillId="0" borderId="0" pivotButton="0" quotePrefix="0" xfId="0"/>
    <xf numFmtId="164" fontId="4" fillId="0" borderId="0" pivotButton="0" quotePrefix="0" xfId="0"/>
    <xf numFmtId="0" fontId="0" fillId="0" borderId="0" applyAlignment="1" pivotButton="0" quotePrefix="0" xfId="0">
      <alignment indent="1"/>
    </xf>
    <xf numFmtId="164"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center"/>
    </xf>
    <xf numFmtId="0" fontId="2" fillId="0" borderId="0" pivotButton="0" quotePrefix="0" xfId="0"/>
    <xf numFmtId="10" fontId="4" fillId="4" borderId="1"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110" customWidth="1" min="10" max="10"/>
  </cols>
  <sheetData>
    <row r="1">
      <c r="A1" s="1" t="inlineStr">
        <is>
          <t>Zed — Portfolio yield on receivables</t>
        </is>
      </c>
    </row>
    <row r="2" ht="60" customHeight="1">
      <c r="A2" s="2" t="inlineStr">
        <is>
          <t>Each column is a book: a month's average receivables and what that capital earned and lost. The product works in two steps — a purchase earns interchange the day it settles and, if converted, its upfront fee and installment charges on the statements that follow; it earns revolving interest only after it has been billed and left unpaid past the due date, i.e. in the following month, which is also when a missed payment draws a late fee. So each book carries its own month's interchange, upfront fees and installment charges, the following month's revolving interest and late fees, and the loss rate on the principal it lent. Annualized, PHP, before operating, servicing and funding costs.</t>
        </is>
      </c>
    </row>
    <row r="3" ht="18" customHeight="1">
      <c r="A3" s="3" t="n"/>
      <c r="B3" s="4" t="inlineStr">
        <is>
          <t>Book — the month's receivables and what they earned (interest and late fees arrive the following month)</t>
        </is>
      </c>
      <c r="J3" s="3" t="n"/>
    </row>
    <row r="4" ht="20" customHeight="1">
      <c r="A4" s="5" t="inlineStr"/>
      <c r="B4" s="6" t="inlineStr">
        <is>
          <t>Jun 2026</t>
        </is>
      </c>
      <c r="C4" s="6" t="inlineStr">
        <is>
          <t>Annualized</t>
        </is>
      </c>
      <c r="D4" s="6" t="inlineStr">
        <is>
          <t>Jul 2026</t>
        </is>
      </c>
      <c r="E4" s="6" t="inlineStr">
        <is>
          <t>Annualized</t>
        </is>
      </c>
      <c r="F4" s="6" t="inlineStr">
        <is>
          <t>Aug 2026</t>
        </is>
      </c>
      <c r="G4" s="6" t="inlineStr">
        <is>
          <t>Annualized</t>
        </is>
      </c>
      <c r="H4" s="6" t="inlineStr">
        <is>
          <t>Jun–Aug 2026</t>
        </is>
      </c>
      <c r="I4" s="6" t="inlineStr">
        <is>
          <t>Annualized</t>
        </is>
      </c>
      <c r="J4" s="5" t="inlineStr">
        <is>
          <t>Notes</t>
        </is>
      </c>
    </row>
    <row r="5" ht="18" customHeight="1">
      <c r="A5" s="7" t="inlineStr">
        <is>
          <t>Average receivables of the book month (denominator)</t>
        </is>
      </c>
      <c r="B5" s="8">
        <f>'Monthly Detail'!G16</f>
        <v/>
      </c>
      <c r="C5" s="7" t="n"/>
      <c r="D5" s="8">
        <f>'Monthly Detail'!H16</f>
        <v/>
      </c>
      <c r="E5" s="7" t="n"/>
      <c r="F5" s="8">
        <f>'Monthly Detail'!I16</f>
        <v/>
      </c>
      <c r="G5" s="7" t="n"/>
      <c r="H5" s="8">
        <f>AVERAGE('Monthly Detail'!G16:I16)</f>
        <v/>
      </c>
      <c r="I5" s="7" t="n"/>
      <c r="J5" s="9" t="inlineStr">
        <is>
          <t>The capital employed; the quarter averages the three months.</t>
        </is>
      </c>
    </row>
    <row r="6" ht="18" customHeight="1">
      <c r="A6" s="10" t="inlineStr">
        <is>
          <t>Earned as the balance is created — the book month's purchases, conversions and statements</t>
        </is>
      </c>
      <c r="B6" s="11" t="n"/>
      <c r="C6" s="11" t="n"/>
      <c r="D6" s="11" t="n"/>
      <c r="E6" s="11" t="n"/>
      <c r="F6" s="11" t="n"/>
      <c r="G6" s="11" t="n"/>
      <c r="H6" s="11" t="n"/>
      <c r="I6" s="11" t="n"/>
      <c r="J6" s="11" t="n"/>
    </row>
    <row r="7" ht="18" customHeight="1">
      <c r="A7" t="inlineStr">
        <is>
          <t>Purchase volume settled</t>
        </is>
      </c>
      <c r="B7" s="12">
        <f>'Monthly Detail'!G20</f>
        <v/>
      </c>
      <c r="D7" s="12">
        <f>'Monthly Detail'!H20</f>
        <v/>
      </c>
      <c r="F7" s="12">
        <f>'Monthly Detail'!I20</f>
        <v/>
      </c>
      <c r="H7" s="12">
        <f>'Monthly Detail'!G20+'Monthly Detail'!H20+'Monthly Detail'!I20</f>
        <v/>
      </c>
      <c r="J7" s="9" t="inlineStr">
        <is>
          <t>Mastercard purchases in the month, net of returns.</t>
        </is>
      </c>
    </row>
    <row r="8" ht="18" customHeight="1">
      <c r="A8" t="inlineStr">
        <is>
          <t>Purchase turnover</t>
        </is>
      </c>
      <c r="C8" s="13">
        <f>B7*12/B$5</f>
        <v/>
      </c>
      <c r="E8" s="13">
        <f>D7*12/D$5</f>
        <v/>
      </c>
      <c r="G8" s="13">
        <f>F7*12/F$5</f>
        <v/>
      </c>
      <c r="I8" s="13">
        <f>H7*4/H$5</f>
        <v/>
      </c>
      <c r="J8" s="9" t="inlineStr">
        <is>
          <t>Annualized purchases ÷ receivables: how often the book is re-spent</t>
        </is>
      </c>
    </row>
    <row r="9" ht="18" customHeight="1">
      <c r="A9" t="inlineStr">
        <is>
          <t>Interchange rate on purchase volume</t>
        </is>
      </c>
      <c r="C9" s="14">
        <f>B10/B7</f>
        <v/>
      </c>
      <c r="E9" s="14">
        <f>D10/D7</f>
        <v/>
      </c>
      <c r="G9" s="14">
        <f>F10/F7</f>
        <v/>
      </c>
      <c r="I9" s="14">
        <f>H10/H7</f>
        <v/>
      </c>
      <c r="J9" s="9" t="inlineStr">
        <is>
          <t>Set by Mastercard by merchant category and domestic/foreign</t>
        </is>
      </c>
    </row>
    <row r="10" ht="18" customHeight="1">
      <c r="A10" s="7" t="inlineStr">
        <is>
          <t>Interchange income</t>
        </is>
      </c>
      <c r="B10" s="8">
        <f>'Monthly Detail'!G9</f>
        <v/>
      </c>
      <c r="C10" s="15">
        <f>C9*C8</f>
        <v/>
      </c>
      <c r="D10" s="8">
        <f>'Monthly Detail'!H9</f>
        <v/>
      </c>
      <c r="E10" s="15">
        <f>E9*E8</f>
        <v/>
      </c>
      <c r="F10" s="8">
        <f>'Monthly Detail'!I9</f>
        <v/>
      </c>
      <c r="G10" s="15">
        <f>G9*G8</f>
        <v/>
      </c>
      <c r="H10" s="8">
        <f>'Monthly Detail'!G9+'Monthly Detail'!H9+'Monthly Detail'!I9</f>
        <v/>
      </c>
      <c r="I10" s="15">
        <f>I9*I8</f>
        <v/>
      </c>
      <c r="J10" s="9" t="inlineStr">
        <is>
          <t>Rate × turnover</t>
        </is>
      </c>
    </row>
    <row r="11" ht="18" customHeight="1">
      <c r="A11" s="7" t="inlineStr">
        <is>
          <t>Installments</t>
        </is>
      </c>
      <c r="B11" s="8">
        <f>B12+B13</f>
        <v/>
      </c>
      <c r="C11" s="15">
        <f>B11*12/B$5</f>
        <v/>
      </c>
      <c r="D11" s="8">
        <f>D12+D13</f>
        <v/>
      </c>
      <c r="E11" s="15">
        <f>D11*12/D$5</f>
        <v/>
      </c>
      <c r="F11" s="8">
        <f>F12+F13</f>
        <v/>
      </c>
      <c r="G11" s="15">
        <f>F11*12/F$5</f>
        <v/>
      </c>
      <c r="H11" s="8">
        <f>H12+H13</f>
        <v/>
      </c>
      <c r="I11" s="15">
        <f>H11*4/H$5</f>
        <v/>
      </c>
      <c r="J11" s="9" t="inlineStr">
        <is>
          <t>Upfront fees + installment interest</t>
        </is>
      </c>
    </row>
    <row r="12" ht="18" customHeight="1">
      <c r="A12" s="16" t="inlineStr">
        <is>
          <t>Installment upfront fees</t>
        </is>
      </c>
      <c r="B12" s="12">
        <f>'Monthly Detail'!G7</f>
        <v/>
      </c>
      <c r="C12" s="17">
        <f>B12*12/B$5</f>
        <v/>
      </c>
      <c r="D12" s="12">
        <f>'Monthly Detail'!H7</f>
        <v/>
      </c>
      <c r="E12" s="17">
        <f>D12*12/D$5</f>
        <v/>
      </c>
      <c r="F12" s="12">
        <f>'Monthly Detail'!I7</f>
        <v/>
      </c>
      <c r="G12" s="17">
        <f>F12*12/F$5</f>
        <v/>
      </c>
      <c r="H12" s="12">
        <f>'Monthly Detail'!G7+'Monthly Detail'!H7+'Monthly Detail'!I7</f>
        <v/>
      </c>
      <c r="I12" s="17">
        <f>H12*4/H$5</f>
        <v/>
      </c>
      <c r="J12" s="9" t="inlineStr">
        <is>
          <t>0.5% × term in months, billed at conversion.</t>
        </is>
      </c>
    </row>
    <row r="13" ht="18" customHeight="1">
      <c r="A13" s="16" t="inlineStr">
        <is>
          <t>Installment interest</t>
        </is>
      </c>
      <c r="B13" s="12">
        <f>'Monthly Detail'!G12</f>
        <v/>
      </c>
      <c r="C13" s="17">
        <f>B13*12/B$5</f>
        <v/>
      </c>
      <c r="D13" s="12">
        <f>'Monthly Detail'!H12</f>
        <v/>
      </c>
      <c r="E13" s="17">
        <f>D13*12/D$5</f>
        <v/>
      </c>
      <c r="F13" s="12">
        <f>'Monthly Detail'!I12</f>
        <v/>
      </c>
      <c r="G13" s="17">
        <f>F13*12/F$5</f>
        <v/>
      </c>
      <c r="H13" s="12">
        <f>'Monthly Detail'!G12+'Monthly Detail'!H12+'Monthly Detail'!I12</f>
        <v/>
      </c>
      <c r="I13" s="17">
        <f>H13*4/H$5</f>
        <v/>
      </c>
      <c r="J13" s="9" t="inlineStr">
        <is>
          <t>1% of plan per month of term (3% on 3 months); one charge per statement, from the first after conversion</t>
        </is>
      </c>
    </row>
    <row r="14" ht="18" customHeight="1">
      <c r="A14" s="10" t="inlineStr">
        <is>
          <t>Earned the following month — charged on the balance billed at the end of the book month</t>
        </is>
      </c>
      <c r="B14" s="11" t="n"/>
      <c r="C14" s="11" t="n"/>
      <c r="D14" s="11" t="n"/>
      <c r="E14" s="11" t="n"/>
      <c r="F14" s="11" t="n"/>
      <c r="G14" s="11" t="n"/>
      <c r="H14" s="11" t="n"/>
      <c r="I14" s="11" t="n"/>
      <c r="J14" s="11" t="n"/>
    </row>
    <row r="15" ht="18" customHeight="1">
      <c r="A15" t="inlineStr">
        <is>
          <t>Revolving interest (accrued)</t>
        </is>
      </c>
      <c r="B15" s="12">
        <f>'Monthly Detail'!H11</f>
        <v/>
      </c>
      <c r="C15" s="17">
        <f>B15*12/B$5</f>
        <v/>
      </c>
      <c r="D15" s="12">
        <f>'Monthly Detail'!I11</f>
        <v/>
      </c>
      <c r="E15" s="17">
        <f>D15*12/D$5</f>
        <v/>
      </c>
      <c r="F15" s="12">
        <f>'Monthly Detail'!J11</f>
        <v/>
      </c>
      <c r="G15" s="17">
        <f>F15*12/F$5</f>
        <v/>
      </c>
      <c r="H15" s="12">
        <f>'Monthly Detail'!H11+'Monthly Detail'!I11+'Monthly Detail'!J11</f>
        <v/>
      </c>
      <c r="I15" s="17">
        <f>H15*4/H$5</f>
        <v/>
      </c>
      <c r="J15" s="9" t="inlineStr">
        <is>
          <t>3%/month (BSP cap) on billed balances unpaid past due date; no interest until a purchase is statemented</t>
        </is>
      </c>
    </row>
    <row r="16" ht="18" customHeight="1">
      <c r="A16" t="inlineStr">
        <is>
          <t>Late payment fees</t>
        </is>
      </c>
      <c r="B16" s="12">
        <f>'Monthly Detail'!H8</f>
        <v/>
      </c>
      <c r="C16" s="17">
        <f>B16*12/B$5</f>
        <v/>
      </c>
      <c r="D16" s="12">
        <f>'Monthly Detail'!I8</f>
        <v/>
      </c>
      <c r="E16" s="17">
        <f>D16*12/D$5</f>
        <v/>
      </c>
      <c r="F16" s="12">
        <f>'Monthly Detail'!J8</f>
        <v/>
      </c>
      <c r="G16" s="17">
        <f>F16*12/F$5</f>
        <v/>
      </c>
      <c r="H16" s="12">
        <f>'Monthly Detail'!H8+'Monthly Detail'!I8+'Monthly Detail'!J8</f>
        <v/>
      </c>
      <c r="I16" s="17">
        <f>H16*4/H$5</f>
        <v/>
      </c>
      <c r="J16" s="9" t="inlineStr">
        <is>
          <t>Charged when the book month's statement is not paid by its due date.</t>
        </is>
      </c>
    </row>
    <row r="17" ht="18" customHeight="1">
      <c r="A17" s="10" t="inlineStr">
        <is>
          <t>Gross yield</t>
        </is>
      </c>
      <c r="B17" s="11" t="n"/>
      <c r="C17" s="11" t="n"/>
      <c r="D17" s="11" t="n"/>
      <c r="E17" s="11" t="n"/>
      <c r="F17" s="11" t="n"/>
      <c r="G17" s="11" t="n"/>
      <c r="H17" s="11" t="n"/>
      <c r="I17" s="11" t="n"/>
      <c r="J17" s="11" t="n"/>
    </row>
    <row r="18" ht="18" customHeight="1">
      <c r="A18" t="inlineStr">
        <is>
          <t>Interchange</t>
        </is>
      </c>
      <c r="B18" s="12">
        <f>B10</f>
        <v/>
      </c>
      <c r="C18" s="17">
        <f>C10</f>
        <v/>
      </c>
      <c r="D18" s="12">
        <f>D10</f>
        <v/>
      </c>
      <c r="E18" s="17">
        <f>E10</f>
        <v/>
      </c>
      <c r="F18" s="12">
        <f>F10</f>
        <v/>
      </c>
      <c r="G18" s="17">
        <f>G10</f>
        <v/>
      </c>
      <c r="H18" s="12">
        <f>H10</f>
        <v/>
      </c>
      <c r="I18" s="17">
        <f>I10</f>
        <v/>
      </c>
    </row>
    <row r="19" ht="18" customHeight="1">
      <c r="A19" t="inlineStr">
        <is>
          <t>Interest and fees</t>
        </is>
      </c>
      <c r="B19" s="12">
        <f>B11+B15+B16</f>
        <v/>
      </c>
      <c r="C19" s="17">
        <f>B19*12/B$5</f>
        <v/>
      </c>
      <c r="D19" s="12">
        <f>D11+D15+D16</f>
        <v/>
      </c>
      <c r="E19" s="17">
        <f>D19*12/D$5</f>
        <v/>
      </c>
      <c r="F19" s="12">
        <f>F11+F15+F16</f>
        <v/>
      </c>
      <c r="G19" s="17">
        <f>F19*12/F$5</f>
        <v/>
      </c>
      <c r="H19" s="12">
        <f>H11+H15+H16</f>
        <v/>
      </c>
      <c r="I19" s="17">
        <f>H19*4/H$5</f>
        <v/>
      </c>
      <c r="J19" s="9" t="inlineStr">
        <is>
          <t>Installments + revolving interest + late fees</t>
        </is>
      </c>
    </row>
    <row r="20" ht="18" customHeight="1">
      <c r="A20" s="18" t="inlineStr">
        <is>
          <t>Gross yield — all revenue</t>
        </is>
      </c>
      <c r="B20" s="19">
        <f>B18+B19</f>
        <v/>
      </c>
      <c r="C20" s="20">
        <f>C18+C19</f>
        <v/>
      </c>
      <c r="D20" s="19">
        <f>D18+D19</f>
        <v/>
      </c>
      <c r="E20" s="20">
        <f>E18+E19</f>
        <v/>
      </c>
      <c r="F20" s="19">
        <f>F18+F19</f>
        <v/>
      </c>
      <c r="G20" s="20">
        <f>G18+G19</f>
        <v/>
      </c>
      <c r="H20" s="19">
        <f>H18+H19</f>
        <v/>
      </c>
      <c r="I20" s="20">
        <f>I18+I19</f>
        <v/>
      </c>
      <c r="J20" s="21" t="inlineStr">
        <is>
          <t>Amount: revenue attributable to the book.</t>
        </is>
      </c>
    </row>
    <row r="21" ht="18" customHeight="1">
      <c r="A21" s="10" t="inlineStr">
        <is>
          <t>Loss on the principal the book lent</t>
        </is>
      </c>
      <c r="B21" s="11" t="n"/>
      <c r="C21" s="11" t="n"/>
      <c r="D21" s="11" t="n"/>
      <c r="E21" s="11" t="n"/>
      <c r="F21" s="11" t="n"/>
      <c r="G21" s="11" t="n"/>
      <c r="H21" s="11" t="n"/>
      <c r="I21" s="11" t="n"/>
      <c r="J21" s="11" t="n"/>
    </row>
    <row r="22" ht="18" customHeight="1">
      <c r="A22" t="inlineStr">
        <is>
          <t>Principal flow (purchase volume + pay-a-friend transfers)</t>
        </is>
      </c>
      <c r="B22" s="12">
        <f>'Monthly Detail'!G22</f>
        <v/>
      </c>
      <c r="D22" s="12">
        <f>'Monthly Detail'!H22</f>
        <v/>
      </c>
      <c r="F22" s="12">
        <f>'Monthly Detail'!I22</f>
        <v/>
      </c>
      <c r="H22" s="12">
        <f>'Monthly Detail'!G22+'Monthly Detail'!H22+'Monthly Detail'!I22</f>
        <v/>
      </c>
      <c r="J22" s="9" t="inlineStr">
        <is>
          <t>Everything that became a receivable in the month; pay-a-friend transfers earn no interchange.</t>
        </is>
      </c>
    </row>
    <row r="23" ht="18" customHeight="1">
      <c r="A23" t="inlineStr">
        <is>
          <t>Principal turnover</t>
        </is>
      </c>
      <c r="C23" s="13">
        <f>B22*12/B$5</f>
        <v/>
      </c>
      <c r="E23" s="13">
        <f>D22*12/D$5</f>
        <v/>
      </c>
      <c r="G23" s="13">
        <f>F22*12/F$5</f>
        <v/>
      </c>
      <c r="I23" s="13">
        <f>H22*4/H$5</f>
        <v/>
      </c>
      <c r="J23" s="9" t="inlineStr">
        <is>
          <t>Annualized principal flow ÷ receivables</t>
        </is>
      </c>
    </row>
    <row r="24" ht="18" customHeight="1">
      <c r="A24" t="inlineStr">
        <is>
          <t>Loss rate on originated principal — ≥90 DPD, excluding first-payment defaults</t>
        </is>
      </c>
      <c r="C24" s="14">
        <f>loss_rate_xfpd</f>
        <v/>
      </c>
      <c r="E24" s="14">
        <f>loss_rate_xfpd</f>
        <v/>
      </c>
      <c r="G24" s="14">
        <f>loss_rate_xfpd</f>
        <v/>
      </c>
      <c r="I24" s="14">
        <f>loss_rate_xfpd</f>
        <v/>
      </c>
      <c r="J24" s="9" t="inlineStr">
        <is>
          <t>Loss Rate tab: 90+ DPD ÷ principal seasoned 90 days, vintages since Jan 2026, ex-FPD, before recoveries</t>
        </is>
      </c>
    </row>
    <row r="25" ht="18" customHeight="1">
      <c r="A25" s="7" t="inlineStr">
        <is>
          <t>Loss on receivables</t>
        </is>
      </c>
      <c r="B25" s="7" t="n"/>
      <c r="C25" s="15">
        <f>C24*C23</f>
        <v/>
      </c>
      <c r="D25" s="7" t="n"/>
      <c r="E25" s="15">
        <f>E24*E23</f>
        <v/>
      </c>
      <c r="F25" s="7" t="n"/>
      <c r="G25" s="15">
        <f>G24*G23</f>
        <v/>
      </c>
      <c r="H25" s="7" t="n"/>
      <c r="I25" s="15">
        <f>I24*I23</f>
        <v/>
      </c>
      <c r="J25" s="9" t="inlineStr">
        <is>
          <t>Loss rate × principal turnover</t>
        </is>
      </c>
    </row>
    <row r="26" ht="18" customHeight="1">
      <c r="A26" s="10" t="inlineStr">
        <is>
          <t>Net yield</t>
        </is>
      </c>
      <c r="B26" s="11" t="n"/>
      <c r="C26" s="11" t="n"/>
      <c r="D26" s="11" t="n"/>
      <c r="E26" s="11" t="n"/>
      <c r="F26" s="11" t="n"/>
      <c r="G26" s="11" t="n"/>
      <c r="H26" s="11" t="n"/>
      <c r="I26" s="11" t="n"/>
      <c r="J26" s="11" t="n"/>
    </row>
    <row r="27" ht="18" customHeight="1">
      <c r="A27" s="7" t="inlineStr">
        <is>
          <t>Net yield — all revenue less loss on receivables</t>
        </is>
      </c>
      <c r="B27" s="7" t="n"/>
      <c r="C27" s="15">
        <f>C20-C25</f>
        <v/>
      </c>
      <c r="D27" s="7" t="n"/>
      <c r="E27" s="15">
        <f>E20-E25</f>
        <v/>
      </c>
      <c r="F27" s="7" t="n"/>
      <c r="G27" s="15">
        <f>G20-G25</f>
        <v/>
      </c>
      <c r="H27" s="7" t="n"/>
      <c r="I27" s="15">
        <f>I20-I25</f>
        <v/>
      </c>
      <c r="J27" s="9" t="inlineStr">
        <is>
          <t>Before operating, servicing and funding costs.</t>
        </is>
      </c>
    </row>
    <row r="28" ht="18" customHeight="1">
      <c r="A28" s="10" t="inlineStr">
        <is>
          <t>Memo — USD at 55.8</t>
        </is>
      </c>
      <c r="B28" s="11" t="n"/>
      <c r="C28" s="11" t="n"/>
      <c r="D28" s="11" t="n"/>
      <c r="E28" s="11" t="n"/>
      <c r="F28" s="11" t="n"/>
      <c r="G28" s="11" t="n"/>
      <c r="H28" s="11" t="n"/>
      <c r="I28" s="11" t="n"/>
      <c r="J28" s="11" t="n"/>
    </row>
    <row r="29" ht="18" customHeight="1">
      <c r="A29" t="inlineStr">
        <is>
          <t>Average receivables of the book month (USD)</t>
        </is>
      </c>
      <c r="B29" s="12">
        <f>B5/55.8</f>
        <v/>
      </c>
      <c r="D29" s="12">
        <f>D5/55.8</f>
        <v/>
      </c>
      <c r="F29" s="12">
        <f>F5/55.8</f>
        <v/>
      </c>
      <c r="H29" s="12">
        <f>H5/55.8</f>
        <v/>
      </c>
    </row>
    <row r="30" ht="18" customHeight="1">
      <c r="A30" t="inlineStr">
        <is>
          <t>Revenue attributable to the book (USD)</t>
        </is>
      </c>
      <c r="B30" s="12">
        <f>B20/55.8</f>
        <v/>
      </c>
      <c r="D30" s="12">
        <f>D20/55.8</f>
        <v/>
      </c>
      <c r="F30" s="12">
        <f>F20/55.8</f>
        <v/>
      </c>
      <c r="H30" s="12">
        <f>H20/55.8</f>
        <v/>
      </c>
    </row>
  </sheetData>
  <mergeCells count="2">
    <mergeCell ref="B3:I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2" t="inlineStr">
        <is>
          <t>PHP. Revenue is recognised in the month billed (interest and fees) or settled (interchange). Yields are annualized simply: month ÷ average receivables × 12.</t>
        </is>
      </c>
    </row>
    <row r="3"/>
    <row r="4">
      <c r="A4" s="5" t="inlineStr">
        <is>
          <t>Line</t>
        </is>
      </c>
      <c r="B4" s="6" t="inlineStr">
        <is>
          <t>Jan 2026</t>
        </is>
      </c>
      <c r="C4" s="6" t="inlineStr">
        <is>
          <t>Feb 2026</t>
        </is>
      </c>
      <c r="D4" s="6" t="inlineStr">
        <is>
          <t>Mar 2026</t>
        </is>
      </c>
      <c r="E4" s="6" t="inlineStr">
        <is>
          <t>Apr 2026</t>
        </is>
      </c>
      <c r="F4" s="6" t="inlineStr">
        <is>
          <t>May 2026</t>
        </is>
      </c>
      <c r="G4" s="6" t="inlineStr">
        <is>
          <t>Jun 2026</t>
        </is>
      </c>
      <c r="H4" s="6" t="inlineStr">
        <is>
          <t>Jul 2026</t>
        </is>
      </c>
      <c r="I4" s="6" t="inlineStr">
        <is>
          <t>Aug 2026</t>
        </is>
      </c>
      <c r="J4" s="6" t="inlineStr">
        <is>
          <t>Sep 2026</t>
        </is>
      </c>
      <c r="K4" s="6" t="inlineStr">
        <is>
          <t>Jul–Sep 2026</t>
        </is>
      </c>
    </row>
    <row r="5">
      <c r="A5" t="inlineStr">
        <is>
          <t>Revolving interest</t>
        </is>
      </c>
      <c r="B5" s="12" t="n">
        <v>0</v>
      </c>
      <c r="C5" s="12" t="n">
        <v>0</v>
      </c>
      <c r="D5" s="12" t="n">
        <v>0</v>
      </c>
      <c r="E5" s="12" t="n">
        <v>0</v>
      </c>
      <c r="F5" s="12" t="n">
        <v>0</v>
      </c>
      <c r="G5" s="12" t="n">
        <v>685463.409999999</v>
      </c>
      <c r="H5" s="12" t="n">
        <v>1501634.9</v>
      </c>
      <c r="I5" s="12" t="n">
        <v>1951592.03</v>
      </c>
      <c r="J5" s="12" t="n">
        <v>2229680.03</v>
      </c>
      <c r="K5" s="12">
        <f>SUM(H5:J5)</f>
        <v/>
      </c>
    </row>
    <row r="6">
      <c r="A6" t="inlineStr">
        <is>
          <t>Installment interest</t>
        </is>
      </c>
      <c r="B6" s="12" t="n">
        <v>1316.21</v>
      </c>
      <c r="C6" s="12" t="n">
        <v>47765.48</v>
      </c>
      <c r="D6" s="12" t="n">
        <v>134016.53</v>
      </c>
      <c r="E6" s="12" t="n">
        <v>220070.96</v>
      </c>
      <c r="F6" s="12" t="n">
        <v>257582.01</v>
      </c>
      <c r="G6" s="12" t="n">
        <v>340853.06</v>
      </c>
      <c r="H6" s="12" t="n">
        <v>403236.04</v>
      </c>
      <c r="I6" s="12" t="n">
        <v>445213.13</v>
      </c>
      <c r="J6" s="12" t="n">
        <v>486325.05</v>
      </c>
      <c r="K6" s="12">
        <f>SUM(H6:J6)</f>
        <v/>
      </c>
    </row>
    <row r="7">
      <c r="A7" t="inlineStr">
        <is>
          <t>Installment upfront fees</t>
        </is>
      </c>
      <c r="B7" s="12" t="n">
        <v>2185.69</v>
      </c>
      <c r="C7" s="12" t="n">
        <v>146390.53</v>
      </c>
      <c r="D7" s="12" t="n">
        <v>291311.38</v>
      </c>
      <c r="E7" s="12" t="n">
        <v>307856.48</v>
      </c>
      <c r="F7" s="12" t="n">
        <v>320397.94</v>
      </c>
      <c r="G7" s="12" t="n">
        <v>337749.34</v>
      </c>
      <c r="H7" s="12" t="n">
        <v>290513.47</v>
      </c>
      <c r="I7" s="12" t="n">
        <v>341458.41</v>
      </c>
      <c r="J7" s="12" t="n">
        <v>439733.93</v>
      </c>
      <c r="K7" s="12">
        <f>SUM(H7:J7)</f>
        <v/>
      </c>
    </row>
    <row r="8">
      <c r="A8" t="inlineStr">
        <is>
          <t>Late payment fees</t>
        </is>
      </c>
      <c r="B8" s="12" t="n">
        <v>64707.62</v>
      </c>
      <c r="C8" s="12" t="n">
        <v>71011.07000000001</v>
      </c>
      <c r="D8" s="12" t="n">
        <v>104805.31</v>
      </c>
      <c r="E8" s="12" t="n">
        <v>138112.4</v>
      </c>
      <c r="F8" s="12" t="n">
        <v>139049.93</v>
      </c>
      <c r="G8" s="12" t="n">
        <v>84871.59</v>
      </c>
      <c r="H8" s="12" t="n">
        <v>89421.49000000001</v>
      </c>
      <c r="I8" s="12" t="n">
        <v>108174.67</v>
      </c>
      <c r="J8" s="12" t="n">
        <v>126426.4</v>
      </c>
      <c r="K8" s="12">
        <f>SUM(H8:J8)</f>
        <v/>
      </c>
    </row>
    <row r="9">
      <c r="A9" t="inlineStr">
        <is>
          <t>Interchange</t>
        </is>
      </c>
      <c r="B9" s="12" t="n">
        <v>800466.96</v>
      </c>
      <c r="C9" s="12" t="n">
        <v>864632.9299999999</v>
      </c>
      <c r="D9" s="12" t="n">
        <v>1364620.690445234</v>
      </c>
      <c r="E9" s="12" t="n">
        <v>1521533.27</v>
      </c>
      <c r="F9" s="12" t="n">
        <v>1545608.623867449</v>
      </c>
      <c r="G9" s="12" t="n">
        <v>1963194.1105</v>
      </c>
      <c r="H9" s="12" t="n">
        <v>1811444.7469</v>
      </c>
      <c r="I9" s="12" t="n">
        <v>1892210.135992006</v>
      </c>
      <c r="J9" s="12" t="n">
        <v>2630889.798</v>
      </c>
      <c r="K9" s="12">
        <f>SUM(H9:J9)</f>
        <v/>
      </c>
    </row>
    <row r="10">
      <c r="A10" t="inlineStr">
        <is>
          <t>Total revenue — billed basis (ties to management reporting)</t>
        </is>
      </c>
      <c r="B10" s="12">
        <f>SUM(B5:B9)</f>
        <v/>
      </c>
      <c r="C10" s="12">
        <f>SUM(C5:C9)</f>
        <v/>
      </c>
      <c r="D10" s="12">
        <f>SUM(D5:D9)</f>
        <v/>
      </c>
      <c r="E10" s="12">
        <f>SUM(E5:E9)</f>
        <v/>
      </c>
      <c r="F10" s="12">
        <f>SUM(F5:F9)</f>
        <v/>
      </c>
      <c r="G10" s="12">
        <f>SUM(G5:G9)</f>
        <v/>
      </c>
      <c r="H10" s="12">
        <f>SUM(H5:H9)</f>
        <v/>
      </c>
      <c r="I10" s="12">
        <f>SUM(I5:I9)</f>
        <v/>
      </c>
      <c r="J10" s="12">
        <f>SUM(J5:J9)</f>
        <v/>
      </c>
      <c r="K10" s="12">
        <f>SUM(K5:K9)</f>
        <v/>
      </c>
    </row>
    <row r="11">
      <c r="A11" t="inlineStr">
        <is>
          <t>Revolving interest — accrued (calendar month)</t>
        </is>
      </c>
      <c r="H11" s="12" t="n">
        <v>1658171.4</v>
      </c>
      <c r="I11" s="12" t="n">
        <v>2023314.88</v>
      </c>
      <c r="J11" s="12" t="n">
        <v>2282599.61</v>
      </c>
      <c r="K11" s="12">
        <f>SUM(H11:J11)</f>
        <v/>
      </c>
    </row>
    <row r="12">
      <c r="A12" t="inlineStr">
        <is>
          <t>Installment interest — allocated across cycle days (calendar month)</t>
        </is>
      </c>
      <c r="G12" s="12" t="n">
        <v>380786.2</v>
      </c>
      <c r="H12" s="12" t="n">
        <v>430644.66</v>
      </c>
      <c r="I12" s="12" t="n">
        <v>467199.88</v>
      </c>
      <c r="J12" s="12" t="n">
        <v>517295.33</v>
      </c>
      <c r="K12" s="12">
        <f>SUM(H12:J12)</f>
        <v/>
      </c>
    </row>
    <row r="13">
      <c r="A13" s="7" t="inlineStr">
        <is>
          <t>Total revenue — accrual basis (used in Yield Summary)</t>
        </is>
      </c>
      <c r="H13" s="8">
        <f>H11+H12+H7+H8+H9</f>
        <v/>
      </c>
      <c r="I13" s="8">
        <f>I11+I12+I7+I8+I9</f>
        <v/>
      </c>
      <c r="J13" s="8">
        <f>J11+J12+J7+J8+J9</f>
        <v/>
      </c>
      <c r="K13" s="8">
        <f>K11+K12+K7+K8+K9</f>
        <v/>
      </c>
    </row>
    <row r="14"/>
    <row r="15">
      <c r="A15" s="10" t="inlineStr">
        <is>
          <t>Balances and volumes</t>
        </is>
      </c>
      <c r="B15" s="11" t="n"/>
      <c r="C15" s="11" t="n"/>
      <c r="D15" s="11" t="n"/>
      <c r="E15" s="11" t="n"/>
      <c r="F15" s="11" t="n"/>
      <c r="G15" s="11" t="n"/>
      <c r="H15" s="11" t="n"/>
      <c r="I15" s="11" t="n"/>
      <c r="J15" s="11" t="n"/>
      <c r="K15" s="11" t="n"/>
    </row>
    <row r="16">
      <c r="A16" t="inlineStr">
        <is>
          <t>Average receivables outstanding</t>
        </is>
      </c>
      <c r="B16" s="12" t="n">
        <v>60876935.09</v>
      </c>
      <c r="C16" s="12" t="n">
        <v>61287125.635</v>
      </c>
      <c r="D16" s="12" t="n">
        <v>78004357.58999999</v>
      </c>
      <c r="E16" s="12" t="n">
        <v>105226683.72</v>
      </c>
      <c r="F16" s="12" t="n">
        <v>126178365.54</v>
      </c>
      <c r="G16" s="12" t="n">
        <v>143946231.47</v>
      </c>
      <c r="H16" s="12" t="n">
        <v>158604610.965</v>
      </c>
      <c r="I16" s="12" t="n">
        <v>176625299.92</v>
      </c>
      <c r="J16" s="12" t="n">
        <v>211159156.895</v>
      </c>
      <c r="K16" s="12">
        <f>AVERAGE(H16:J16)</f>
        <v/>
      </c>
    </row>
    <row r="17">
      <c r="A17" t="inlineStr">
        <is>
          <t>Average receivables outstanding, prior month (reference)</t>
        </is>
      </c>
      <c r="C17" s="12">
        <f>B16</f>
        <v/>
      </c>
      <c r="D17" s="12">
        <f>C16</f>
        <v/>
      </c>
      <c r="E17" s="12">
        <f>D16</f>
        <v/>
      </c>
      <c r="F17" s="12">
        <f>E16</f>
        <v/>
      </c>
      <c r="G17" s="12">
        <f>F16</f>
        <v/>
      </c>
      <c r="H17" s="12">
        <f>G16</f>
        <v/>
      </c>
      <c r="I17" s="12">
        <f>H16</f>
        <v/>
      </c>
      <c r="J17" s="12">
        <f>I16</f>
        <v/>
      </c>
      <c r="K17" s="12">
        <f>AVERAGE(G16:I16)</f>
        <v/>
      </c>
    </row>
    <row r="18">
      <c r="A18" t="inlineStr">
        <is>
          <t>Receivables outstanding, end of month</t>
        </is>
      </c>
      <c r="B18" s="12" t="n">
        <v>59172827.04</v>
      </c>
      <c r="C18" s="12" t="n">
        <v>63401424.23</v>
      </c>
      <c r="D18" s="12" t="n">
        <v>92607290.94999999</v>
      </c>
      <c r="E18" s="12" t="n">
        <v>117846076.49</v>
      </c>
      <c r="F18" s="12" t="n">
        <v>134510654.59</v>
      </c>
      <c r="G18" s="12" t="n">
        <v>153381808.35</v>
      </c>
      <c r="H18" s="12" t="n">
        <v>163827413.58</v>
      </c>
      <c r="I18" s="12" t="n">
        <v>189423186.26</v>
      </c>
      <c r="J18" s="12" t="n">
        <v>232895127.53</v>
      </c>
      <c r="K18" s="12">
        <f>J18</f>
        <v/>
      </c>
    </row>
    <row r="19">
      <c r="A19" t="inlineStr">
        <is>
          <t>Principal originated, statement-month basis (base on which the loss rate is measured)</t>
        </is>
      </c>
      <c r="B19" s="12" t="n">
        <v>69900973.84</v>
      </c>
      <c r="C19" s="12" t="n">
        <v>60820771.28</v>
      </c>
      <c r="D19" s="12" t="n">
        <v>89743205.59</v>
      </c>
      <c r="E19" s="12" t="n">
        <v>107115373.17</v>
      </c>
      <c r="F19" s="12" t="n">
        <v>118184976.17</v>
      </c>
      <c r="G19" s="12" t="n">
        <v>136417479.48</v>
      </c>
      <c r="H19" s="12" t="n">
        <v>140624271.71</v>
      </c>
      <c r="I19" s="12" t="n">
        <v>141888335.14</v>
      </c>
      <c r="J19" s="12" t="n">
        <v>160221212.53</v>
      </c>
      <c r="K19" s="12">
        <f>SUM(H19:J19)</f>
        <v/>
      </c>
    </row>
    <row r="20">
      <c r="A20" t="inlineStr">
        <is>
          <t>Purchase volume settled (Mastercard, net of returns)</t>
        </is>
      </c>
      <c r="B20" s="12" t="n">
        <v>59671645.156</v>
      </c>
      <c r="C20" s="12" t="n">
        <v>60642780.726</v>
      </c>
      <c r="D20" s="12" t="n">
        <v>95344566</v>
      </c>
      <c r="E20" s="12" t="n">
        <v>105947213.036</v>
      </c>
      <c r="F20" s="12" t="n">
        <v>110400244.168</v>
      </c>
      <c r="G20" s="12" t="n">
        <v>137145988.384</v>
      </c>
      <c r="H20" s="12" t="n">
        <v>127249656.88</v>
      </c>
      <c r="I20" s="12" t="n">
        <v>130388896.484</v>
      </c>
      <c r="J20" s="12" t="n">
        <v>190860991.79</v>
      </c>
      <c r="K20" s="12">
        <f>SUM(H20:J20)</f>
        <v/>
      </c>
    </row>
    <row r="21">
      <c r="A21" t="inlineStr">
        <is>
          <t>Pay-a-friend transfers (cardholder-to-cardholder, charged to the card; no interchange)</t>
        </is>
      </c>
      <c r="B21" s="12" t="n">
        <v>1060000</v>
      </c>
      <c r="C21" s="12" t="n">
        <v>980000</v>
      </c>
      <c r="D21" s="12" t="n">
        <v>1900000</v>
      </c>
      <c r="E21" s="12" t="n">
        <v>1190000</v>
      </c>
      <c r="F21" s="12" t="n">
        <v>2250000</v>
      </c>
      <c r="G21" s="12" t="n">
        <v>2040000</v>
      </c>
      <c r="H21" s="12" t="n">
        <v>2730000</v>
      </c>
      <c r="I21" s="12" t="n">
        <v>2970000</v>
      </c>
      <c r="J21" s="12" t="n">
        <v>2650000</v>
      </c>
      <c r="K21" s="12">
        <f>SUM(H21:J21)</f>
        <v/>
      </c>
    </row>
    <row r="22">
      <c r="A22" s="7" t="inlineStr">
        <is>
          <t>Principal flow (purchase volume + pay-a-friend) — calendar-month loss base</t>
        </is>
      </c>
      <c r="B22" s="12">
        <f>B20+B21</f>
        <v/>
      </c>
      <c r="C22" s="12">
        <f>C20+C21</f>
        <v/>
      </c>
      <c r="D22" s="12">
        <f>D20+D21</f>
        <v/>
      </c>
      <c r="E22" s="12">
        <f>E20+E21</f>
        <v/>
      </c>
      <c r="F22" s="12">
        <f>F20+F21</f>
        <v/>
      </c>
      <c r="G22" s="12">
        <f>G20+G21</f>
        <v/>
      </c>
      <c r="H22" s="12">
        <f>H20+H21</f>
        <v/>
      </c>
      <c r="I22" s="12">
        <f>I20+I21</f>
        <v/>
      </c>
      <c r="J22" s="12">
        <f>J20+J21</f>
        <v/>
      </c>
      <c r="K22" s="12">
        <f>K20+K21</f>
        <v/>
      </c>
    </row>
    <row r="23"/>
    <row r="24">
      <c r="A24" s="10" t="inlineStr">
        <is>
          <t>Annualized yields by book month — interchange and upfront fees earned when the month's balance was created, installment charges billed on the month's statements, and the revolving interest and late fees charged on it the following month, ÷ that month's average receivables</t>
        </is>
      </c>
      <c r="B24" s="11" t="n"/>
      <c r="C24" s="11" t="n"/>
      <c r="D24" s="11" t="n"/>
      <c r="E24" s="11" t="n"/>
      <c r="F24" s="11" t="n"/>
      <c r="G24" s="11" t="n"/>
      <c r="H24" s="11" t="n"/>
      <c r="I24" s="11" t="n"/>
      <c r="J24" s="11" t="n"/>
      <c r="K24" s="11" t="n"/>
    </row>
    <row r="25">
      <c r="A25" t="inlineStr">
        <is>
          <t>Months in period</t>
        </is>
      </c>
      <c r="B25" t="n">
        <v>1</v>
      </c>
      <c r="C25" t="n">
        <v>1</v>
      </c>
      <c r="D25" t="n">
        <v>1</v>
      </c>
      <c r="E25" t="n">
        <v>1</v>
      </c>
      <c r="F25" t="n">
        <v>1</v>
      </c>
      <c r="G25" t="n">
        <v>1</v>
      </c>
      <c r="H25" t="n">
        <v>1</v>
      </c>
      <c r="I25" t="n">
        <v>1</v>
      </c>
      <c r="J25" t="n">
        <v>1</v>
      </c>
      <c r="K25" t="n">
        <v>3</v>
      </c>
    </row>
    <row r="26">
      <c r="A26" t="inlineStr">
        <is>
          <t>Revolving interest and late fees charged the following month</t>
        </is>
      </c>
      <c r="B26" s="17">
        <f>(C5+C8)*12/B25/B16</f>
        <v/>
      </c>
      <c r="C26" s="17">
        <f>(D5+D8)*12/C25/C16</f>
        <v/>
      </c>
      <c r="D26" s="17">
        <f>(E5+E8)*12/D25/D16</f>
        <v/>
      </c>
      <c r="E26" s="17">
        <f>(F5+F8)*12/E25/E16</f>
        <v/>
      </c>
      <c r="F26" s="17">
        <f>(G5+G8)*12/F25/F16</f>
        <v/>
      </c>
      <c r="G26" s="17">
        <f>(H11+H8)*12/G25/G16</f>
        <v/>
      </c>
      <c r="H26" s="17">
        <f>(I11+I8)*12/H25/H16</f>
        <v/>
      </c>
      <c r="I26" s="17">
        <f>(J11+J8)*12/I25/I16</f>
        <v/>
      </c>
    </row>
    <row r="27">
      <c r="A27" t="inlineStr">
        <is>
          <t>Installment interest (billed with each installment on the book month's statements)</t>
        </is>
      </c>
      <c r="B27" s="17">
        <f>B6*12/B25/B16</f>
        <v/>
      </c>
      <c r="C27" s="17">
        <f>C6*12/C25/C16</f>
        <v/>
      </c>
      <c r="D27" s="17">
        <f>D6*12/D25/D16</f>
        <v/>
      </c>
      <c r="E27" s="17">
        <f>E6*12/E25/E16</f>
        <v/>
      </c>
      <c r="F27" s="17">
        <f>F6*12/F25/F16</f>
        <v/>
      </c>
      <c r="G27" s="17">
        <f>G12*12/G25/G16</f>
        <v/>
      </c>
      <c r="H27" s="17">
        <f>H12*12/H25/H16</f>
        <v/>
      </c>
      <c r="I27" s="17">
        <f>I12*12/I25/I16</f>
        <v/>
      </c>
    </row>
    <row r="28">
      <c r="A28" t="inlineStr">
        <is>
          <t>Installment upfront fees (at conversion, same month)</t>
        </is>
      </c>
      <c r="B28" s="17">
        <f>B7*12/B25/B16</f>
        <v/>
      </c>
      <c r="C28" s="17">
        <f>C7*12/C25/C16</f>
        <v/>
      </c>
      <c r="D28" s="17">
        <f>D7*12/D25/D16</f>
        <v/>
      </c>
      <c r="E28" s="17">
        <f>E7*12/E25/E16</f>
        <v/>
      </c>
      <c r="F28" s="17">
        <f>F7*12/F25/F16</f>
        <v/>
      </c>
      <c r="G28" s="17">
        <f>G7*12/G25/G16</f>
        <v/>
      </c>
      <c r="H28" s="17">
        <f>H7*12/H25/H16</f>
        <v/>
      </c>
      <c r="I28" s="17">
        <f>I7*12/I25/I16</f>
        <v/>
      </c>
    </row>
    <row r="29">
      <c r="A29" t="inlineStr">
        <is>
          <t>Purchase turnover (annualized purchase volume ÷ average receivables)</t>
        </is>
      </c>
      <c r="B29" s="13">
        <f>B20*12/B25/B16</f>
        <v/>
      </c>
      <c r="C29" s="13">
        <f>C20*12/C25/C16</f>
        <v/>
      </c>
      <c r="D29" s="13">
        <f>D20*12/D25/D16</f>
        <v/>
      </c>
      <c r="E29" s="13">
        <f>E20*12/E25/E16</f>
        <v/>
      </c>
      <c r="F29" s="13">
        <f>F20*12/F25/F16</f>
        <v/>
      </c>
      <c r="G29" s="13">
        <f>G20*12/G25/G16</f>
        <v/>
      </c>
      <c r="H29" s="13">
        <f>H20*12/H25/H16</f>
        <v/>
      </c>
      <c r="I29" s="13">
        <f>I20*12/I25/I16</f>
        <v/>
      </c>
    </row>
    <row r="30">
      <c r="A30" t="inlineStr">
        <is>
          <t>Interchange rate on purchase volume</t>
        </is>
      </c>
      <c r="B30" s="14">
        <f>B9/B20</f>
        <v/>
      </c>
      <c r="C30" s="14">
        <f>C9/C20</f>
        <v/>
      </c>
      <c r="D30" s="14">
        <f>D9/D20</f>
        <v/>
      </c>
      <c r="E30" s="14">
        <f>E9/E20</f>
        <v/>
      </c>
      <c r="F30" s="14">
        <f>F9/F20</f>
        <v/>
      </c>
      <c r="G30" s="14">
        <f>G9/G20</f>
        <v/>
      </c>
      <c r="H30" s="14">
        <f>H9/H20</f>
        <v/>
      </c>
      <c r="I30" s="14">
        <f>I9/I20</f>
        <v/>
      </c>
    </row>
    <row r="31">
      <c r="A31" t="inlineStr">
        <is>
          <t>Interchange (rate × purchase turnover, same month)</t>
        </is>
      </c>
      <c r="B31" s="17">
        <f>B9*12/B25/B16</f>
        <v/>
      </c>
      <c r="C31" s="17">
        <f>C9*12/C25/C16</f>
        <v/>
      </c>
      <c r="D31" s="17">
        <f>D9*12/D25/D16</f>
        <v/>
      </c>
      <c r="E31" s="17">
        <f>E9*12/E25/E16</f>
        <v/>
      </c>
      <c r="F31" s="17">
        <f>F9*12/F25/F16</f>
        <v/>
      </c>
      <c r="G31" s="17">
        <f>G9*12/G25/G16</f>
        <v/>
      </c>
      <c r="H31" s="17">
        <f>H9*12/H25/H16</f>
        <v/>
      </c>
      <c r="I31" s="17">
        <f>I9*12/I25/I16</f>
        <v/>
      </c>
    </row>
    <row r="32">
      <c r="A32" s="7" t="inlineStr">
        <is>
          <t>Gross yield — all revenue</t>
        </is>
      </c>
      <c r="B32" s="15">
        <f>((C5+C8)+B6+B7+B9)*12/B25/B16</f>
        <v/>
      </c>
      <c r="C32" s="15">
        <f>((D5+D8)+C6+C7+C9)*12/C25/C16</f>
        <v/>
      </c>
      <c r="D32" s="15">
        <f>((E5+E8)+D6+D7+D9)*12/D25/D16</f>
        <v/>
      </c>
      <c r="E32" s="15">
        <f>((F5+F8)+E6+E7+E9)*12/E25/E16</f>
        <v/>
      </c>
      <c r="F32" s="15">
        <f>((G5+G8)+F6+F7+F9)*12/F25/F16</f>
        <v/>
      </c>
      <c r="G32" s="15">
        <f>((H11+H8)+G12+G7+G9)*12/G25/G16</f>
        <v/>
      </c>
      <c r="H32" s="15">
        <f>((I11+I8)+H12+H7+H9)*12/H25/H16</f>
        <v/>
      </c>
      <c r="I32" s="15">
        <f>((J11+J8)+I12+I7+I9)*12/I25/I16</f>
        <v/>
      </c>
    </row>
    <row r="33">
      <c r="A33" t="inlineStr">
        <is>
          <t>Principal turnover (annualized principal flow ÷ average receivables)</t>
        </is>
      </c>
      <c r="B33" s="13">
        <f>B22*12/B25/B16</f>
        <v/>
      </c>
      <c r="C33" s="13">
        <f>C22*12/C25/C16</f>
        <v/>
      </c>
      <c r="D33" s="13">
        <f>D22*12/D25/D16</f>
        <v/>
      </c>
      <c r="E33" s="13">
        <f>E22*12/E25/E16</f>
        <v/>
      </c>
      <c r="F33" s="13">
        <f>F22*12/F25/F16</f>
        <v/>
      </c>
      <c r="G33" s="13">
        <f>G22*12/G25/G16</f>
        <v/>
      </c>
      <c r="H33" s="13">
        <f>H22*12/H25/H16</f>
        <v/>
      </c>
      <c r="I33" s="13">
        <f>I22*12/I25/I16</f>
        <v/>
      </c>
    </row>
    <row r="34"/>
    <row r="35">
      <c r="A35" s="10" t="inlineStr">
        <is>
          <t>Reference — conventional basis: all of a month's revenue over that month's own average receivables</t>
        </is>
      </c>
      <c r="B35" s="11" t="n"/>
      <c r="C35" s="11" t="n"/>
      <c r="D35" s="11" t="n"/>
      <c r="E35" s="11" t="n"/>
      <c r="F35" s="11" t="n"/>
      <c r="G35" s="11" t="n"/>
      <c r="H35" s="11" t="n"/>
      <c r="I35" s="11" t="n"/>
      <c r="J35" s="11" t="n"/>
      <c r="K35" s="11" t="n"/>
    </row>
    <row r="36">
      <c r="A36" t="inlineStr">
        <is>
          <t>Interest and fees</t>
        </is>
      </c>
      <c r="B36" s="17">
        <f>SUM(B5:B8)*12/B25/B16</f>
        <v/>
      </c>
      <c r="C36" s="17">
        <f>SUM(C5:C8)*12/C25/C16</f>
        <v/>
      </c>
      <c r="D36" s="17">
        <f>SUM(D5:D8)*12/D25/D16</f>
        <v/>
      </c>
      <c r="E36" s="17">
        <f>SUM(E5:E8)*12/E25/E16</f>
        <v/>
      </c>
      <c r="F36" s="17">
        <f>SUM(F5:F8)*12/F25/F16</f>
        <v/>
      </c>
      <c r="G36" s="17">
        <f>SUM(G5:G8)*12/G25/G16</f>
        <v/>
      </c>
      <c r="H36" s="17">
        <f>(H11+H12+H7+H8)*12/H25/H16</f>
        <v/>
      </c>
      <c r="I36" s="17">
        <f>(I11+I12+I7+I8)*12/I25/I16</f>
        <v/>
      </c>
      <c r="J36" s="17">
        <f>(J11+J12+J7+J8)*12/J25/J16</f>
        <v/>
      </c>
      <c r="K36" s="17">
        <f>(K11+K12+K7+K8)*12/K25/K16</f>
        <v/>
      </c>
    </row>
    <row r="37">
      <c r="A37" t="inlineStr">
        <is>
          <t>Gross yield — all revenue</t>
        </is>
      </c>
      <c r="B37" s="17">
        <f>SUM(B5:B8)*12/B25/B16+B9*12/B25/B16</f>
        <v/>
      </c>
      <c r="C37" s="17">
        <f>SUM(C5:C8)*12/C25/C16+C9*12/C25/C16</f>
        <v/>
      </c>
      <c r="D37" s="17">
        <f>SUM(D5:D8)*12/D25/D16+D9*12/D25/D16</f>
        <v/>
      </c>
      <c r="E37" s="17">
        <f>SUM(E5:E8)*12/E25/E16+E9*12/E25/E16</f>
        <v/>
      </c>
      <c r="F37" s="17">
        <f>SUM(F5:F8)*12/F25/F16+F9*12/F25/F16</f>
        <v/>
      </c>
      <c r="G37" s="17">
        <f>SUM(G5:G8)*12/G25/G16+G9*12/G25/G16</f>
        <v/>
      </c>
      <c r="H37" s="17">
        <f>(H11+H12+H7+H8)*12/H25/H16+H9*12/H25/H16</f>
        <v/>
      </c>
      <c r="I37" s="17">
        <f>(I11+I12+I7+I8)*12/I25/I16+I9*12/I25/I16</f>
        <v/>
      </c>
      <c r="J37" s="17">
        <f>(J11+J12+J7+J8)*12/J25/J16+J9*12/J25/J16</f>
        <v/>
      </c>
      <c r="K37" s="17">
        <f>(K11+K12+K7+K8)*12/K25/K16+K9*12/K25/K16</f>
        <v/>
      </c>
    </row>
    <row r="38"/>
    <row r="39">
      <c r="A39" s="2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by book month: a month's balance earns interchange and upfront fees when it is created (that month's purchases and conversions), installment charges on the statements closing in the month (1% of the original plan amount per installment, for every plan outstanding at the close), and revolving interest and late fees the following month (charged on the balance billed at month end, net of payments). The conventional basis is shown for reference; the two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5" t="inlineStr">
        <is>
          <t>Origination month</t>
        </is>
      </c>
      <c r="B4" s="6" t="inlineStr">
        <is>
          <t>Accounts</t>
        </is>
      </c>
      <c r="C4" s="6" t="inlineStr">
        <is>
          <t>Principal originated</t>
        </is>
      </c>
      <c r="D4" s="6" t="inlineStr">
        <is>
          <t>Seasoned principal (due ≥90 days ago)</t>
        </is>
      </c>
      <c r="E4" s="6" t="inlineStr">
        <is>
          <t>Excluded: FPD principal 90+ DPD</t>
        </is>
      </c>
      <c r="F4" s="6" t="inlineStr">
        <is>
          <t>Denominator: seasoned, ex-FPD</t>
        </is>
      </c>
      <c r="G4" s="6" t="inlineStr">
        <is>
          <t>Numerator: 90+ DPD, ex-FPD</t>
        </is>
      </c>
      <c r="H4" s="6" t="inlineStr">
        <is>
          <t>Loss rate</t>
        </is>
      </c>
    </row>
    <row r="5">
      <c r="A5" t="inlineStr">
        <is>
          <t>Jan 2026</t>
        </is>
      </c>
      <c r="B5" s="12" t="n">
        <v>3828</v>
      </c>
      <c r="C5" s="12" t="n">
        <v>69900973.84</v>
      </c>
      <c r="D5" s="12" t="n">
        <v>69900973.84</v>
      </c>
      <c r="E5" s="12" t="n">
        <v>195035.55</v>
      </c>
      <c r="F5" s="12" t="n">
        <v>69690793.31</v>
      </c>
      <c r="G5" s="12" t="n">
        <v>1577286.85</v>
      </c>
      <c r="H5" s="14">
        <f>IF(F5=0,"not yet seasoned",G5/F5)</f>
        <v/>
      </c>
    </row>
    <row r="6">
      <c r="A6" t="inlineStr">
        <is>
          <t>Feb 2026</t>
        </is>
      </c>
      <c r="B6" s="12" t="n">
        <v>4029</v>
      </c>
      <c r="C6" s="12" t="n">
        <v>60820771.28</v>
      </c>
      <c r="D6" s="12" t="n">
        <v>60820771.28</v>
      </c>
      <c r="E6" s="12" t="n">
        <v>31366.54</v>
      </c>
      <c r="F6" s="12" t="n">
        <v>60789404.74</v>
      </c>
      <c r="G6" s="12" t="n">
        <v>685527.14</v>
      </c>
      <c r="H6" s="14">
        <f>IF(F6=0,"not yet seasoned",G6/F6)</f>
        <v/>
      </c>
    </row>
    <row r="7">
      <c r="A7" t="inlineStr">
        <is>
          <t>Mar 2026</t>
        </is>
      </c>
      <c r="B7" s="12" t="n">
        <v>5113</v>
      </c>
      <c r="C7" s="12" t="n">
        <v>89743205.59</v>
      </c>
      <c r="D7" s="12" t="n">
        <v>89743205.59</v>
      </c>
      <c r="E7" s="12" t="n">
        <v>562712.45</v>
      </c>
      <c r="F7" s="12" t="n">
        <v>89089554.73999999</v>
      </c>
      <c r="G7" s="12" t="n">
        <v>1404938.62</v>
      </c>
      <c r="H7" s="14">
        <f>IF(F7=0,"not yet seasoned",G7/F7)</f>
        <v/>
      </c>
    </row>
    <row r="8">
      <c r="A8" t="inlineStr">
        <is>
          <t>Apr 2026</t>
        </is>
      </c>
      <c r="B8" s="12" t="n">
        <v>6505</v>
      </c>
      <c r="C8" s="12" t="n">
        <v>107115373.17</v>
      </c>
      <c r="D8" s="12" t="n">
        <v>107115373.17</v>
      </c>
      <c r="E8" s="12" t="n">
        <v>911016.11</v>
      </c>
      <c r="F8" s="12" t="n">
        <v>106123235.92</v>
      </c>
      <c r="G8" s="12" t="n">
        <v>1471002.56</v>
      </c>
      <c r="H8" s="14">
        <f>IF(F8=0,"not yet seasoned",G8/F8)</f>
        <v/>
      </c>
    </row>
    <row r="9">
      <c r="A9" t="inlineStr">
        <is>
          <t>May 2026</t>
        </is>
      </c>
      <c r="B9" s="12" t="n">
        <v>7564</v>
      </c>
      <c r="C9" s="12" t="n">
        <v>118184976.17</v>
      </c>
      <c r="D9" s="12" t="n">
        <v>118184976.17</v>
      </c>
      <c r="E9" s="12" t="n">
        <v>889165.96</v>
      </c>
      <c r="F9" s="12" t="n">
        <v>117226741.83</v>
      </c>
      <c r="G9" s="12" t="n">
        <v>1061583</v>
      </c>
      <c r="H9" s="14">
        <f>IF(F9=0,"not yet seasoned",G9/F9)</f>
        <v/>
      </c>
    </row>
    <row r="10">
      <c r="A10" t="inlineStr">
        <is>
          <t>Jun 2026</t>
        </is>
      </c>
      <c r="B10" s="12" t="n">
        <v>9024</v>
      </c>
      <c r="C10" s="12" t="n">
        <v>136417479.48</v>
      </c>
      <c r="D10" s="12" t="n">
        <v>136417479.48</v>
      </c>
      <c r="E10" s="12" t="n">
        <v>499873.5</v>
      </c>
      <c r="F10" s="12" t="n">
        <v>135917605.98</v>
      </c>
      <c r="G10" s="12" t="n">
        <v>459463.31</v>
      </c>
      <c r="H10" s="14">
        <f>IF(F10=0,"not yet seasoned",G10/F10)</f>
        <v/>
      </c>
    </row>
    <row r="11">
      <c r="A11" t="inlineStr">
        <is>
          <t>Jul 2026</t>
        </is>
      </c>
      <c r="B11" s="12" t="n">
        <v>11366</v>
      </c>
      <c r="C11" s="12" t="n">
        <v>140624271.71</v>
      </c>
      <c r="D11" s="12" t="n">
        <v>0</v>
      </c>
      <c r="E11" s="12" t="n">
        <v>29390.51</v>
      </c>
      <c r="F11" s="12" t="n">
        <v>0</v>
      </c>
      <c r="G11" s="12" t="n">
        <v>8828.190000000001</v>
      </c>
      <c r="H11" s="14">
        <f>IF(F11=0,"not yet seasoned",G11/F11)</f>
        <v/>
      </c>
    </row>
    <row r="12">
      <c r="A12" t="inlineStr">
        <is>
          <t>Aug 2026</t>
        </is>
      </c>
      <c r="B12" s="12" t="n">
        <v>12347</v>
      </c>
      <c r="C12" s="12" t="n">
        <v>141888335.14</v>
      </c>
      <c r="D12" s="12" t="n">
        <v>0</v>
      </c>
      <c r="E12" s="12" t="n">
        <v>0</v>
      </c>
      <c r="F12" s="12" t="n">
        <v>0</v>
      </c>
      <c r="G12" s="12" t="n">
        <v>0</v>
      </c>
      <c r="H12" s="14">
        <f>IF(F12=0,"not yet seasoned",G12/F12)</f>
        <v/>
      </c>
    </row>
    <row r="13">
      <c r="A13" t="inlineStr">
        <is>
          <t>Sep 2026</t>
        </is>
      </c>
      <c r="B13" s="12" t="n">
        <v>13196</v>
      </c>
      <c r="C13" s="12" t="n">
        <v>160221212.53</v>
      </c>
      <c r="D13" s="12" t="n">
        <v>0</v>
      </c>
      <c r="E13" s="12" t="n">
        <v>0</v>
      </c>
      <c r="F13" s="12" t="n">
        <v>0</v>
      </c>
      <c r="G13" s="12" t="n">
        <v>0</v>
      </c>
      <c r="H13" s="14">
        <f>IF(F13=0,"not yet seasoned",G13/F13)</f>
        <v/>
      </c>
    </row>
    <row r="14">
      <c r="A14" s="18" t="inlineStr">
        <is>
          <t>Since January 2026 (all vintages above)</t>
        </is>
      </c>
      <c r="B14" s="19">
        <f>SUM(B5:B13)</f>
        <v/>
      </c>
      <c r="C14" s="19">
        <f>SUM(C5:C13)</f>
        <v/>
      </c>
      <c r="D14" s="19">
        <f>SUM(D5:D13)</f>
        <v/>
      </c>
      <c r="E14" s="19">
        <f>SUM(E5:E13)</f>
        <v/>
      </c>
      <c r="F14" s="19">
        <f>SUM(F5:F13)</f>
        <v/>
      </c>
      <c r="G14" s="19">
        <f>SUM(G5:G13)</f>
        <v/>
      </c>
      <c r="H14" s="23">
        <f>G14/F14</f>
        <v/>
      </c>
    </row>
    <row r="15"/>
    <row r="16" ht="15" customHeight="1">
      <c r="A16" s="24" t="inlineStr">
        <is>
          <t>How to read this table</t>
        </is>
      </c>
    </row>
    <row r="17" ht="48" customHeight="1">
      <c r="A17" s="25"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25"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25" t="inlineStr">
        <is>
          <t>• First-payment defaults (FPD). An account whose first statement was never paid: the cardholder spent, was billed once and made no payment at all. These are fraud and identity cases rather than credit decisions that went wrong, and they are excluded from the loss rate; the principal excluded is shown in column E so the adjustment is visible. The reason for the exclusion is exposure, not optics: a receivable whose account defaults on its first statement fails standard eligibility criteria (first-payment default / fraud) and is repurchased by the originator, so losses of this kind stay with Zed and do not reach the facility. The rate therefore measures what a facility pool would actually experience.</t>
        </is>
      </c>
    </row>
    <row r="20" ht="48" customHeight="1">
      <c r="A20" s="25" t="inlineStr">
        <is>
          <t>• Fraud controls and their timing. Basic duplicate-applicant checks have been part of decisioning since May 2026, and the credit model released on 5 May 2026 (v2.1) sharply reduced uncoordinated first-payment default on new accounts: first-payment defaults fell from 1.2–1.5% of cards issued in February–April 2026 to 0.4% of cards issued in May–August. On 24 October 2026 Zed deployed a full suite of fraud-signal policies, informed by its review of first-payment defaults: bank account numbers shared across applicants, repeated selfie or ID images, invite-name mismatches, business-owner income verification and past-due bureau tradelines.</t>
        </is>
      </c>
    </row>
    <row r="21" ht="48" customHeight="1">
      <c r="A21" s="25" t="inlineStr">
        <is>
          <t>• Why January 2026. The current underwriting model (V2) was deployed in December 2025 and is the model that originates the portfolio today; earlier vintages were originated under the prior model.</t>
        </is>
      </c>
    </row>
  </sheetData>
  <mergeCells count="6">
    <mergeCell ref="A18:H18"/>
    <mergeCell ref="A21:H21"/>
    <mergeCell ref="A20:H20"/>
    <mergeCell ref="A16:H16"/>
    <mergeCell ref="A19:H19"/>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5" t="inlineStr">
        <is>
          <t>Item</t>
        </is>
      </c>
      <c r="B3" s="5" t="inlineStr">
        <is>
          <t>Definition</t>
        </is>
      </c>
    </row>
    <row r="4" ht="75" customHeight="1">
      <c r="A4" s="26" t="inlineStr">
        <is>
          <t>Scope</t>
        </is>
      </c>
      <c r="B4" s="25" t="inlineStr">
        <is>
          <t>Zed's Philippine credit card receivables, all cardholders. Yield Summary covers the June, July and August 2026 books and the three together — the books whose interest was earned in July–September 2026,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195" customHeight="1">
      <c r="A5" s="26" t="inlineStr">
        <is>
          <t>Book month (yield basis)</t>
        </is>
      </c>
      <c r="B5" s="25" t="inlineStr">
        <is>
          <t>Yields are measured by book month: the month's average receivables outstanding (principal, interest and fees billed to cardholders, plus installment principal not yet billed) are the capital employed, and the revenue attributed to them is what that capital earned — interchange and upfront fees when the balance was created (that month's purchases and conversions), installment charges on the month's statements (a fixed charge per installment for every plan outstanding at the close), and revolving interest and late fees the following month, because revolving interest is charged on the balance billed at month end, net of payments (adjusted daily balance), and a purchase earns no interest until it has been statemented. Losses are the loss rate on the principal the month lent. The June, July and August 2026 books are shown — the books whose interest arrived in July–September, the first quarter with every revenue line in place — and the three together, where the denominator is the average of the three months. The conventional basis (a month's revenue over that month's own average receivables) is shown for reference; the two coincide when the book is not growing and differ by roughly the monthly growth rate while it is.</t>
        </is>
      </c>
    </row>
    <row r="6" ht="30" customHeight="1">
      <c r="A6" s="26" t="inlineStr">
        <is>
          <t>Annualization</t>
        </is>
      </c>
      <c r="B6" s="25" t="inlineStr">
        <is>
          <t>Simple: monthly amount ÷ the book month's average receivables × 12. No compounding.</t>
        </is>
      </c>
    </row>
    <row r="7" ht="105" customHeight="1">
      <c r="A7" s="26" t="inlineStr">
        <is>
          <t>Revolving interest</t>
        </is>
      </c>
      <c r="B7" s="25"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Monthly Detail carries the billed basis, which ties to management reporting.</t>
        </is>
      </c>
    </row>
    <row r="8" ht="105" customHeight="1">
      <c r="A8" s="26" t="inlineStr">
        <is>
          <t>Installment interest and upfront fees</t>
        </is>
      </c>
      <c r="B8" s="25" t="inlineStr">
        <is>
          <t>Installment interest is 1% of the original plan amount per installment (add-on), billed together with the principal installment on every statement closing while the plan is outstanding, starting with the first statement after conversion; on the declining balance it is about 1.5% per month. The upfront conversion fee is 0.5% per month of term, billed when a purchase is converted. Both are attributed to the book month: the fee to the month of conversion, the interest to the month whose statements carried the installment (14th-close statements allocated across their cycle days).</t>
        </is>
      </c>
    </row>
    <row r="9" ht="30" customHeight="1">
      <c r="A9" s="26" t="inlineStr">
        <is>
          <t>Late payment fees</t>
        </is>
      </c>
      <c r="B9" s="25" t="inlineStr">
        <is>
          <t>Fee billed when the minimum payment is not received by the due date.</t>
        </is>
      </c>
    </row>
    <row r="10" ht="90" customHeight="1">
      <c r="A10" s="26" t="inlineStr">
        <is>
          <t>Interchange</t>
        </is>
      </c>
      <c r="B10" s="25"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the book month's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6" t="inlineStr">
        <is>
          <t>Turnover</t>
        </is>
      </c>
      <c r="B11" s="25" t="inlineStr">
        <is>
          <t>Annualized flow in the book month ÷ its average receivables. Purchase turnover uses Mastercard purchase volume (the interchange base); principal turnover uses principal flow (the loss base). They differ only by pay-a-friend transfers.</t>
        </is>
      </c>
    </row>
    <row r="12" ht="45" customHeight="1">
      <c r="A12" s="26" t="inlineStr">
        <is>
          <t>Principal flow</t>
        </is>
      </c>
      <c r="B12" s="25" t="inlineStr">
        <is>
          <t>Calendar-month flow of new receivables: Mastercard purchase volume net of returns plus pay-a-friend transfers (cardholder-to-cardholder transfers charged to the card, which earn no interchange). This is the loss base in the Yield Summary.</t>
        </is>
      </c>
    </row>
    <row r="13" ht="90" customHeight="1">
      <c r="A13" s="26" t="inlineStr">
        <is>
          <t>Principal originated (Loss Rate tab)</t>
        </is>
      </c>
      <c r="B13" s="25"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6" t="inlineStr">
        <is>
          <t>Loss rate</t>
        </is>
      </c>
      <c r="B14" s="25"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6" t="inlineStr">
        <is>
          <t>Loss on receivables</t>
        </is>
      </c>
      <c r="B15" s="25" t="inlineStr">
        <is>
          <t>Loss rate on originated principal × principal turnover (annualized principal flow in the book month ÷ its average receivables). Expresses a loss on amounts lent as an annual charge against the receivables balance, on the same basis as the yields.</t>
        </is>
      </c>
    </row>
    <row r="16" ht="30" customHeight="1">
      <c r="A16" s="26" t="inlineStr">
        <is>
          <t>Net yield</t>
        </is>
      </c>
      <c r="B16" s="25" t="inlineStr">
        <is>
          <t>Gross yield less loss on receivables. Before operating costs, servicing, processing and network costs, funding costs, taxes and FX.</t>
        </is>
      </c>
    </row>
    <row r="17" ht="60" customHeight="1">
      <c r="A17" s="26" t="inlineStr">
        <is>
          <t>Sources</t>
        </is>
      </c>
      <c r="B17" s="25"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as of 27 October 2026). September 2026 is the latest complete month.</t>
        </is>
      </c>
    </row>
    <row r="18" ht="30" customHeight="1">
      <c r="A18" s="26" t="inlineStr">
        <is>
          <t>Prepared</t>
        </is>
      </c>
      <c r="B18" s="25" t="inlineStr">
        <is>
          <t>Zed Financial, October 2026, in connection with the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2026-10-28T23:23:37Z</dcterms:created>
  <dcterms:modified xmlns:dcterms="http://purl.org/dc/terms/" xmlns:xsi="http://www.w3.org/2001/XMLSchema-instance" xsi:type="dcterms:W3CDTF">2026-10-28T23:23:37Z</dcterms:modified>
</cp:coreProperties>
</file>