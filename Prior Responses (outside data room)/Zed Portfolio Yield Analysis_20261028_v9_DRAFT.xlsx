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stevenabraham/apps/zed/debt_dd/Prior Responses (outside data room)/"/>
    </mc:Choice>
  </mc:AlternateContent>
  <xr:revisionPtr revIDLastSave="0" documentId="13_ncr:1_{5773892A-CF09-7748-B69D-658A612EA81F}" xr6:coauthVersionLast="47" xr6:coauthVersionMax="47" xr10:uidLastSave="{00000000-0000-0000-0000-000000000000}"/>
  <bookViews>
    <workbookView xWindow="3780" yWindow="500" windowWidth="49920" windowHeight="25200" activeTab="2" xr2:uid="{00000000-000D-0000-FFFF-FFFF00000000}"/>
  </bookViews>
  <sheets>
    <sheet name="Yield Summary" sheetId="1" r:id="rId1"/>
    <sheet name="Monthly Detail" sheetId="2" r:id="rId2"/>
    <sheet name="Loss Rate" sheetId="3" r:id="rId3"/>
    <sheet name="Notes" sheetId="4" r:id="rId4"/>
  </sheets>
  <definedNames>
    <definedName name="loss_rate_xfpd">'Loss Rate'!$H$14</definedName>
  </definedName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3" l="1"/>
  <c r="H14" i="3" s="1"/>
  <c r="F14" i="3"/>
  <c r="E14" i="3"/>
  <c r="D14" i="3"/>
  <c r="C14" i="3"/>
  <c r="B14" i="3"/>
  <c r="H13" i="3"/>
  <c r="H12" i="3"/>
  <c r="H11" i="3"/>
  <c r="H10" i="3"/>
  <c r="H9" i="3"/>
  <c r="H8" i="3"/>
  <c r="H7" i="3"/>
  <c r="H6" i="3"/>
  <c r="H5" i="3"/>
  <c r="J37" i="2"/>
  <c r="I37" i="2"/>
  <c r="H37" i="2"/>
  <c r="G37" i="2"/>
  <c r="F37" i="2"/>
  <c r="E37" i="2"/>
  <c r="D37" i="2"/>
  <c r="C37" i="2"/>
  <c r="B37" i="2"/>
  <c r="J36" i="2"/>
  <c r="I36" i="2"/>
  <c r="H36" i="2"/>
  <c r="G36" i="2"/>
  <c r="F36" i="2"/>
  <c r="E36" i="2"/>
  <c r="D36" i="2"/>
  <c r="C36" i="2"/>
  <c r="B36" i="2"/>
  <c r="I32" i="2"/>
  <c r="H32" i="2"/>
  <c r="G32" i="2"/>
  <c r="F32" i="2"/>
  <c r="E32" i="2"/>
  <c r="D32" i="2"/>
  <c r="C32" i="2"/>
  <c r="B32" i="2"/>
  <c r="I31" i="2"/>
  <c r="H31" i="2"/>
  <c r="G31" i="2"/>
  <c r="F31" i="2"/>
  <c r="E31" i="2"/>
  <c r="D31" i="2"/>
  <c r="C31" i="2"/>
  <c r="B31" i="2"/>
  <c r="I30" i="2"/>
  <c r="H30" i="2"/>
  <c r="G30" i="2"/>
  <c r="F30" i="2"/>
  <c r="E30" i="2"/>
  <c r="D30" i="2"/>
  <c r="C30" i="2"/>
  <c r="B30" i="2"/>
  <c r="I29" i="2"/>
  <c r="H29" i="2"/>
  <c r="G29" i="2"/>
  <c r="F29" i="2"/>
  <c r="E29" i="2"/>
  <c r="D29" i="2"/>
  <c r="C29" i="2"/>
  <c r="B29" i="2"/>
  <c r="I28" i="2"/>
  <c r="H28" i="2"/>
  <c r="G28" i="2"/>
  <c r="F28" i="2"/>
  <c r="E28" i="2"/>
  <c r="D28" i="2"/>
  <c r="C28" i="2"/>
  <c r="B28" i="2"/>
  <c r="I27" i="2"/>
  <c r="H27" i="2"/>
  <c r="G27" i="2"/>
  <c r="F27" i="2"/>
  <c r="E27" i="2"/>
  <c r="D27" i="2"/>
  <c r="C27" i="2"/>
  <c r="B27" i="2"/>
  <c r="I26" i="2"/>
  <c r="H26" i="2"/>
  <c r="G26" i="2"/>
  <c r="F26" i="2"/>
  <c r="E26" i="2"/>
  <c r="D26" i="2"/>
  <c r="C26" i="2"/>
  <c r="B26" i="2"/>
  <c r="J22" i="2"/>
  <c r="I22" i="2"/>
  <c r="I33" i="2" s="1"/>
  <c r="H22" i="2"/>
  <c r="H33" i="2" s="1"/>
  <c r="G22" i="2"/>
  <c r="G33" i="2" s="1"/>
  <c r="F22" i="2"/>
  <c r="F33" i="2" s="1"/>
  <c r="E22" i="2"/>
  <c r="E33" i="2" s="1"/>
  <c r="D22" i="2"/>
  <c r="D33" i="2" s="1"/>
  <c r="C22" i="2"/>
  <c r="C33" i="2" s="1"/>
  <c r="B22" i="2"/>
  <c r="B33" i="2" s="1"/>
  <c r="K21" i="2"/>
  <c r="K20" i="2"/>
  <c r="K22" i="2" s="1"/>
  <c r="K19" i="2"/>
  <c r="K18" i="2"/>
  <c r="K17" i="2"/>
  <c r="J17" i="2"/>
  <c r="I17" i="2"/>
  <c r="H17" i="2"/>
  <c r="G17" i="2"/>
  <c r="F17" i="2"/>
  <c r="E17" i="2"/>
  <c r="D17" i="2"/>
  <c r="C17" i="2"/>
  <c r="K16" i="2"/>
  <c r="J13" i="2"/>
  <c r="I13" i="2"/>
  <c r="H13" i="2"/>
  <c r="K12" i="2"/>
  <c r="K11" i="2"/>
  <c r="J10" i="2"/>
  <c r="I10" i="2"/>
  <c r="H10" i="2"/>
  <c r="G10" i="2"/>
  <c r="F10" i="2"/>
  <c r="E10" i="2"/>
  <c r="D10" i="2"/>
  <c r="C10" i="2"/>
  <c r="B10" i="2"/>
  <c r="K9" i="2"/>
  <c r="K8" i="2"/>
  <c r="K7" i="2"/>
  <c r="K6" i="2"/>
  <c r="K5" i="2"/>
  <c r="K10" i="2" s="1"/>
  <c r="H22" i="1"/>
  <c r="I23" i="1" s="1"/>
  <c r="F22" i="1"/>
  <c r="G23" i="1" s="1"/>
  <c r="D22" i="1"/>
  <c r="E23" i="1" s="1"/>
  <c r="B22" i="1"/>
  <c r="C23" i="1" s="1"/>
  <c r="H16" i="1"/>
  <c r="I16" i="1" s="1"/>
  <c r="F16" i="1"/>
  <c r="G16" i="1" s="1"/>
  <c r="D16" i="1"/>
  <c r="E16" i="1" s="1"/>
  <c r="B16" i="1"/>
  <c r="C16" i="1" s="1"/>
  <c r="H15" i="1"/>
  <c r="I15" i="1" s="1"/>
  <c r="F15" i="1"/>
  <c r="G15" i="1" s="1"/>
  <c r="D15" i="1"/>
  <c r="E15" i="1" s="1"/>
  <c r="B15" i="1"/>
  <c r="C15" i="1" s="1"/>
  <c r="H13" i="1"/>
  <c r="I13" i="1" s="1"/>
  <c r="F13" i="1"/>
  <c r="G13" i="1" s="1"/>
  <c r="D13" i="1"/>
  <c r="E13" i="1" s="1"/>
  <c r="B13" i="1"/>
  <c r="C13" i="1" s="1"/>
  <c r="H12" i="1"/>
  <c r="I12" i="1" s="1"/>
  <c r="F12" i="1"/>
  <c r="G12" i="1" s="1"/>
  <c r="D12" i="1"/>
  <c r="E12" i="1" s="1"/>
  <c r="B12" i="1"/>
  <c r="C12" i="1" s="1"/>
  <c r="H11" i="1"/>
  <c r="F11" i="1"/>
  <c r="D11" i="1"/>
  <c r="B11" i="1"/>
  <c r="H10" i="1"/>
  <c r="H18" i="1" s="1"/>
  <c r="F10" i="1"/>
  <c r="F18" i="1" s="1"/>
  <c r="D10" i="1"/>
  <c r="D18" i="1" s="1"/>
  <c r="B10" i="1"/>
  <c r="H7" i="1"/>
  <c r="F7" i="1"/>
  <c r="D7" i="1"/>
  <c r="B7" i="1"/>
  <c r="C8" i="1" s="1"/>
  <c r="H5" i="1"/>
  <c r="H29" i="1" s="1"/>
  <c r="F5" i="1"/>
  <c r="F29" i="1" s="1"/>
  <c r="D5" i="1"/>
  <c r="D29" i="1" s="1"/>
  <c r="B5" i="1"/>
  <c r="B29" i="1" s="1"/>
  <c r="G24" i="1" l="1"/>
  <c r="G25" i="1" s="1"/>
  <c r="I24" i="1"/>
  <c r="I25" i="1" s="1"/>
  <c r="C24" i="1"/>
  <c r="C25" i="1" s="1"/>
  <c r="E24" i="1"/>
  <c r="E25" i="1" s="1"/>
  <c r="K36" i="2"/>
  <c r="K13" i="2"/>
  <c r="K37" i="2"/>
  <c r="H19" i="1"/>
  <c r="I11" i="1"/>
  <c r="F19" i="1"/>
  <c r="G11" i="1"/>
  <c r="D19" i="1"/>
  <c r="E11" i="1"/>
  <c r="B19" i="1"/>
  <c r="C19" i="1" s="1"/>
  <c r="C11" i="1"/>
  <c r="C9" i="1"/>
  <c r="C10" i="1" s="1"/>
  <c r="C18" i="1" s="1"/>
  <c r="C20" i="1" s="1"/>
  <c r="B18" i="1"/>
  <c r="B20" i="1" s="1"/>
  <c r="B30" i="1" s="1"/>
  <c r="I8" i="1"/>
  <c r="I9" i="1"/>
  <c r="I10" i="1" s="1"/>
  <c r="I18" i="1" s="1"/>
  <c r="G9" i="1"/>
  <c r="G8" i="1"/>
  <c r="E8" i="1"/>
  <c r="E9" i="1"/>
  <c r="E10" i="1" s="1"/>
  <c r="E18" i="1" s="1"/>
  <c r="H20" i="1" l="1"/>
  <c r="H30" i="1" s="1"/>
  <c r="I19" i="1"/>
  <c r="I20" i="1" s="1"/>
  <c r="I27" i="1" s="1"/>
  <c r="F20" i="1"/>
  <c r="F30" i="1" s="1"/>
  <c r="G19" i="1"/>
  <c r="D20" i="1"/>
  <c r="D30" i="1" s="1"/>
  <c r="E19" i="1"/>
  <c r="E20" i="1" s="1"/>
  <c r="E27" i="1" s="1"/>
  <c r="G10" i="1"/>
  <c r="G18" i="1" s="1"/>
  <c r="G20" i="1" s="1"/>
  <c r="G27" i="1" s="1"/>
  <c r="C27" i="1"/>
</calcChain>
</file>

<file path=xl/sharedStrings.xml><?xml version="1.0" encoding="utf-8"?>
<sst xmlns="http://schemas.openxmlformats.org/spreadsheetml/2006/main" count="158" uniqueCount="129">
  <si>
    <t>Zed — Portfolio yield on receivables</t>
  </si>
  <si>
    <t>Each column is a book: a month's average receivables and what that capital earned and lost. The product works in two steps — a purchase earns interchange the day it settles and, if converted, its upfront fee and installment charges on the statements that follow; it earns revolving interest only after it has been billed and left unpaid past the due date, i.e. in the following month, which is also when a missed payment draws a late fee. So each book carries its own month's interchange, upfront fees and installment charges, the following month's revolving interest and late fees, and the loss rate on the principal it lent. Annualized, PHP, before operating, servicing and funding costs.</t>
  </si>
  <si>
    <t>Book — the month's receivables and what they earned (interest and late fees arrive the following month)</t>
  </si>
  <si>
    <t>Jun 2026</t>
  </si>
  <si>
    <t>Annualized</t>
  </si>
  <si>
    <t>Jul 2026</t>
  </si>
  <si>
    <t>Aug 2026</t>
  </si>
  <si>
    <t>Jun–Aug 2026</t>
  </si>
  <si>
    <t>Notes</t>
  </si>
  <si>
    <t>Average receivables of the book month (denominator)</t>
  </si>
  <si>
    <t>The capital employed; the quarter averages the three months.</t>
  </si>
  <si>
    <t>Earned as the balance is created — the book month's purchases, conversions and statements</t>
  </si>
  <si>
    <t>Purchase volume settled</t>
  </si>
  <si>
    <t>Mastercard purchases in the month, net of returns.</t>
  </si>
  <si>
    <t>Purchase turnover</t>
  </si>
  <si>
    <t>Annualized purchases ÷ receivables: how often the book is re-spent</t>
  </si>
  <si>
    <t>Interchange rate on purchase volume</t>
  </si>
  <si>
    <t>Set by Mastercard by merchant category and domestic/foreign</t>
  </si>
  <si>
    <t>Interchange income</t>
  </si>
  <si>
    <t>Rate × turnover</t>
  </si>
  <si>
    <t>Installments</t>
  </si>
  <si>
    <t>Upfront fees + installment interest</t>
  </si>
  <si>
    <t>Installment upfront fees</t>
  </si>
  <si>
    <t>0.5% × term in months, billed at conversion.</t>
  </si>
  <si>
    <t>Installment interest</t>
  </si>
  <si>
    <t>1% of plan per month of term (3% on 3 months); one charge per statement, from the first after conversion</t>
  </si>
  <si>
    <t>Earned the following month — charged on the balance billed at the end of the book month</t>
  </si>
  <si>
    <t>Revolving interest (accrued)</t>
  </si>
  <si>
    <t>3%/month (BSP cap) on billed balances unpaid past due date; no interest until a purchase is statemented</t>
  </si>
  <si>
    <t>Late payment fees</t>
  </si>
  <si>
    <t>Charged when the book month's statement is not paid by its due date.</t>
  </si>
  <si>
    <t>Gross yield</t>
  </si>
  <si>
    <t>Interchange</t>
  </si>
  <si>
    <t>Interest and fees</t>
  </si>
  <si>
    <t>Installments + revolving interest + late fees</t>
  </si>
  <si>
    <t>Gross yield — all revenue</t>
  </si>
  <si>
    <t>Amount: revenue attributable to the book.</t>
  </si>
  <si>
    <t>Loss on the principal the book lent</t>
  </si>
  <si>
    <t>Principal flow (purchase volume + pay-a-friend transfers)</t>
  </si>
  <si>
    <t>Everything that became a receivable in the month; pay-a-friend transfers earn no interchange.</t>
  </si>
  <si>
    <t>Principal turnover</t>
  </si>
  <si>
    <t>Annualized principal flow ÷ receivables</t>
  </si>
  <si>
    <t>Loss rate on originated principal — ≥90 DPD, excluding first-payment defaults</t>
  </si>
  <si>
    <t>Loss Rate tab: 90+ DPD ÷ principal seasoned 90 days, vintages since Jan 2026, ex-FPD, before recoveries</t>
  </si>
  <si>
    <t>Loss on receivables</t>
  </si>
  <si>
    <t>Loss rate × principal turnover</t>
  </si>
  <si>
    <t>Net yield</t>
  </si>
  <si>
    <t>Net yield — all revenue less loss on receivables</t>
  </si>
  <si>
    <t>Before operating, servicing and funding costs.</t>
  </si>
  <si>
    <t>Memo — USD at 55.8</t>
  </si>
  <si>
    <t>Average receivables of the book month (USD)</t>
  </si>
  <si>
    <t>Revenue attributable to the book (USD)</t>
  </si>
  <si>
    <t>Monthly revenue, receivables and originations — January to September 2026</t>
  </si>
  <si>
    <t>PHP. Revenue is recognised in the month billed (interest and fees) or settled (interchange). Yields are annualized simply: month ÷ average receivables × 12.</t>
  </si>
  <si>
    <t>Line</t>
  </si>
  <si>
    <t>Jan 2026</t>
  </si>
  <si>
    <t>Feb 2026</t>
  </si>
  <si>
    <t>Mar 2026</t>
  </si>
  <si>
    <t>Apr 2026</t>
  </si>
  <si>
    <t>May 2026</t>
  </si>
  <si>
    <t>Sep 2026</t>
  </si>
  <si>
    <t>Jul–Sep 2026</t>
  </si>
  <si>
    <t>Revolving interest</t>
  </si>
  <si>
    <t>Total revenue — billed basis (ties to management reporting)</t>
  </si>
  <si>
    <t>Revolving interest — accrued (calendar month)</t>
  </si>
  <si>
    <t>Installment interest — allocated across cycle days (calendar month)</t>
  </si>
  <si>
    <t>Total revenue — accrual basis (used in Yield Summary)</t>
  </si>
  <si>
    <t>Balances and volumes</t>
  </si>
  <si>
    <t>Average receivables outstanding</t>
  </si>
  <si>
    <t>Average receivables outstanding, prior month (reference)</t>
  </si>
  <si>
    <t>Receivables outstanding, end of month</t>
  </si>
  <si>
    <t>Principal originated, statement-month basis (base on which the loss rate is measured)</t>
  </si>
  <si>
    <t>Purchase volume settled (Mastercard, net of returns)</t>
  </si>
  <si>
    <t>Pay-a-friend transfers (cardholder-to-cardholder, charged to the card; no interchange)</t>
  </si>
  <si>
    <t>Principal flow (purchase volume + pay-a-friend) — calendar-month loss base</t>
  </si>
  <si>
    <t>Annualized yields by book month — interchange and upfront fees earned when the month's balance was created, installment charges billed on the month's statements, and the revolving interest and late fees charged on it the following month, ÷ that month's average receivables</t>
  </si>
  <si>
    <t>Months in period</t>
  </si>
  <si>
    <t>Revolving interest and late fees charged the following month</t>
  </si>
  <si>
    <t>Installment interest (billed with each installment on the book month's statements)</t>
  </si>
  <si>
    <t>Installment upfront fees (at conversion, same month)</t>
  </si>
  <si>
    <t>Purchase turnover (annualized purchase volume ÷ average receivables)</t>
  </si>
  <si>
    <t>Interchange (rate × purchase turnover, same month)</t>
  </si>
  <si>
    <t>Principal turnover (annualized principal flow ÷ average receivables)</t>
  </si>
  <si>
    <t>Reference — conventional basis: all of a month's revenue over that month's own average receivables</t>
  </si>
  <si>
    <t>Installment plans scaled from March 2026 and revolving interest was introduced with the June 2026 statement cycle, so July–September 2026 is the first quarter with every revenue line in place. Earlier months are shown for completeness on the billed basis. Accrued interest allocates each statement cycle's interest across the calendar days it covers (half the book statements on the 14th, so those cycles straddle two months); it is shown for July–September, where the October 14 cycle is available to complete September. Yields are by book month: a month's balance earns interchange and upfront fees when it is created (that month's purchases and conversions), installment charges on the statements closing in the month (1% of the original plan amount per installment, for every plan outstanding at the close), and revolving interest and late fees the following month (charged on the balance billed at month end, net of payments). The conventional basis is shown for reference; the two coincide when the book is not growing.</t>
  </si>
  <si>
    <t>Loss rate on originated principal — 90+ days past due, vintages since January 2026</t>
  </si>
  <si>
    <t>PHP. Each row is the principal originated in that month and how much of it sits on an account 90 or more days past due today (data as of 27 October 2026). Vintages begin January 2026, the first full month after the current underwriting model was introduced (December 2025).</t>
  </si>
  <si>
    <t>Origination month</t>
  </si>
  <si>
    <t>Accounts</t>
  </si>
  <si>
    <t>Principal originated</t>
  </si>
  <si>
    <t>Seasoned principal (due ≥90 days ago)</t>
  </si>
  <si>
    <t>Excluded: FPD principal 90+ DPD</t>
  </si>
  <si>
    <t>Denominator: seasoned, ex-FPD</t>
  </si>
  <si>
    <t>Numerator: 90+ DPD, ex-FPD</t>
  </si>
  <si>
    <t>Loss rate</t>
  </si>
  <si>
    <t>Since January 2026 (all vintages above)</t>
  </si>
  <si>
    <t>How to read this table</t>
  </si>
  <si>
    <t>• Loss measure. Principal on accounts 90 or more days past due is used as the proxy for loss. Zed fully provisions at 180 days past due and has not yet written off any balances, so no recoveries are assumed and nothing has been reduced for cash collected after an account went delinquent. Interest and fees are excluded from both numerator and denominator.</t>
  </si>
  <si>
    <t>• Seasoning. The denominator counts only principal whose statement due date is at least 90 days in the past, so the rate is measured on principal that has had the chance to reach 90 days past due. On this basis the July–September 2026 vintages are not yet measurable and are shown for completeness.</t>
  </si>
  <si>
    <t>• Why January 2026. The current underwriting model (V2) was deployed in December 2025 and is the model that originates the portfolio today; earlier vintages were originated under the prior model.</t>
  </si>
  <si>
    <t>Definitions and sources</t>
  </si>
  <si>
    <t>Item</t>
  </si>
  <si>
    <t>Definition</t>
  </si>
  <si>
    <t>Scope</t>
  </si>
  <si>
    <t>Zed's Philippine credit card receivables, all cardholders. Yield Summary covers the June, July and August 2026 books and the three together — the books whose interest was earned in July–September 2026, the first quarter with every revenue line in place (installment plans scaled from March 2026; revolving interest introduced with the June 2026 cycle). Monthly Detail shows January–September 2026. All figures in PHP unless marked USD (converted at 55.8 for reference only).</t>
  </si>
  <si>
    <t>Book month (yield basis)</t>
  </si>
  <si>
    <t>Yields are measured by book month: the month's average receivables outstanding (principal, interest and fees billed to cardholders, plus installment principal not yet billed) are the capital employed, and the revenue attributed to them is what that capital earned — interchange and upfront fees when the balance was created (that month's purchases and conversions), installment charges on the month's statements (a fixed charge per installment for every plan outstanding at the close), and revolving interest and late fees the following month, because revolving interest is charged on the balance billed at month end, net of payments (adjusted daily balance), and a purchase earns no interest until it has been statemented. Losses are the loss rate on the principal the month lent. The June, July and August 2026 books are shown — the books whose interest arrived in July–September, the first quarter with every revenue line in place — and the three together, where the denominator is the average of the three months. The conventional basis (a month's revenue over that month's own average receivables) is shown for reference; the two coincide when the book is not growing and differ by roughly the monthly growth rate while it is.</t>
  </si>
  <si>
    <t>Annualization</t>
  </si>
  <si>
    <t>Simple: monthly amount ÷ the book month's average receivables × 12. No compounding.</t>
  </si>
  <si>
    <t>Finance charge on billed balances not paid in full by the due date; 3% per month, the BSP ceiling. Under the BSP's credit card rules interest is charged only on billed balances, so purchases earn no interest until they are statemented, and balances paid within the grace period never do. Launched with the statement cycle closing 30 June 2026. Yield Summary uses an accrual basis: each statement cycle's interest is allocated evenly across the calendar days the cycle covers (cycles close on the 14th and on the last day of the month); Monthly Detail carries the billed basis, which ties to management reporting.</t>
  </si>
  <si>
    <t>Installment interest and upfront fees</t>
  </si>
  <si>
    <t>Installment interest is 1% of the original plan amount per installment (add-on), billed together with the principal installment on every statement closing while the plan is outstanding, starting with the first statement after conversion; on the declining balance it is about 1.5% per month. The upfront conversion fee is 0.5% per month of term, billed when a purchase is converted. Both are attributed to the book month: the fee to the month of conversion, the interest to the month whose statements carried the installment (14th-close statements allocated across their cycle days).</t>
  </si>
  <si>
    <t>Fee billed when the minimum payment is not received by the due date.</t>
  </si>
  <si>
    <t>Interchange received from Mastercard on cardholder purchases, gross (network and processing costs are not netted). Interchange is earned when a purchase settles, not on balances, so its yield on receivables is shown as interchange rate on purchase volume × purchase turnover (annualized purchase volume ÷ the book month's average receivables) — the same construction as the loss line. Mastercard settles the merchant net of interchange and the cardholder is billed the full purchase amount, so the interchange margin is collected as part of the cardholder's payment.</t>
  </si>
  <si>
    <t>Turnover</t>
  </si>
  <si>
    <t>Annualized flow in the book month ÷ its average receivables. Purchase turnover uses Mastercard purchase volume (the interchange base); principal turnover uses principal flow (the loss base). They differ only by pay-a-friend transfers.</t>
  </si>
  <si>
    <t>Principal flow</t>
  </si>
  <si>
    <t>Calendar-month flow of new receivables: Mastercard purchase volume net of returns plus pay-a-friend transfers (cardholder-to-cardholder transfers charged to the card, which earn no interchange). This is the loss base in the Yield Summary.</t>
  </si>
  <si>
    <t>Principal originated (Loss Rate tab)</t>
  </si>
  <si>
    <t>The same quantity measured by statement month: charges on statements closing in the month (cycles close on the 14th and the last day), net of refunds, chargebacks and cancelled installment-plan re-bookings. The loss rate is measured on this basis because delinquency is tracked by statement; a statement month covers roughly the second half of the prior calendar month and the first half of the current one, so individual months differ from the calendar flow by timing while the two agree over longer windows (Jan–Sep 2026: ₱1,025M vs ₱1,035M).</t>
  </si>
  <si>
    <t>Principal on accounts 90 or more days past due today, divided by originated principal on statements whose due date is at least 90 days old, for origination months January–September 2026 (in practice January–June, the vintages old enough to be measured), excluding first-payment-default accounts from both numerator and denominator. The window, the seasoning rule and the FPD definition are set out on the Loss Rate tab, which also shows the FPD principal excluded. Gross of recoveries; no balances have been written off to date (full provision at 180 DPD).</t>
  </si>
  <si>
    <t>Loss rate on originated principal × principal turnover (annualized principal flow in the book month ÷ its average receivables). Expresses a loss on amounts lent as an annual charge against the receivables balance, on the same basis as the yields.</t>
  </si>
  <si>
    <t>Gross yield less loss on receivables. Before operating costs, servicing, processing and network costs, funding costs, taxes and FX.</t>
  </si>
  <si>
    <t>Sources</t>
  </si>
  <si>
    <t>Zed management reporting built from the i2c transaction and settlement extracts (revenue, receivables, purchase volume; as of 26 October 2026), the processor transaction feed (pay-a-friend transfers) and Zed's statement and delinquency data (originations, delinquency by origination month; as of 27 October 2026). September 2026 is the latest complete month.</t>
  </si>
  <si>
    <t>Prepared</t>
  </si>
  <si>
    <t>Zed Financial, October 2026, in connection with the evaluation of a receivables facility.</t>
  </si>
  <si>
    <t>• First-payment defaults (FPD). An account whose first statement was never paid: the cardholder spent, was billed once and made no payment at all. These are fraud and identity cases rather than credit decisions that went wrong, and they are excluded from the loss rate; the principal excluded is shown in column E so the adjustment is visible. The reason for the exclusion is exposure: a receivable whose account defaults on its first statement fails standard eligibility criteria (first-payment default / fraud) and is repurchased by the originator, so losses of this kind stay with Zed and do not reach the facility. The rate therefore measures what a facility pool would actually experience.</t>
  </si>
  <si>
    <t>• Fraud controls and their timing. Basic duplicate-applicant checks have been part of decisioning since May 2026 and the first set of major improvements to our second generation credit model were released on 5 May 2026 (v2.1). Version 2.1 sharply reduced uncoordinated first-payment default on new accounts: first-payment defaults fell from 1.2–1.5% of cards issued in February–April 2026 to 0.4% of cards issued in May–August. On 24 October 2026 Zed deployed a full suite of fraud-signal policies, informed by its review of first-payment defaults: bank account numbers shared across applicants, repeated selfie or ID images, invite-name mismatches, business-owner income verification and past-due bureau tradelines.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</si>
</sst>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quot;x&quot;"/>
  </numFmts>
  <fonts count="5" x14ac:knownFonts="1">
    <font>
      <sz val="11"/>
      <color theme="1"/>
      <name val="Calibri"/>
      <family val="2"/>
      <scheme val="minor"/>
    </font>
    <font>
      <b/>
      <sz val="14"/>
      <name val="Calibri"/>
      <family val="2"/>
    </font>
    <font>
      <i/>
      <sz val="11"/>
      <color rgb="FF555555"/>
      <name val="Calibri"/>
      <family val="2"/>
    </font>
    <font>
      <b/>
      <sz val="11"/>
      <color rgb="FFFFFFFF"/>
      <name val="Calibri"/>
      <family val="2"/>
    </font>
    <font>
      <b/>
      <sz val="11"/>
      <name val="Calibri"/>
      <family val="2"/>
    </font>
  </fonts>
  <fills count="5">
    <fill>
      <patternFill patternType="none"/>
    </fill>
    <fill>
      <patternFill patternType="gray125"/>
    </fill>
    <fill>
      <patternFill patternType="solid">
        <fgColor rgb="FF1F3A5F"/>
      </patternFill>
    </fill>
    <fill>
      <patternFill patternType="solid">
        <fgColor rgb="FFE8EEF5"/>
      </patternFill>
    </fill>
    <fill>
      <patternFill patternType="solid">
        <fgColor rgb="FFFFF4CC"/>
      </patternFill>
    </fill>
  </fills>
  <borders count="2">
    <border>
      <left/>
      <right/>
      <top/>
      <bottom/>
      <diagonal/>
    </border>
    <border>
      <left/>
      <right/>
      <top style="thin">
        <color rgb="FFBBBBBB"/>
      </top>
      <bottom/>
      <diagonal/>
    </border>
  </borders>
  <cellStyleXfs count="1">
    <xf numFmtId="0" fontId="0" fillId="0" borderId="0"/>
  </cellStyleXfs>
  <cellXfs count="29">
    <xf numFmtId="0" fontId="0" fillId="0" borderId="0" xfId="0"/>
    <xf numFmtId="0" fontId="1" fillId="0" borderId="0" xfId="0" applyFont="1"/>
    <xf numFmtId="0" fontId="0" fillId="2" borderId="0" xfId="0" applyFill="1"/>
    <xf numFmtId="0" fontId="3" fillId="2" borderId="0" xfId="0" applyFont="1" applyFill="1" applyAlignment="1">
      <alignment horizontal="left" vertical="center" wrapText="1"/>
    </xf>
    <xf numFmtId="0" fontId="3" fillId="2" borderId="0" xfId="0" applyFont="1" applyFill="1" applyAlignment="1">
      <alignment horizontal="right" vertical="center" wrapText="1"/>
    </xf>
    <xf numFmtId="0" fontId="4" fillId="0" borderId="0" xfId="0" applyFont="1"/>
    <xf numFmtId="3" fontId="4" fillId="0" borderId="0" xfId="0" applyNumberFormat="1" applyFont="1"/>
    <xf numFmtId="0" fontId="0" fillId="0" borderId="0" xfId="0" applyAlignment="1">
      <alignment vertical="center"/>
    </xf>
    <xf numFmtId="0" fontId="4" fillId="3" borderId="0" xfId="0" applyFont="1" applyFill="1"/>
    <xf numFmtId="0" fontId="0" fillId="3" borderId="0" xfId="0" applyFill="1"/>
    <xf numFmtId="3" fontId="0" fillId="0" borderId="0" xfId="0" applyNumberFormat="1"/>
    <xf numFmtId="165" fontId="0" fillId="0" borderId="0" xfId="0" applyNumberFormat="1"/>
    <xf numFmtId="10" fontId="0" fillId="0" borderId="0" xfId="0" applyNumberFormat="1"/>
    <xf numFmtId="164" fontId="4" fillId="0" borderId="0" xfId="0" applyNumberFormat="1" applyFont="1"/>
    <xf numFmtId="0" fontId="0" fillId="0" borderId="0" xfId="0" applyAlignment="1">
      <alignment indent="1"/>
    </xf>
    <xf numFmtId="164" fontId="0" fillId="0" borderId="0" xfId="0" applyNumberFormat="1"/>
    <xf numFmtId="0" fontId="4" fillId="0" borderId="1" xfId="0" applyFont="1" applyBorder="1"/>
    <xf numFmtId="3" fontId="4" fillId="0" borderId="1" xfId="0" applyNumberFormat="1" applyFont="1" applyBorder="1"/>
    <xf numFmtId="164" fontId="4" fillId="0" borderId="1" xfId="0" applyNumberFormat="1" applyFont="1" applyBorder="1"/>
    <xf numFmtId="0" fontId="0" fillId="0" borderId="1" xfId="0" applyBorder="1" applyAlignment="1">
      <alignment vertical="center"/>
    </xf>
    <xf numFmtId="0" fontId="2" fillId="0" borderId="0" xfId="0" applyFont="1"/>
    <xf numFmtId="10" fontId="4" fillId="4" borderId="1" xfId="0" applyNumberFormat="1" applyFont="1" applyFill="1" applyBorder="1"/>
    <xf numFmtId="0" fontId="0" fillId="0" borderId="0" xfId="0" applyAlignment="1">
      <alignment vertical="top" wrapText="1"/>
    </xf>
    <xf numFmtId="0" fontId="4" fillId="0" borderId="0" xfId="0" applyFont="1" applyAlignment="1">
      <alignment vertical="top"/>
    </xf>
    <xf numFmtId="0" fontId="3" fillId="2" borderId="0" xfId="0" applyFont="1" applyFill="1" applyAlignment="1">
      <alignment horizontal="center" vertical="center"/>
    </xf>
    <xf numFmtId="0" fontId="0" fillId="0" borderId="0" xfId="0"/>
    <xf numFmtId="0" fontId="2"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0"/>
  <sheetViews>
    <sheetView showGridLines="0"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58" customWidth="1"/>
    <col min="2" max="2" width="15" customWidth="1"/>
    <col min="3" max="3" width="12" customWidth="1"/>
    <col min="4" max="4" width="15" customWidth="1"/>
    <col min="5" max="5" width="12" customWidth="1"/>
    <col min="6" max="6" width="15" customWidth="1"/>
    <col min="7" max="7" width="12" customWidth="1"/>
    <col min="8" max="8" width="15" customWidth="1"/>
    <col min="9" max="9" width="12" customWidth="1"/>
    <col min="10" max="10" width="110" customWidth="1"/>
  </cols>
  <sheetData>
    <row r="1" spans="1:10" ht="19" x14ac:dyDescent="0.25">
      <c r="A1" s="1" t="s">
        <v>0</v>
      </c>
    </row>
    <row r="2" spans="1:10" ht="60" customHeight="1" x14ac:dyDescent="0.2">
      <c r="A2" s="26" t="s">
        <v>1</v>
      </c>
      <c r="B2" s="25"/>
      <c r="C2" s="25"/>
      <c r="D2" s="25"/>
      <c r="E2" s="25"/>
      <c r="F2" s="25"/>
      <c r="G2" s="25"/>
      <c r="H2" s="25"/>
      <c r="I2" s="25"/>
      <c r="J2" s="25"/>
    </row>
    <row r="3" spans="1:10" ht="18" customHeight="1" x14ac:dyDescent="0.2">
      <c r="A3" s="2"/>
      <c r="B3" s="24" t="s">
        <v>2</v>
      </c>
      <c r="C3" s="25"/>
      <c r="D3" s="25"/>
      <c r="E3" s="25"/>
      <c r="F3" s="25"/>
      <c r="G3" s="25"/>
      <c r="H3" s="25"/>
      <c r="I3" s="25"/>
      <c r="J3" s="2"/>
    </row>
    <row r="4" spans="1:10" ht="20" customHeight="1" x14ac:dyDescent="0.2">
      <c r="A4" s="3"/>
      <c r="B4" s="4" t="s">
        <v>3</v>
      </c>
      <c r="C4" s="4" t="s">
        <v>4</v>
      </c>
      <c r="D4" s="4" t="s">
        <v>5</v>
      </c>
      <c r="E4" s="4" t="s">
        <v>4</v>
      </c>
      <c r="F4" s="4" t="s">
        <v>6</v>
      </c>
      <c r="G4" s="4" t="s">
        <v>4</v>
      </c>
      <c r="H4" s="4" t="s">
        <v>7</v>
      </c>
      <c r="I4" s="4" t="s">
        <v>4</v>
      </c>
      <c r="J4" s="3" t="s">
        <v>8</v>
      </c>
    </row>
    <row r="5" spans="1:10" ht="18" customHeight="1" x14ac:dyDescent="0.2">
      <c r="A5" s="5" t="s">
        <v>9</v>
      </c>
      <c r="B5" s="6">
        <f>'Monthly Detail'!G16</f>
        <v>143946231.47</v>
      </c>
      <c r="C5" s="5"/>
      <c r="D5" s="6">
        <f>'Monthly Detail'!H16</f>
        <v>158604610.965</v>
      </c>
      <c r="E5" s="5"/>
      <c r="F5" s="6">
        <f>'Monthly Detail'!I16</f>
        <v>176625299.91999999</v>
      </c>
      <c r="G5" s="5"/>
      <c r="H5" s="6">
        <f>AVERAGE('Monthly Detail'!G16:I16)</f>
        <v>159725380.785</v>
      </c>
      <c r="I5" s="5"/>
      <c r="J5" s="7" t="s">
        <v>10</v>
      </c>
    </row>
    <row r="6" spans="1:10" ht="18" customHeight="1" x14ac:dyDescent="0.2">
      <c r="A6" s="8" t="s">
        <v>11</v>
      </c>
      <c r="B6" s="9"/>
      <c r="C6" s="9"/>
      <c r="D6" s="9"/>
      <c r="E6" s="9"/>
      <c r="F6" s="9"/>
      <c r="G6" s="9"/>
      <c r="H6" s="9"/>
      <c r="I6" s="9"/>
      <c r="J6" s="9"/>
    </row>
    <row r="7" spans="1:10" ht="18" customHeight="1" x14ac:dyDescent="0.2">
      <c r="A7" t="s">
        <v>12</v>
      </c>
      <c r="B7" s="10">
        <f>'Monthly Detail'!G20</f>
        <v>137145988.384</v>
      </c>
      <c r="D7" s="10">
        <f>'Monthly Detail'!H20</f>
        <v>127249656.88</v>
      </c>
      <c r="F7" s="10">
        <f>'Monthly Detail'!I20</f>
        <v>130388896.484</v>
      </c>
      <c r="H7" s="10">
        <f>'Monthly Detail'!G20+'Monthly Detail'!H20+'Monthly Detail'!I20</f>
        <v>394784541.74800003</v>
      </c>
      <c r="J7" s="7" t="s">
        <v>13</v>
      </c>
    </row>
    <row r="8" spans="1:10" ht="18" customHeight="1" x14ac:dyDescent="0.2">
      <c r="A8" t="s">
        <v>14</v>
      </c>
      <c r="C8" s="11">
        <f>B7*12/B$5</f>
        <v>11.433101400441963</v>
      </c>
      <c r="E8" s="11">
        <f>D7*12/D$5</f>
        <v>9.6276890896757656</v>
      </c>
      <c r="G8" s="11">
        <f>F7*12/F$5</f>
        <v>8.8586785614331269</v>
      </c>
      <c r="I8" s="11">
        <f>H7*4/H$5</f>
        <v>9.8865825783668999</v>
      </c>
      <c r="J8" s="7" t="s">
        <v>15</v>
      </c>
    </row>
    <row r="9" spans="1:10" ht="18" customHeight="1" x14ac:dyDescent="0.2">
      <c r="A9" t="s">
        <v>16</v>
      </c>
      <c r="C9" s="12">
        <f>B10/B7</f>
        <v>1.4314630224569034E-2</v>
      </c>
      <c r="E9" s="12">
        <f>D10/D7</f>
        <v>1.4235360560604444E-2</v>
      </c>
      <c r="G9" s="12">
        <f>F10/F7</f>
        <v>1.4512049622447712E-2</v>
      </c>
      <c r="I9" s="12">
        <f>H10/H7</f>
        <v>1.4354282891373403E-2</v>
      </c>
      <c r="J9" s="7" t="s">
        <v>17</v>
      </c>
    </row>
    <row r="10" spans="1:10" ht="18" customHeight="1" x14ac:dyDescent="0.2">
      <c r="A10" s="5" t="s">
        <v>18</v>
      </c>
      <c r="B10" s="6">
        <f>'Monthly Detail'!G9</f>
        <v>1963194.1105</v>
      </c>
      <c r="C10" s="13">
        <f>C9*C8</f>
        <v>0.16366061886732908</v>
      </c>
      <c r="D10" s="6">
        <f>'Monthly Detail'!H9</f>
        <v>1811444.7468999999</v>
      </c>
      <c r="E10" s="13">
        <f>E9*E8</f>
        <v>0.1370536255569321</v>
      </c>
      <c r="F10" s="6">
        <f>'Monthly Detail'!I9</f>
        <v>1892210.1359920059</v>
      </c>
      <c r="G10" s="13">
        <f>G9*G8</f>
        <v>0.12855758287283126</v>
      </c>
      <c r="H10" s="6">
        <f>'Monthly Detail'!G9+'Monthly Detail'!H9+'Monthly Detail'!I9</f>
        <v>5666848.9933920056</v>
      </c>
      <c r="I10" s="13">
        <f>I9*I8</f>
        <v>0.14191480315880234</v>
      </c>
      <c r="J10" s="7" t="s">
        <v>19</v>
      </c>
    </row>
    <row r="11" spans="1:10" ht="18" customHeight="1" x14ac:dyDescent="0.2">
      <c r="A11" s="5" t="s">
        <v>20</v>
      </c>
      <c r="B11" s="6">
        <f>B12+B13</f>
        <v>718535.54</v>
      </c>
      <c r="C11" s="13">
        <f>B11*12/B$5</f>
        <v>5.9900328004050665E-2</v>
      </c>
      <c r="D11" s="6">
        <f>D12+D13</f>
        <v>721158.12999999989</v>
      </c>
      <c r="E11" s="13">
        <f>D11*12/D$5</f>
        <v>5.4562711054533551E-2</v>
      </c>
      <c r="F11" s="6">
        <f>F12+F13</f>
        <v>808658.29</v>
      </c>
      <c r="G11" s="13">
        <f>F11*12/F$5</f>
        <v>5.4940597323233135E-2</v>
      </c>
      <c r="H11" s="6">
        <f>H12+H13</f>
        <v>2248351.96</v>
      </c>
      <c r="I11" s="13">
        <f>H11*4/H$5</f>
        <v>5.6305439973285583E-2</v>
      </c>
      <c r="J11" s="7" t="s">
        <v>21</v>
      </c>
    </row>
    <row r="12" spans="1:10" ht="18" customHeight="1" x14ac:dyDescent="0.2">
      <c r="A12" s="14" t="s">
        <v>22</v>
      </c>
      <c r="B12" s="10">
        <f>'Monthly Detail'!G7</f>
        <v>337749.34</v>
      </c>
      <c r="C12" s="15">
        <f>B12*12/B$5</f>
        <v>2.8156291683431037E-2</v>
      </c>
      <c r="D12" s="10">
        <f>'Monthly Detail'!H7</f>
        <v>290513.46999999997</v>
      </c>
      <c r="E12" s="15">
        <f>D12*12/D$5</f>
        <v>2.1980203594265658E-2</v>
      </c>
      <c r="F12" s="10">
        <f>'Monthly Detail'!I7</f>
        <v>341458.41</v>
      </c>
      <c r="G12" s="15">
        <f>F12*12/F$5</f>
        <v>2.3198833473210841E-2</v>
      </c>
      <c r="H12" s="10">
        <f>'Monthly Detail'!G7+'Monthly Detail'!H7+'Monthly Detail'!I7</f>
        <v>969721.22</v>
      </c>
      <c r="I12" s="15">
        <f>H12*4/H$5</f>
        <v>2.4284712053503965E-2</v>
      </c>
      <c r="J12" s="7" t="s">
        <v>23</v>
      </c>
    </row>
    <row r="13" spans="1:10" ht="18" customHeight="1" x14ac:dyDescent="0.2">
      <c r="A13" s="14" t="s">
        <v>24</v>
      </c>
      <c r="B13" s="10">
        <f>'Monthly Detail'!G12</f>
        <v>380786.2</v>
      </c>
      <c r="C13" s="15">
        <f>B13*12/B$5</f>
        <v>3.1744036320619631E-2</v>
      </c>
      <c r="D13" s="10">
        <f>'Monthly Detail'!H12</f>
        <v>430644.66</v>
      </c>
      <c r="E13" s="15">
        <f>D13*12/D$5</f>
        <v>3.2582507460267897E-2</v>
      </c>
      <c r="F13" s="10">
        <f>'Monthly Detail'!I12</f>
        <v>467199.88</v>
      </c>
      <c r="G13" s="15">
        <f>F13*12/F$5</f>
        <v>3.1741763850022288E-2</v>
      </c>
      <c r="H13" s="10">
        <f>'Monthly Detail'!G12+'Monthly Detail'!H12+'Monthly Detail'!I12</f>
        <v>1278630.74</v>
      </c>
      <c r="I13" s="15">
        <f>H13*4/H$5</f>
        <v>3.2020727919781618E-2</v>
      </c>
      <c r="J13" s="7" t="s">
        <v>25</v>
      </c>
    </row>
    <row r="14" spans="1:10" ht="18" customHeight="1" x14ac:dyDescent="0.2">
      <c r="A14" s="8" t="s">
        <v>26</v>
      </c>
      <c r="B14" s="9"/>
      <c r="C14" s="9"/>
      <c r="D14" s="9"/>
      <c r="E14" s="9"/>
      <c r="F14" s="9"/>
      <c r="G14" s="9"/>
      <c r="H14" s="9"/>
      <c r="I14" s="9"/>
      <c r="J14" s="9"/>
    </row>
    <row r="15" spans="1:10" ht="18" customHeight="1" x14ac:dyDescent="0.2">
      <c r="A15" t="s">
        <v>27</v>
      </c>
      <c r="B15" s="10">
        <f>'Monthly Detail'!H11</f>
        <v>1658171.4</v>
      </c>
      <c r="C15" s="15">
        <f>B15*12/B$5</f>
        <v>0.13823256501263095</v>
      </c>
      <c r="D15" s="10">
        <f>'Monthly Detail'!I11</f>
        <v>2023314.88</v>
      </c>
      <c r="E15" s="15">
        <f>D15*12/D$5</f>
        <v>0.15308368661083838</v>
      </c>
      <c r="F15" s="10">
        <f>'Monthly Detail'!J11</f>
        <v>2282599.61</v>
      </c>
      <c r="G15" s="15">
        <f>F15*12/F$5</f>
        <v>0.15508081420049374</v>
      </c>
      <c r="H15" s="10">
        <f>'Monthly Detail'!H11+'Monthly Detail'!I11+'Monthly Detail'!J11</f>
        <v>5964085.8899999997</v>
      </c>
      <c r="I15" s="15">
        <f>H15*4/H$5</f>
        <v>0.14935850171559195</v>
      </c>
      <c r="J15" s="7" t="s">
        <v>28</v>
      </c>
    </row>
    <row r="16" spans="1:10" ht="18" customHeight="1" x14ac:dyDescent="0.2">
      <c r="A16" t="s">
        <v>29</v>
      </c>
      <c r="B16" s="10">
        <f>'Monthly Detail'!H8</f>
        <v>89421.49</v>
      </c>
      <c r="C16" s="15">
        <f>B16*12/B$5</f>
        <v>7.4545743159912968E-3</v>
      </c>
      <c r="D16" s="10">
        <f>'Monthly Detail'!I8</f>
        <v>108174.67</v>
      </c>
      <c r="E16" s="15">
        <f>D16*12/D$5</f>
        <v>8.1844785728610175E-3</v>
      </c>
      <c r="F16" s="10">
        <f>'Monthly Detail'!J8</f>
        <v>126426.4</v>
      </c>
      <c r="G16" s="15">
        <f>F16*12/F$5</f>
        <v>8.5894648200861203E-3</v>
      </c>
      <c r="H16" s="10">
        <f>'Monthly Detail'!H8+'Monthly Detail'!I8+'Monthly Detail'!J8</f>
        <v>324022.56</v>
      </c>
      <c r="I16" s="15">
        <f>H16*4/H$5</f>
        <v>8.1144914704859312E-3</v>
      </c>
      <c r="J16" s="7" t="s">
        <v>30</v>
      </c>
    </row>
    <row r="17" spans="1:10" ht="18" customHeight="1" x14ac:dyDescent="0.2">
      <c r="A17" s="8" t="s">
        <v>31</v>
      </c>
      <c r="B17" s="9"/>
      <c r="C17" s="9"/>
      <c r="D17" s="9"/>
      <c r="E17" s="9"/>
      <c r="F17" s="9"/>
      <c r="G17" s="9"/>
      <c r="H17" s="9"/>
      <c r="I17" s="9"/>
      <c r="J17" s="9"/>
    </row>
    <row r="18" spans="1:10" ht="18" customHeight="1" x14ac:dyDescent="0.2">
      <c r="A18" t="s">
        <v>32</v>
      </c>
      <c r="B18" s="10">
        <f t="shared" ref="B18:I18" si="0">B10</f>
        <v>1963194.1105</v>
      </c>
      <c r="C18" s="15">
        <f t="shared" si="0"/>
        <v>0.16366061886732908</v>
      </c>
      <c r="D18" s="10">
        <f t="shared" si="0"/>
        <v>1811444.7468999999</v>
      </c>
      <c r="E18" s="15">
        <f t="shared" si="0"/>
        <v>0.1370536255569321</v>
      </c>
      <c r="F18" s="10">
        <f t="shared" si="0"/>
        <v>1892210.1359920059</v>
      </c>
      <c r="G18" s="15">
        <f t="shared" si="0"/>
        <v>0.12855758287283126</v>
      </c>
      <c r="H18" s="10">
        <f t="shared" si="0"/>
        <v>5666848.9933920056</v>
      </c>
      <c r="I18" s="15">
        <f t="shared" si="0"/>
        <v>0.14191480315880234</v>
      </c>
    </row>
    <row r="19" spans="1:10" ht="18" customHeight="1" x14ac:dyDescent="0.2">
      <c r="A19" t="s">
        <v>33</v>
      </c>
      <c r="B19" s="10">
        <f>B11+B15+B16</f>
        <v>2466128.4300000002</v>
      </c>
      <c r="C19" s="15">
        <f>B19*12/B$5</f>
        <v>0.20558746733267294</v>
      </c>
      <c r="D19" s="10">
        <f>D11+D15+D16</f>
        <v>2852647.6799999997</v>
      </c>
      <c r="E19" s="15">
        <f>D19*12/D$5</f>
        <v>0.21583087623823294</v>
      </c>
      <c r="F19" s="10">
        <f>F11+F15+F16</f>
        <v>3217684.3</v>
      </c>
      <c r="G19" s="15">
        <f>F19*12/F$5</f>
        <v>0.21861087634381296</v>
      </c>
      <c r="H19" s="10">
        <f>H11+H15+H16</f>
        <v>8536460.4100000001</v>
      </c>
      <c r="I19" s="15">
        <f>H19*4/H$5</f>
        <v>0.21377843315936348</v>
      </c>
      <c r="J19" s="7" t="s">
        <v>34</v>
      </c>
    </row>
    <row r="20" spans="1:10" ht="18" customHeight="1" x14ac:dyDescent="0.2">
      <c r="A20" s="16" t="s">
        <v>35</v>
      </c>
      <c r="B20" s="17">
        <f t="shared" ref="B20:I20" si="1">B18+B19</f>
        <v>4429322.5405000001</v>
      </c>
      <c r="C20" s="18">
        <f t="shared" si="1"/>
        <v>0.36924808620000205</v>
      </c>
      <c r="D20" s="17">
        <f t="shared" si="1"/>
        <v>4664092.4268999994</v>
      </c>
      <c r="E20" s="18">
        <f t="shared" si="1"/>
        <v>0.35288450179516506</v>
      </c>
      <c r="F20" s="17">
        <f t="shared" si="1"/>
        <v>5109894.4359920062</v>
      </c>
      <c r="G20" s="18">
        <f t="shared" si="1"/>
        <v>0.34716845921664419</v>
      </c>
      <c r="H20" s="17">
        <f t="shared" si="1"/>
        <v>14203309.403392006</v>
      </c>
      <c r="I20" s="18">
        <f t="shared" si="1"/>
        <v>0.35569323631816585</v>
      </c>
      <c r="J20" s="19" t="s">
        <v>36</v>
      </c>
    </row>
    <row r="21" spans="1:10" ht="18" customHeight="1" x14ac:dyDescent="0.2">
      <c r="A21" s="8" t="s">
        <v>37</v>
      </c>
      <c r="B21" s="9"/>
      <c r="C21" s="9"/>
      <c r="D21" s="9"/>
      <c r="E21" s="9"/>
      <c r="F21" s="9"/>
      <c r="G21" s="9"/>
      <c r="H21" s="9"/>
      <c r="I21" s="9"/>
      <c r="J21" s="9"/>
    </row>
    <row r="22" spans="1:10" ht="18" customHeight="1" x14ac:dyDescent="0.2">
      <c r="A22" t="s">
        <v>38</v>
      </c>
      <c r="B22" s="10">
        <f>'Monthly Detail'!G22</f>
        <v>139185988.384</v>
      </c>
      <c r="D22" s="10">
        <f>'Monthly Detail'!H22</f>
        <v>129979656.88</v>
      </c>
      <c r="F22" s="10">
        <f>'Monthly Detail'!I22</f>
        <v>133358896.484</v>
      </c>
      <c r="H22" s="10">
        <f>'Monthly Detail'!G22+'Monthly Detail'!H22+'Monthly Detail'!I22</f>
        <v>402524541.74800003</v>
      </c>
      <c r="J22" s="7" t="s">
        <v>39</v>
      </c>
    </row>
    <row r="23" spans="1:10" ht="18" customHeight="1" x14ac:dyDescent="0.2">
      <c r="A23" t="s">
        <v>40</v>
      </c>
      <c r="C23" s="11">
        <f>B22*12/B$5</f>
        <v>11.603164900889364</v>
      </c>
      <c r="E23" s="11">
        <f>D22*12/D$5</f>
        <v>9.8342404616735788</v>
      </c>
      <c r="G23" s="11">
        <f>F22*12/F$5</f>
        <v>9.0604616582835931</v>
      </c>
      <c r="I23" s="11">
        <f>H22*4/H$5</f>
        <v>10.080415266996855</v>
      </c>
      <c r="J23" s="7" t="s">
        <v>41</v>
      </c>
    </row>
    <row r="24" spans="1:10" ht="18" customHeight="1" x14ac:dyDescent="0.2">
      <c r="A24" t="s">
        <v>42</v>
      </c>
      <c r="C24" s="12">
        <f>loss_rate_xfpd</f>
        <v>1.1520731731114904E-2</v>
      </c>
      <c r="E24" s="12">
        <f>loss_rate_xfpd</f>
        <v>1.1520731731114904E-2</v>
      </c>
      <c r="G24" s="12">
        <f>loss_rate_xfpd</f>
        <v>1.1520731731114904E-2</v>
      </c>
      <c r="I24" s="12">
        <f>loss_rate_xfpd</f>
        <v>1.1520731731114904E-2</v>
      </c>
      <c r="J24" s="7" t="s">
        <v>43</v>
      </c>
    </row>
    <row r="25" spans="1:10" ht="18" customHeight="1" x14ac:dyDescent="0.2">
      <c r="A25" s="5" t="s">
        <v>44</v>
      </c>
      <c r="B25" s="5"/>
      <c r="C25" s="13">
        <f>C24*C23</f>
        <v>0.13367695005503483</v>
      </c>
      <c r="D25" s="5"/>
      <c r="E25" s="13">
        <f>E24*E23</f>
        <v>0.11329764613821688</v>
      </c>
      <c r="F25" s="5"/>
      <c r="G25" s="13">
        <f>G24*G23</f>
        <v>0.10438314812513776</v>
      </c>
      <c r="H25" s="5"/>
      <c r="I25" s="13">
        <f>I24*I23</f>
        <v>0.11613376002930578</v>
      </c>
      <c r="J25" s="7" t="s">
        <v>45</v>
      </c>
    </row>
    <row r="26" spans="1:10" ht="18" customHeight="1" x14ac:dyDescent="0.2">
      <c r="A26" s="8" t="s">
        <v>46</v>
      </c>
      <c r="B26" s="9"/>
      <c r="C26" s="9"/>
      <c r="D26" s="9"/>
      <c r="E26" s="9"/>
      <c r="F26" s="9"/>
      <c r="G26" s="9"/>
      <c r="H26" s="9"/>
      <c r="I26" s="9"/>
      <c r="J26" s="9"/>
    </row>
    <row r="27" spans="1:10" ht="18" customHeight="1" x14ac:dyDescent="0.2">
      <c r="A27" s="5" t="s">
        <v>47</v>
      </c>
      <c r="B27" s="5"/>
      <c r="C27" s="13">
        <f>C20-C25</f>
        <v>0.23557113614496722</v>
      </c>
      <c r="D27" s="5"/>
      <c r="E27" s="13">
        <f>E20-E25</f>
        <v>0.23958685565694818</v>
      </c>
      <c r="F27" s="5"/>
      <c r="G27" s="13">
        <f>G20-G25</f>
        <v>0.24278531109150642</v>
      </c>
      <c r="H27" s="5"/>
      <c r="I27" s="13">
        <f>I20-I25</f>
        <v>0.23955947628886007</v>
      </c>
      <c r="J27" s="7" t="s">
        <v>48</v>
      </c>
    </row>
    <row r="28" spans="1:10" ht="18" customHeight="1" x14ac:dyDescent="0.2">
      <c r="A28" s="8" t="s">
        <v>49</v>
      </c>
      <c r="B28" s="9"/>
      <c r="C28" s="9"/>
      <c r="D28" s="9"/>
      <c r="E28" s="9"/>
      <c r="F28" s="9"/>
      <c r="G28" s="9"/>
      <c r="H28" s="9"/>
      <c r="I28" s="9"/>
      <c r="J28" s="9"/>
    </row>
    <row r="29" spans="1:10" ht="18" customHeight="1" x14ac:dyDescent="0.2">
      <c r="A29" t="s">
        <v>50</v>
      </c>
      <c r="B29" s="10">
        <f>B5/55.8</f>
        <v>2579681.567562724</v>
      </c>
      <c r="D29" s="10">
        <f>D5/55.8</f>
        <v>2842376.5405913983</v>
      </c>
      <c r="F29" s="10">
        <f>F5/55.8</f>
        <v>3165327.9555555554</v>
      </c>
      <c r="H29" s="10">
        <f>H5/55.8</f>
        <v>2862462.0212365594</v>
      </c>
    </row>
    <row r="30" spans="1:10" ht="18" customHeight="1" x14ac:dyDescent="0.2">
      <c r="A30" t="s">
        <v>51</v>
      </c>
      <c r="B30" s="10">
        <f>B20/55.8</f>
        <v>79378.540152329762</v>
      </c>
      <c r="D30" s="10">
        <f>D20/55.8</f>
        <v>83585.885786738349</v>
      </c>
      <c r="F30" s="10">
        <f>F20/55.8</f>
        <v>91575.169103799402</v>
      </c>
      <c r="H30" s="10">
        <f>H20/55.8</f>
        <v>254539.5950428675</v>
      </c>
    </row>
  </sheetData>
  <mergeCells count="2">
    <mergeCell ref="B3:I3"/>
    <mergeCell ref="A2:J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39"/>
  <sheetViews>
    <sheetView showGridLines="0"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62" customWidth="1"/>
    <col min="2" max="10" width="14" customWidth="1"/>
    <col min="11" max="11" width="16" customWidth="1"/>
  </cols>
  <sheetData>
    <row r="1" spans="1:11" ht="19" x14ac:dyDescent="0.25">
      <c r="A1" s="1" t="s">
        <v>52</v>
      </c>
    </row>
    <row r="2" spans="1:11" x14ac:dyDescent="0.2">
      <c r="A2" s="20" t="s">
        <v>53</v>
      </c>
    </row>
    <row r="4" spans="1:11" ht="16" x14ac:dyDescent="0.2">
      <c r="A4" s="3" t="s">
        <v>54</v>
      </c>
      <c r="B4" s="4" t="s">
        <v>55</v>
      </c>
      <c r="C4" s="4" t="s">
        <v>56</v>
      </c>
      <c r="D4" s="4" t="s">
        <v>57</v>
      </c>
      <c r="E4" s="4" t="s">
        <v>58</v>
      </c>
      <c r="F4" s="4" t="s">
        <v>59</v>
      </c>
      <c r="G4" s="4" t="s">
        <v>3</v>
      </c>
      <c r="H4" s="4" t="s">
        <v>5</v>
      </c>
      <c r="I4" s="4" t="s">
        <v>6</v>
      </c>
      <c r="J4" s="4" t="s">
        <v>60</v>
      </c>
      <c r="K4" s="4" t="s">
        <v>61</v>
      </c>
    </row>
    <row r="5" spans="1:11" x14ac:dyDescent="0.2">
      <c r="A5" t="s">
        <v>62</v>
      </c>
      <c r="B5" s="10">
        <v>0</v>
      </c>
      <c r="C5" s="10">
        <v>0</v>
      </c>
      <c r="D5" s="10">
        <v>0</v>
      </c>
      <c r="E5" s="10">
        <v>0</v>
      </c>
      <c r="F5" s="10">
        <v>0</v>
      </c>
      <c r="G5" s="10">
        <v>685463.40999999898</v>
      </c>
      <c r="H5" s="10">
        <v>1501634.9</v>
      </c>
      <c r="I5" s="10">
        <v>1951592.03</v>
      </c>
      <c r="J5" s="10">
        <v>2229680.0299999998</v>
      </c>
      <c r="K5" s="10">
        <f>SUM(H5:J5)</f>
        <v>5682906.959999999</v>
      </c>
    </row>
    <row r="6" spans="1:11" x14ac:dyDescent="0.2">
      <c r="A6" t="s">
        <v>24</v>
      </c>
      <c r="B6" s="10">
        <v>1316.21</v>
      </c>
      <c r="C6" s="10">
        <v>47765.48</v>
      </c>
      <c r="D6" s="10">
        <v>134016.53</v>
      </c>
      <c r="E6" s="10">
        <v>220070.96</v>
      </c>
      <c r="F6" s="10">
        <v>257582.01</v>
      </c>
      <c r="G6" s="10">
        <v>340853.06</v>
      </c>
      <c r="H6" s="10">
        <v>403236.04</v>
      </c>
      <c r="I6" s="10">
        <v>445213.13</v>
      </c>
      <c r="J6" s="10">
        <v>486325.05</v>
      </c>
      <c r="K6" s="10">
        <f>SUM(H6:J6)</f>
        <v>1334774.22</v>
      </c>
    </row>
    <row r="7" spans="1:11" x14ac:dyDescent="0.2">
      <c r="A7" t="s">
        <v>22</v>
      </c>
      <c r="B7" s="10">
        <v>2185.69</v>
      </c>
      <c r="C7" s="10">
        <v>146390.53</v>
      </c>
      <c r="D7" s="10">
        <v>291311.38</v>
      </c>
      <c r="E7" s="10">
        <v>307856.48</v>
      </c>
      <c r="F7" s="10">
        <v>320397.94</v>
      </c>
      <c r="G7" s="10">
        <v>337749.34</v>
      </c>
      <c r="H7" s="10">
        <v>290513.46999999997</v>
      </c>
      <c r="I7" s="10">
        <v>341458.41</v>
      </c>
      <c r="J7" s="10">
        <v>439733.93</v>
      </c>
      <c r="K7" s="10">
        <f>SUM(H7:J7)</f>
        <v>1071705.8099999998</v>
      </c>
    </row>
    <row r="8" spans="1:11" x14ac:dyDescent="0.2">
      <c r="A8" t="s">
        <v>29</v>
      </c>
      <c r="B8" s="10">
        <v>64707.62</v>
      </c>
      <c r="C8" s="10">
        <v>71011.070000000007</v>
      </c>
      <c r="D8" s="10">
        <v>104805.31</v>
      </c>
      <c r="E8" s="10">
        <v>138112.4</v>
      </c>
      <c r="F8" s="10">
        <v>139049.93</v>
      </c>
      <c r="G8" s="10">
        <v>84871.59</v>
      </c>
      <c r="H8" s="10">
        <v>89421.49</v>
      </c>
      <c r="I8" s="10">
        <v>108174.67</v>
      </c>
      <c r="J8" s="10">
        <v>126426.4</v>
      </c>
      <c r="K8" s="10">
        <f>SUM(H8:J8)</f>
        <v>324022.56</v>
      </c>
    </row>
    <row r="9" spans="1:11" x14ac:dyDescent="0.2">
      <c r="A9" t="s">
        <v>32</v>
      </c>
      <c r="B9" s="10">
        <v>800466.96</v>
      </c>
      <c r="C9" s="10">
        <v>864632.92999999993</v>
      </c>
      <c r="D9" s="10">
        <v>1364620.6904452341</v>
      </c>
      <c r="E9" s="10">
        <v>1521533.27</v>
      </c>
      <c r="F9" s="10">
        <v>1545608.6238674489</v>
      </c>
      <c r="G9" s="10">
        <v>1963194.1105</v>
      </c>
      <c r="H9" s="10">
        <v>1811444.7468999999</v>
      </c>
      <c r="I9" s="10">
        <v>1892210.1359920059</v>
      </c>
      <c r="J9" s="10">
        <v>2630889.798</v>
      </c>
      <c r="K9" s="10">
        <f>SUM(H9:J9)</f>
        <v>6334544.6808920056</v>
      </c>
    </row>
    <row r="10" spans="1:11" x14ac:dyDescent="0.2">
      <c r="A10" t="s">
        <v>63</v>
      </c>
      <c r="B10" s="10">
        <f t="shared" ref="B10:K10" si="0">SUM(B5:B9)</f>
        <v>868676.48</v>
      </c>
      <c r="C10" s="10">
        <f t="shared" si="0"/>
        <v>1129800.01</v>
      </c>
      <c r="D10" s="10">
        <f t="shared" si="0"/>
        <v>1894753.910445234</v>
      </c>
      <c r="E10" s="10">
        <f t="shared" si="0"/>
        <v>2187573.11</v>
      </c>
      <c r="F10" s="10">
        <f t="shared" si="0"/>
        <v>2262638.5038674488</v>
      </c>
      <c r="G10" s="10">
        <f t="shared" si="0"/>
        <v>3412131.5104999989</v>
      </c>
      <c r="H10" s="10">
        <f t="shared" si="0"/>
        <v>4096250.6469000001</v>
      </c>
      <c r="I10" s="10">
        <f t="shared" si="0"/>
        <v>4738648.3759920057</v>
      </c>
      <c r="J10" s="10">
        <f t="shared" si="0"/>
        <v>5913055.2079999996</v>
      </c>
      <c r="K10" s="10">
        <f t="shared" si="0"/>
        <v>14747954.230892004</v>
      </c>
    </row>
    <row r="11" spans="1:11" x14ac:dyDescent="0.2">
      <c r="A11" t="s">
        <v>64</v>
      </c>
      <c r="H11" s="10">
        <v>1658171.4</v>
      </c>
      <c r="I11" s="10">
        <v>2023314.88</v>
      </c>
      <c r="J11" s="10">
        <v>2282599.61</v>
      </c>
      <c r="K11" s="10">
        <f>SUM(H11:J11)</f>
        <v>5964085.8899999997</v>
      </c>
    </row>
    <row r="12" spans="1:11" x14ac:dyDescent="0.2">
      <c r="A12" t="s">
        <v>65</v>
      </c>
      <c r="G12" s="10">
        <v>380786.2</v>
      </c>
      <c r="H12" s="10">
        <v>430644.66</v>
      </c>
      <c r="I12" s="10">
        <v>467199.88</v>
      </c>
      <c r="J12" s="10">
        <v>517295.33</v>
      </c>
      <c r="K12" s="10">
        <f>SUM(H12:J12)</f>
        <v>1415139.87</v>
      </c>
    </row>
    <row r="13" spans="1:11" x14ac:dyDescent="0.2">
      <c r="A13" s="5" t="s">
        <v>66</v>
      </c>
      <c r="H13" s="6">
        <f>H11+H12+H7+H8+H9</f>
        <v>4280195.7669000002</v>
      </c>
      <c r="I13" s="6">
        <f>I11+I12+I7+I8+I9</f>
        <v>4832357.9759920053</v>
      </c>
      <c r="J13" s="6">
        <f>J11+J12+J7+J8+J9</f>
        <v>5996945.068</v>
      </c>
      <c r="K13" s="6">
        <f>K11+K12+K7+K8+K9</f>
        <v>15109498.810892006</v>
      </c>
    </row>
    <row r="15" spans="1:11" x14ac:dyDescent="0.2">
      <c r="A15" s="8" t="s">
        <v>67</v>
      </c>
      <c r="B15" s="9"/>
      <c r="C15" s="9"/>
      <c r="D15" s="9"/>
      <c r="E15" s="9"/>
      <c r="F15" s="9"/>
      <c r="G15" s="9"/>
      <c r="H15" s="9"/>
      <c r="I15" s="9"/>
      <c r="J15" s="9"/>
      <c r="K15" s="9"/>
    </row>
    <row r="16" spans="1:11" x14ac:dyDescent="0.2">
      <c r="A16" t="s">
        <v>68</v>
      </c>
      <c r="B16" s="10">
        <v>60876935.090000004</v>
      </c>
      <c r="C16" s="10">
        <v>61287125.634999998</v>
      </c>
      <c r="D16" s="10">
        <v>78004357.589999989</v>
      </c>
      <c r="E16" s="10">
        <v>105226683.72</v>
      </c>
      <c r="F16" s="10">
        <v>126178365.54000001</v>
      </c>
      <c r="G16" s="10">
        <v>143946231.47</v>
      </c>
      <c r="H16" s="10">
        <v>158604610.965</v>
      </c>
      <c r="I16" s="10">
        <v>176625299.91999999</v>
      </c>
      <c r="J16" s="10">
        <v>211159156.89500001</v>
      </c>
      <c r="K16" s="10">
        <f>AVERAGE(H16:J16)</f>
        <v>182129689.25999999</v>
      </c>
    </row>
    <row r="17" spans="1:11" x14ac:dyDescent="0.2">
      <c r="A17" t="s">
        <v>69</v>
      </c>
      <c r="C17" s="10">
        <f t="shared" ref="C17:J17" si="1">B16</f>
        <v>60876935.090000004</v>
      </c>
      <c r="D17" s="10">
        <f t="shared" si="1"/>
        <v>61287125.634999998</v>
      </c>
      <c r="E17" s="10">
        <f t="shared" si="1"/>
        <v>78004357.589999989</v>
      </c>
      <c r="F17" s="10">
        <f t="shared" si="1"/>
        <v>105226683.72</v>
      </c>
      <c r="G17" s="10">
        <f t="shared" si="1"/>
        <v>126178365.54000001</v>
      </c>
      <c r="H17" s="10">
        <f t="shared" si="1"/>
        <v>143946231.47</v>
      </c>
      <c r="I17" s="10">
        <f t="shared" si="1"/>
        <v>158604610.965</v>
      </c>
      <c r="J17" s="10">
        <f t="shared" si="1"/>
        <v>176625299.91999999</v>
      </c>
      <c r="K17" s="10">
        <f>AVERAGE(G16:I16)</f>
        <v>159725380.785</v>
      </c>
    </row>
    <row r="18" spans="1:11" x14ac:dyDescent="0.2">
      <c r="A18" t="s">
        <v>70</v>
      </c>
      <c r="B18" s="10">
        <v>59172827.039999999</v>
      </c>
      <c r="C18" s="10">
        <v>63401424.229999997</v>
      </c>
      <c r="D18" s="10">
        <v>92607290.949999988</v>
      </c>
      <c r="E18" s="10">
        <v>117846076.48999999</v>
      </c>
      <c r="F18" s="10">
        <v>134510654.59</v>
      </c>
      <c r="G18" s="10">
        <v>153381808.34999999</v>
      </c>
      <c r="H18" s="10">
        <v>163827413.58000001</v>
      </c>
      <c r="I18" s="10">
        <v>189423186.25999999</v>
      </c>
      <c r="J18" s="10">
        <v>232895127.53</v>
      </c>
      <c r="K18" s="10">
        <f>J18</f>
        <v>232895127.53</v>
      </c>
    </row>
    <row r="19" spans="1:11" x14ac:dyDescent="0.2">
      <c r="A19" t="s">
        <v>71</v>
      </c>
      <c r="B19" s="10">
        <v>69900973.840000004</v>
      </c>
      <c r="C19" s="10">
        <v>60820771.280000001</v>
      </c>
      <c r="D19" s="10">
        <v>89743205.590000004</v>
      </c>
      <c r="E19" s="10">
        <v>107115373.17</v>
      </c>
      <c r="F19" s="10">
        <v>118184976.17</v>
      </c>
      <c r="G19" s="10">
        <v>136417479.47999999</v>
      </c>
      <c r="H19" s="10">
        <v>140624271.71000001</v>
      </c>
      <c r="I19" s="10">
        <v>141888335.13999999</v>
      </c>
      <c r="J19" s="10">
        <v>160221212.53</v>
      </c>
      <c r="K19" s="10">
        <f>SUM(H19:J19)</f>
        <v>442733819.38</v>
      </c>
    </row>
    <row r="20" spans="1:11" x14ac:dyDescent="0.2">
      <c r="A20" t="s">
        <v>72</v>
      </c>
      <c r="B20" s="10">
        <v>59671645.156000003</v>
      </c>
      <c r="C20" s="10">
        <v>60642780.726000004</v>
      </c>
      <c r="D20" s="10">
        <v>95344566</v>
      </c>
      <c r="E20" s="10">
        <v>105947213.036</v>
      </c>
      <c r="F20" s="10">
        <v>110400244.168</v>
      </c>
      <c r="G20" s="10">
        <v>137145988.384</v>
      </c>
      <c r="H20" s="10">
        <v>127249656.88</v>
      </c>
      <c r="I20" s="10">
        <v>130388896.484</v>
      </c>
      <c r="J20" s="10">
        <v>190860991.78999999</v>
      </c>
      <c r="K20" s="10">
        <f>SUM(H20:J20)</f>
        <v>448499545.15399998</v>
      </c>
    </row>
    <row r="21" spans="1:11" x14ac:dyDescent="0.2">
      <c r="A21" t="s">
        <v>73</v>
      </c>
      <c r="B21" s="10">
        <v>1060000</v>
      </c>
      <c r="C21" s="10">
        <v>980000</v>
      </c>
      <c r="D21" s="10">
        <v>1900000</v>
      </c>
      <c r="E21" s="10">
        <v>1190000</v>
      </c>
      <c r="F21" s="10">
        <v>2250000</v>
      </c>
      <c r="G21" s="10">
        <v>2040000</v>
      </c>
      <c r="H21" s="10">
        <v>2730000</v>
      </c>
      <c r="I21" s="10">
        <v>2970000</v>
      </c>
      <c r="J21" s="10">
        <v>2650000</v>
      </c>
      <c r="K21" s="10">
        <f>SUM(H21:J21)</f>
        <v>8350000</v>
      </c>
    </row>
    <row r="22" spans="1:11" x14ac:dyDescent="0.2">
      <c r="A22" s="5" t="s">
        <v>74</v>
      </c>
      <c r="B22" s="10">
        <f t="shared" ref="B22:K22" si="2">B20+B21</f>
        <v>60731645.156000003</v>
      </c>
      <c r="C22" s="10">
        <f t="shared" si="2"/>
        <v>61622780.726000004</v>
      </c>
      <c r="D22" s="10">
        <f t="shared" si="2"/>
        <v>97244566</v>
      </c>
      <c r="E22" s="10">
        <f t="shared" si="2"/>
        <v>107137213.036</v>
      </c>
      <c r="F22" s="10">
        <f t="shared" si="2"/>
        <v>112650244.168</v>
      </c>
      <c r="G22" s="10">
        <f t="shared" si="2"/>
        <v>139185988.384</v>
      </c>
      <c r="H22" s="10">
        <f t="shared" si="2"/>
        <v>129979656.88</v>
      </c>
      <c r="I22" s="10">
        <f t="shared" si="2"/>
        <v>133358896.484</v>
      </c>
      <c r="J22" s="10">
        <f t="shared" si="2"/>
        <v>193510991.78999999</v>
      </c>
      <c r="K22" s="10">
        <f t="shared" si="2"/>
        <v>456849545.15399998</v>
      </c>
    </row>
    <row r="24" spans="1:11" x14ac:dyDescent="0.2">
      <c r="A24" s="8" t="s">
        <v>75</v>
      </c>
      <c r="B24" s="9"/>
      <c r="C24" s="9"/>
      <c r="D24" s="9"/>
      <c r="E24" s="9"/>
      <c r="F24" s="9"/>
      <c r="G24" s="9"/>
      <c r="H24" s="9"/>
      <c r="I24" s="9"/>
      <c r="J24" s="9"/>
      <c r="K24" s="9"/>
    </row>
    <row r="25" spans="1:11" x14ac:dyDescent="0.2">
      <c r="A25" t="s">
        <v>76</v>
      </c>
      <c r="B25">
        <v>1</v>
      </c>
      <c r="C25">
        <v>1</v>
      </c>
      <c r="D25">
        <v>1</v>
      </c>
      <c r="E25">
        <v>1</v>
      </c>
      <c r="F25">
        <v>1</v>
      </c>
      <c r="G25">
        <v>1</v>
      </c>
      <c r="H25">
        <v>1</v>
      </c>
      <c r="I25">
        <v>1</v>
      </c>
      <c r="J25">
        <v>1</v>
      </c>
      <c r="K25">
        <v>3</v>
      </c>
    </row>
    <row r="26" spans="1:11" x14ac:dyDescent="0.2">
      <c r="A26" t="s">
        <v>77</v>
      </c>
      <c r="B26" s="15">
        <f>(C5+C8)*12/B25/B16</f>
        <v>1.3997630444768832E-2</v>
      </c>
      <c r="C26" s="15">
        <f>(D5+D8)*12/C25/C16</f>
        <v>2.0520846865785633E-2</v>
      </c>
      <c r="D26" s="15">
        <f>(E5+E8)*12/D25/D16</f>
        <v>2.1246874549127354E-2</v>
      </c>
      <c r="E26" s="15">
        <f>(F5+F8)*12/E25/E16</f>
        <v>1.5857186609054528E-2</v>
      </c>
      <c r="F26" s="15">
        <f>(G5+G8)*12/F25/F16</f>
        <v>7.3261529109516998E-2</v>
      </c>
      <c r="G26" s="15">
        <f>(H11+H8)*12/G25/G16</f>
        <v>0.14568713932862226</v>
      </c>
      <c r="H26" s="15">
        <f>(I11+I8)*12/H25/H16</f>
        <v>0.16126816518369938</v>
      </c>
      <c r="I26" s="15">
        <f>(J11+J8)*12/I25/I16</f>
        <v>0.16367027902057985</v>
      </c>
    </row>
    <row r="27" spans="1:11" x14ac:dyDescent="0.2">
      <c r="A27" t="s">
        <v>78</v>
      </c>
      <c r="B27" s="15">
        <f>B6*12/B25/B16</f>
        <v>2.5944998670924385E-4</v>
      </c>
      <c r="C27" s="15">
        <f>C6*12/C25/C16</f>
        <v>9.3524660205742093E-3</v>
      </c>
      <c r="D27" s="15">
        <f>D6*12/D25/D16</f>
        <v>2.0616775904403677E-2</v>
      </c>
      <c r="E27" s="15">
        <f>E6*12/E25/E16</f>
        <v>2.509678559315905E-2</v>
      </c>
      <c r="F27" s="15">
        <f>F6*12/F25/F16</f>
        <v>2.4496942140371302E-2</v>
      </c>
      <c r="G27" s="15">
        <f>G12*12/G25/G16</f>
        <v>3.1744036320619631E-2</v>
      </c>
      <c r="H27" s="15">
        <f>H12*12/H25/H16</f>
        <v>3.2582507460267897E-2</v>
      </c>
      <c r="I27" s="15">
        <f>I12*12/I25/I16</f>
        <v>3.1741763850022288E-2</v>
      </c>
    </row>
    <row r="28" spans="1:11" x14ac:dyDescent="0.2">
      <c r="A28" t="s">
        <v>79</v>
      </c>
      <c r="B28" s="15">
        <f t="shared" ref="B28:I28" si="3">B7*12/B25/B16</f>
        <v>4.3084100671665398E-4</v>
      </c>
      <c r="C28" s="15">
        <f t="shared" si="3"/>
        <v>2.8663219914441332E-2</v>
      </c>
      <c r="D28" s="15">
        <f t="shared" si="3"/>
        <v>4.4814631746267299E-2</v>
      </c>
      <c r="E28" s="15">
        <f t="shared" si="3"/>
        <v>3.5107803737597441E-2</v>
      </c>
      <c r="F28" s="15">
        <f t="shared" si="3"/>
        <v>3.0470954854627294E-2</v>
      </c>
      <c r="G28" s="15">
        <f t="shared" si="3"/>
        <v>2.8156291683431037E-2</v>
      </c>
      <c r="H28" s="15">
        <f t="shared" si="3"/>
        <v>2.1980203594265658E-2</v>
      </c>
      <c r="I28" s="15">
        <f t="shared" si="3"/>
        <v>2.3198833473210841E-2</v>
      </c>
    </row>
    <row r="29" spans="1:11" x14ac:dyDescent="0.2">
      <c r="A29" t="s">
        <v>80</v>
      </c>
      <c r="B29" s="11">
        <f t="shared" ref="B29:I29" si="4">B20*12/B25/B16</f>
        <v>11.762414464745682</v>
      </c>
      <c r="C29" s="11">
        <f t="shared" si="4"/>
        <v>11.873837468670839</v>
      </c>
      <c r="D29" s="11">
        <f t="shared" si="4"/>
        <v>14.667575342568759</v>
      </c>
      <c r="E29" s="11">
        <f t="shared" si="4"/>
        <v>12.082168813900923</v>
      </c>
      <c r="F29" s="11">
        <f t="shared" si="4"/>
        <v>10.499445957682992</v>
      </c>
      <c r="G29" s="11">
        <f t="shared" si="4"/>
        <v>11.433101400441963</v>
      </c>
      <c r="H29" s="11">
        <f t="shared" si="4"/>
        <v>9.6276890896757656</v>
      </c>
      <c r="I29" s="11">
        <f t="shared" si="4"/>
        <v>8.8586785614331269</v>
      </c>
    </row>
    <row r="30" spans="1:11" x14ac:dyDescent="0.2">
      <c r="A30" t="s">
        <v>16</v>
      </c>
      <c r="B30" s="12">
        <f t="shared" ref="B30:I30" si="5">B9/B20</f>
        <v>1.3414528087960932E-2</v>
      </c>
      <c r="C30" s="12">
        <f t="shared" si="5"/>
        <v>1.4257804798012783E-2</v>
      </c>
      <c r="D30" s="12">
        <f t="shared" si="5"/>
        <v>1.431251667184928E-2</v>
      </c>
      <c r="E30" s="12">
        <f t="shared" si="5"/>
        <v>1.4361239209595778E-2</v>
      </c>
      <c r="F30" s="12">
        <f t="shared" si="5"/>
        <v>1.4000047151303768E-2</v>
      </c>
      <c r="G30" s="12">
        <f t="shared" si="5"/>
        <v>1.4314630224569034E-2</v>
      </c>
      <c r="H30" s="12">
        <f t="shared" si="5"/>
        <v>1.4235360560604444E-2</v>
      </c>
      <c r="I30" s="12">
        <f t="shared" si="5"/>
        <v>1.4512049622447712E-2</v>
      </c>
    </row>
    <row r="31" spans="1:11" x14ac:dyDescent="0.2">
      <c r="A31" t="s">
        <v>81</v>
      </c>
      <c r="B31" s="15">
        <f t="shared" ref="B31:I31" si="6">B9*12/B25/B16</f>
        <v>0.15778723921956891</v>
      </c>
      <c r="C31" s="15">
        <f t="shared" si="6"/>
        <v>0.16929485683163906</v>
      </c>
      <c r="D31" s="15">
        <f t="shared" si="6"/>
        <v>0.20992991662612076</v>
      </c>
      <c r="E31" s="15">
        <f t="shared" si="6"/>
        <v>0.17351491650714926</v>
      </c>
      <c r="F31" s="15">
        <f t="shared" si="6"/>
        <v>0.14699273847012764</v>
      </c>
      <c r="G31" s="15">
        <f t="shared" si="6"/>
        <v>0.16366061886732905</v>
      </c>
      <c r="H31" s="15">
        <f t="shared" si="6"/>
        <v>0.13705362555693212</v>
      </c>
      <c r="I31" s="15">
        <f t="shared" si="6"/>
        <v>0.12855758287283126</v>
      </c>
    </row>
    <row r="32" spans="1:11" x14ac:dyDescent="0.2">
      <c r="A32" s="5" t="s">
        <v>35</v>
      </c>
      <c r="B32" s="13">
        <f>((C5+C8)+B6+B7+B9)*12/B25/B16</f>
        <v>0.17247516065776367</v>
      </c>
      <c r="C32" s="13">
        <f>((D5+D8)+C6+C7+C9)*12/C25/C16</f>
        <v>0.22783138963244023</v>
      </c>
      <c r="D32" s="13">
        <f>((E5+E8)+D6+D7+D9)*12/D25/D16</f>
        <v>0.29660819882591916</v>
      </c>
      <c r="E32" s="13">
        <f>((F5+F8)+E6+E7+E9)*12/E25/E16</f>
        <v>0.24957669244696026</v>
      </c>
      <c r="F32" s="13">
        <f>((G5+G8)+F6+F7+F9)*12/F25/F16</f>
        <v>0.27522216457464321</v>
      </c>
      <c r="G32" s="13">
        <f>((H11+H8)+G12+G7+G9)*12/G25/G16</f>
        <v>0.36924808620000199</v>
      </c>
      <c r="H32" s="13">
        <f>((I11+I8)+H12+H7+H9)*12/H25/H16</f>
        <v>0.35288450179516501</v>
      </c>
      <c r="I32" s="13">
        <f>((J11+J8)+I12+I7+I9)*12/I25/I16</f>
        <v>0.34716845921664424</v>
      </c>
    </row>
    <row r="33" spans="1:11" x14ac:dyDescent="0.2">
      <c r="A33" t="s">
        <v>82</v>
      </c>
      <c r="B33" s="11">
        <f t="shared" ref="B33:I33" si="7">B22*12/B25/B16</f>
        <v>11.971360594855465</v>
      </c>
      <c r="C33" s="11">
        <f t="shared" si="7"/>
        <v>12.065721161667595</v>
      </c>
      <c r="D33" s="11">
        <f t="shared" si="7"/>
        <v>14.959866705569777</v>
      </c>
      <c r="E33" s="11">
        <f t="shared" si="7"/>
        <v>12.217875837016827</v>
      </c>
      <c r="F33" s="11">
        <f t="shared" si="7"/>
        <v>10.713428758018448</v>
      </c>
      <c r="G33" s="11">
        <f t="shared" si="7"/>
        <v>11.603164900889364</v>
      </c>
      <c r="H33" s="11">
        <f t="shared" si="7"/>
        <v>9.8342404616735788</v>
      </c>
      <c r="I33" s="11">
        <f t="shared" si="7"/>
        <v>9.0604616582835931</v>
      </c>
    </row>
    <row r="35" spans="1:11" x14ac:dyDescent="0.2">
      <c r="A35" s="8" t="s">
        <v>83</v>
      </c>
      <c r="B35" s="9"/>
      <c r="C35" s="9"/>
      <c r="D35" s="9"/>
      <c r="E35" s="9"/>
      <c r="F35" s="9"/>
      <c r="G35" s="9"/>
      <c r="H35" s="9"/>
      <c r="I35" s="9"/>
      <c r="J35" s="9"/>
      <c r="K35" s="9"/>
    </row>
    <row r="36" spans="1:11" x14ac:dyDescent="0.2">
      <c r="A36" t="s">
        <v>33</v>
      </c>
      <c r="B36" s="15">
        <f t="shared" ref="B36:G36" si="8">SUM(B5:B8)*12/B25/B16</f>
        <v>1.3445391736458392E-2</v>
      </c>
      <c r="C36" s="15">
        <f t="shared" si="8"/>
        <v>5.1919631195475956E-2</v>
      </c>
      <c r="D36" s="15">
        <f t="shared" si="8"/>
        <v>8.1554400761010101E-2</v>
      </c>
      <c r="E36" s="15">
        <f t="shared" si="8"/>
        <v>7.5954860473103583E-2</v>
      </c>
      <c r="F36" s="15">
        <f t="shared" si="8"/>
        <v>6.8192027398487079E-2</v>
      </c>
      <c r="G36" s="15">
        <f t="shared" si="8"/>
        <v>0.12078988537899783</v>
      </c>
      <c r="H36" s="15">
        <f>(H11+H12+H7+H8)*12/H25/H16</f>
        <v>0.18678531512893712</v>
      </c>
      <c r="I36" s="15">
        <f>(I11+I12+I7+I8)*12/I25/I16</f>
        <v>0.19975492806512088</v>
      </c>
      <c r="J36" s="15">
        <f>(J11+J12+J7+J8)*12/J25/J16</f>
        <v>0.19129013315811572</v>
      </c>
      <c r="K36" s="15">
        <f>(K11+K12+K7+K8)*12/K25/K16</f>
        <v>0.1927188074751125</v>
      </c>
    </row>
    <row r="37" spans="1:11" x14ac:dyDescent="0.2">
      <c r="A37" t="s">
        <v>35</v>
      </c>
      <c r="B37" s="15">
        <f t="shared" ref="B37:G37" si="9">SUM(B5:B8)*12/B25/B16+B9*12/B25/B16</f>
        <v>0.17123263095602731</v>
      </c>
      <c r="C37" s="15">
        <f t="shared" si="9"/>
        <v>0.22121448802711502</v>
      </c>
      <c r="D37" s="15">
        <f t="shared" si="9"/>
        <v>0.29148431738713088</v>
      </c>
      <c r="E37" s="15">
        <f t="shared" si="9"/>
        <v>0.24946977698025286</v>
      </c>
      <c r="F37" s="15">
        <f t="shared" si="9"/>
        <v>0.21518476586861474</v>
      </c>
      <c r="G37" s="15">
        <f t="shared" si="9"/>
        <v>0.2844505042463269</v>
      </c>
      <c r="H37" s="15">
        <f>(H11+H12+H7+H8)*12/H25/H16+H9*12/H25/H16</f>
        <v>0.32383894068586927</v>
      </c>
      <c r="I37" s="15">
        <f>(I11+I12+I7+I8)*12/I25/I16+I9*12/I25/I16</f>
        <v>0.32831251093795211</v>
      </c>
      <c r="J37" s="15">
        <f>(J11+J12+J7+J8)*12/J25/J16+J9*12/J25/J16</f>
        <v>0.34080142142158742</v>
      </c>
      <c r="K37" s="15">
        <f>(K11+K12+K7+K8)*12/K25/K16+K9*12/K25/K16</f>
        <v>0.33184043463276058</v>
      </c>
    </row>
    <row r="39" spans="1:11" x14ac:dyDescent="0.2">
      <c r="A39" s="20" t="s">
        <v>84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1"/>
  <sheetViews>
    <sheetView showGridLines="0" tabSelected="1" workbookViewId="0">
      <selection activeCell="A20" sqref="A20:H20"/>
    </sheetView>
  </sheetViews>
  <sheetFormatPr baseColWidth="10" defaultColWidth="8.83203125" defaultRowHeight="15" x14ac:dyDescent="0.2"/>
  <cols>
    <col min="1" max="1" width="34" customWidth="1"/>
    <col min="2" max="2" width="14" customWidth="1"/>
    <col min="3" max="3" width="18" customWidth="1"/>
    <col min="4" max="5" width="22" customWidth="1"/>
    <col min="6" max="7" width="18" customWidth="1"/>
    <col min="8" max="8" width="20" customWidth="1"/>
  </cols>
  <sheetData>
    <row r="1" spans="1:8" ht="19" x14ac:dyDescent="0.25">
      <c r="A1" s="1" t="s">
        <v>85</v>
      </c>
    </row>
    <row r="2" spans="1:8" x14ac:dyDescent="0.2">
      <c r="A2" s="20" t="s">
        <v>86</v>
      </c>
    </row>
    <row r="4" spans="1:8" ht="48" customHeight="1" x14ac:dyDescent="0.2">
      <c r="A4" s="3" t="s">
        <v>87</v>
      </c>
      <c r="B4" s="4" t="s">
        <v>88</v>
      </c>
      <c r="C4" s="4" t="s">
        <v>89</v>
      </c>
      <c r="D4" s="4" t="s">
        <v>90</v>
      </c>
      <c r="E4" s="4" t="s">
        <v>91</v>
      </c>
      <c r="F4" s="4" t="s">
        <v>92</v>
      </c>
      <c r="G4" s="4" t="s">
        <v>93</v>
      </c>
      <c r="H4" s="4" t="s">
        <v>94</v>
      </c>
    </row>
    <row r="5" spans="1:8" x14ac:dyDescent="0.2">
      <c r="A5" t="s">
        <v>55</v>
      </c>
      <c r="B5" s="10">
        <v>3828</v>
      </c>
      <c r="C5" s="10">
        <v>69900973.840000004</v>
      </c>
      <c r="D5" s="10">
        <v>69900973.840000004</v>
      </c>
      <c r="E5" s="10">
        <v>195035.55</v>
      </c>
      <c r="F5" s="10">
        <v>69690793.310000002</v>
      </c>
      <c r="G5" s="10">
        <v>1577286.85</v>
      </c>
      <c r="H5" s="12">
        <f t="shared" ref="H5:H13" si="0">IF(F5=0,"not yet seasoned",G5/F5)</f>
        <v>2.2632643066407363E-2</v>
      </c>
    </row>
    <row r="6" spans="1:8" x14ac:dyDescent="0.2">
      <c r="A6" t="s">
        <v>56</v>
      </c>
      <c r="B6" s="10">
        <v>4029</v>
      </c>
      <c r="C6" s="10">
        <v>60820771.280000001</v>
      </c>
      <c r="D6" s="10">
        <v>60820771.280000001</v>
      </c>
      <c r="E6" s="10">
        <v>31366.54</v>
      </c>
      <c r="F6" s="10">
        <v>60789404.740000002</v>
      </c>
      <c r="G6" s="10">
        <v>685527.14</v>
      </c>
      <c r="H6" s="12">
        <f t="shared" si="0"/>
        <v>1.1277082625369363E-2</v>
      </c>
    </row>
    <row r="7" spans="1:8" x14ac:dyDescent="0.2">
      <c r="A7" t="s">
        <v>57</v>
      </c>
      <c r="B7" s="10">
        <v>5113</v>
      </c>
      <c r="C7" s="10">
        <v>89743205.590000004</v>
      </c>
      <c r="D7" s="10">
        <v>89743205.590000004</v>
      </c>
      <c r="E7" s="10">
        <v>562712.44999999995</v>
      </c>
      <c r="F7" s="10">
        <v>89089554.739999995</v>
      </c>
      <c r="G7" s="10">
        <v>1404938.62</v>
      </c>
      <c r="H7" s="12">
        <f t="shared" si="0"/>
        <v>1.5769958937388223E-2</v>
      </c>
    </row>
    <row r="8" spans="1:8" x14ac:dyDescent="0.2">
      <c r="A8" t="s">
        <v>58</v>
      </c>
      <c r="B8" s="10">
        <v>6505</v>
      </c>
      <c r="C8" s="10">
        <v>107115373.17</v>
      </c>
      <c r="D8" s="10">
        <v>107115373.17</v>
      </c>
      <c r="E8" s="10">
        <v>911016.11</v>
      </c>
      <c r="F8" s="10">
        <v>106123235.92</v>
      </c>
      <c r="G8" s="10">
        <v>1471002.56</v>
      </c>
      <c r="H8" s="12">
        <f t="shared" si="0"/>
        <v>1.3861267490080131E-2</v>
      </c>
    </row>
    <row r="9" spans="1:8" x14ac:dyDescent="0.2">
      <c r="A9" t="s">
        <v>59</v>
      </c>
      <c r="B9" s="10">
        <v>7564</v>
      </c>
      <c r="C9" s="10">
        <v>118184976.17</v>
      </c>
      <c r="D9" s="10">
        <v>118184976.17</v>
      </c>
      <c r="E9" s="10">
        <v>889165.96</v>
      </c>
      <c r="F9" s="10">
        <v>117226741.83</v>
      </c>
      <c r="G9" s="10">
        <v>1061583</v>
      </c>
      <c r="H9" s="12">
        <f t="shared" si="0"/>
        <v>9.0558091390059072E-3</v>
      </c>
    </row>
    <row r="10" spans="1:8" x14ac:dyDescent="0.2">
      <c r="A10" t="s">
        <v>3</v>
      </c>
      <c r="B10" s="10">
        <v>9024</v>
      </c>
      <c r="C10" s="10">
        <v>136417479.47999999</v>
      </c>
      <c r="D10" s="10">
        <v>136417479.47999999</v>
      </c>
      <c r="E10" s="10">
        <v>499873.5</v>
      </c>
      <c r="F10" s="10">
        <v>135917605.97999999</v>
      </c>
      <c r="G10" s="10">
        <v>459463.31</v>
      </c>
      <c r="H10" s="12">
        <f t="shared" si="0"/>
        <v>3.3804547003837685E-3</v>
      </c>
    </row>
    <row r="11" spans="1:8" x14ac:dyDescent="0.2">
      <c r="A11" t="s">
        <v>5</v>
      </c>
      <c r="B11" s="10">
        <v>11366</v>
      </c>
      <c r="C11" s="10">
        <v>140624271.71000001</v>
      </c>
      <c r="D11" s="10">
        <v>0</v>
      </c>
      <c r="E11" s="10">
        <v>29390.51</v>
      </c>
      <c r="F11" s="10">
        <v>0</v>
      </c>
      <c r="G11" s="10">
        <v>8828.19</v>
      </c>
      <c r="H11" s="12" t="str">
        <f t="shared" si="0"/>
        <v>not yet seasoned</v>
      </c>
    </row>
    <row r="12" spans="1:8" x14ac:dyDescent="0.2">
      <c r="A12" t="s">
        <v>6</v>
      </c>
      <c r="B12" s="10">
        <v>12347</v>
      </c>
      <c r="C12" s="10">
        <v>141888335.13999999</v>
      </c>
      <c r="D12" s="10">
        <v>0</v>
      </c>
      <c r="E12" s="10">
        <v>0</v>
      </c>
      <c r="F12" s="10">
        <v>0</v>
      </c>
      <c r="G12" s="10">
        <v>0</v>
      </c>
      <c r="H12" s="12" t="str">
        <f t="shared" si="0"/>
        <v>not yet seasoned</v>
      </c>
    </row>
    <row r="13" spans="1:8" x14ac:dyDescent="0.2">
      <c r="A13" t="s">
        <v>60</v>
      </c>
      <c r="B13" s="10">
        <v>13196</v>
      </c>
      <c r="C13" s="10">
        <v>160221212.53</v>
      </c>
      <c r="D13" s="10">
        <v>0</v>
      </c>
      <c r="E13" s="10">
        <v>0</v>
      </c>
      <c r="F13" s="10">
        <v>0</v>
      </c>
      <c r="G13" s="10">
        <v>0</v>
      </c>
      <c r="H13" s="12" t="str">
        <f t="shared" si="0"/>
        <v>not yet seasoned</v>
      </c>
    </row>
    <row r="14" spans="1:8" x14ac:dyDescent="0.2">
      <c r="A14" s="16" t="s">
        <v>95</v>
      </c>
      <c r="B14" s="17">
        <f t="shared" ref="B14:G14" si="1">SUM(B5:B13)</f>
        <v>72972</v>
      </c>
      <c r="C14" s="17">
        <f t="shared" si="1"/>
        <v>1024916598.91</v>
      </c>
      <c r="D14" s="17">
        <f t="shared" si="1"/>
        <v>582182779.52999997</v>
      </c>
      <c r="E14" s="17">
        <f t="shared" si="1"/>
        <v>3118560.6199999996</v>
      </c>
      <c r="F14" s="17">
        <f t="shared" si="1"/>
        <v>578837336.51999998</v>
      </c>
      <c r="G14" s="17">
        <f t="shared" si="1"/>
        <v>6668629.6699999999</v>
      </c>
      <c r="H14" s="21">
        <f>G14/F14</f>
        <v>1.1520731731114904E-2</v>
      </c>
    </row>
    <row r="16" spans="1:8" ht="15" customHeight="1" x14ac:dyDescent="0.2">
      <c r="A16" s="28" t="s">
        <v>96</v>
      </c>
      <c r="B16" s="25"/>
      <c r="C16" s="25"/>
      <c r="D16" s="25"/>
      <c r="E16" s="25"/>
      <c r="F16" s="25"/>
      <c r="G16" s="25"/>
      <c r="H16" s="25"/>
    </row>
    <row r="17" spans="1:8" ht="48" customHeight="1" x14ac:dyDescent="0.2">
      <c r="A17" s="27" t="s">
        <v>97</v>
      </c>
      <c r="B17" s="25"/>
      <c r="C17" s="25"/>
      <c r="D17" s="25"/>
      <c r="E17" s="25"/>
      <c r="F17" s="25"/>
      <c r="G17" s="25"/>
      <c r="H17" s="25"/>
    </row>
    <row r="18" spans="1:8" ht="48" customHeight="1" x14ac:dyDescent="0.2">
      <c r="A18" s="27" t="s">
        <v>98</v>
      </c>
      <c r="B18" s="25"/>
      <c r="C18" s="25"/>
      <c r="D18" s="25"/>
      <c r="E18" s="25"/>
      <c r="F18" s="25"/>
      <c r="G18" s="25"/>
      <c r="H18" s="25"/>
    </row>
    <row r="19" spans="1:8" ht="75" customHeight="1" x14ac:dyDescent="0.2">
      <c r="A19" s="27" t="s">
        <v>127</v>
      </c>
      <c r="B19" s="25"/>
      <c r="C19" s="25"/>
      <c r="D19" s="25"/>
      <c r="E19" s="25"/>
      <c r="F19" s="25"/>
      <c r="G19" s="25"/>
      <c r="H19" s="25"/>
    </row>
    <row r="20" spans="1:8" ht="74" customHeight="1" x14ac:dyDescent="0.2">
      <c r="A20" s="27" t="s">
        <v>128</v>
      </c>
      <c r="B20" s="25"/>
      <c r="C20" s="25"/>
      <c r="D20" s="25"/>
      <c r="E20" s="25"/>
      <c r="F20" s="25"/>
      <c r="G20" s="25"/>
      <c r="H20" s="25"/>
    </row>
    <row r="21" spans="1:8" ht="48" customHeight="1" x14ac:dyDescent="0.2">
      <c r="A21" s="27" t="s">
        <v>99</v>
      </c>
      <c r="B21" s="25"/>
      <c r="C21" s="25"/>
      <c r="D21" s="25"/>
      <c r="E21" s="25"/>
      <c r="F21" s="25"/>
      <c r="G21" s="25"/>
      <c r="H21" s="25"/>
    </row>
  </sheetData>
  <mergeCells count="6">
    <mergeCell ref="A18:H18"/>
    <mergeCell ref="A21:H21"/>
    <mergeCell ref="A20:H20"/>
    <mergeCell ref="A16:H16"/>
    <mergeCell ref="A19:H19"/>
    <mergeCell ref="A17:H1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showGridLines="0" workbookViewId="0"/>
  </sheetViews>
  <sheetFormatPr baseColWidth="10" defaultColWidth="8.83203125" defaultRowHeight="15" x14ac:dyDescent="0.2"/>
  <cols>
    <col min="1" max="1" width="30" customWidth="1"/>
    <col min="2" max="2" width="110" customWidth="1"/>
  </cols>
  <sheetData>
    <row r="1" spans="1:2" ht="19" x14ac:dyDescent="0.25">
      <c r="A1" s="1" t="s">
        <v>100</v>
      </c>
    </row>
    <row r="3" spans="1:2" ht="16" x14ac:dyDescent="0.2">
      <c r="A3" s="3" t="s">
        <v>101</v>
      </c>
      <c r="B3" s="3" t="s">
        <v>102</v>
      </c>
    </row>
    <row r="4" spans="1:2" ht="75" customHeight="1" x14ac:dyDescent="0.2">
      <c r="A4" s="23" t="s">
        <v>103</v>
      </c>
      <c r="B4" s="22" t="s">
        <v>104</v>
      </c>
    </row>
    <row r="5" spans="1:2" ht="195" customHeight="1" x14ac:dyDescent="0.2">
      <c r="A5" s="23" t="s">
        <v>105</v>
      </c>
      <c r="B5" s="22" t="s">
        <v>106</v>
      </c>
    </row>
    <row r="6" spans="1:2" ht="30" customHeight="1" x14ac:dyDescent="0.2">
      <c r="A6" s="23" t="s">
        <v>107</v>
      </c>
      <c r="B6" s="22" t="s">
        <v>108</v>
      </c>
    </row>
    <row r="7" spans="1:2" ht="105" customHeight="1" x14ac:dyDescent="0.2">
      <c r="A7" s="23" t="s">
        <v>62</v>
      </c>
      <c r="B7" s="22" t="s">
        <v>109</v>
      </c>
    </row>
    <row r="8" spans="1:2" ht="105" customHeight="1" x14ac:dyDescent="0.2">
      <c r="A8" s="23" t="s">
        <v>110</v>
      </c>
      <c r="B8" s="22" t="s">
        <v>111</v>
      </c>
    </row>
    <row r="9" spans="1:2" ht="30" customHeight="1" x14ac:dyDescent="0.2">
      <c r="A9" s="23" t="s">
        <v>29</v>
      </c>
      <c r="B9" s="22" t="s">
        <v>112</v>
      </c>
    </row>
    <row r="10" spans="1:2" ht="90" customHeight="1" x14ac:dyDescent="0.2">
      <c r="A10" s="23" t="s">
        <v>32</v>
      </c>
      <c r="B10" s="22" t="s">
        <v>113</v>
      </c>
    </row>
    <row r="11" spans="1:2" ht="45" customHeight="1" x14ac:dyDescent="0.2">
      <c r="A11" s="23" t="s">
        <v>114</v>
      </c>
      <c r="B11" s="22" t="s">
        <v>115</v>
      </c>
    </row>
    <row r="12" spans="1:2" ht="45" customHeight="1" x14ac:dyDescent="0.2">
      <c r="A12" s="23" t="s">
        <v>116</v>
      </c>
      <c r="B12" s="22" t="s">
        <v>117</v>
      </c>
    </row>
    <row r="13" spans="1:2" ht="90" customHeight="1" x14ac:dyDescent="0.2">
      <c r="A13" s="23" t="s">
        <v>118</v>
      </c>
      <c r="B13" s="22" t="s">
        <v>119</v>
      </c>
    </row>
    <row r="14" spans="1:2" ht="90" customHeight="1" x14ac:dyDescent="0.2">
      <c r="A14" s="23" t="s">
        <v>94</v>
      </c>
      <c r="B14" s="22" t="s">
        <v>120</v>
      </c>
    </row>
    <row r="15" spans="1:2" ht="45" customHeight="1" x14ac:dyDescent="0.2">
      <c r="A15" s="23" t="s">
        <v>44</v>
      </c>
      <c r="B15" s="22" t="s">
        <v>121</v>
      </c>
    </row>
    <row r="16" spans="1:2" ht="30" customHeight="1" x14ac:dyDescent="0.2">
      <c r="A16" s="23" t="s">
        <v>46</v>
      </c>
      <c r="B16" s="22" t="s">
        <v>122</v>
      </c>
    </row>
    <row r="17" spans="1:2" ht="60" customHeight="1" x14ac:dyDescent="0.2">
      <c r="A17" s="23" t="s">
        <v>123</v>
      </c>
      <c r="B17" s="22" t="s">
        <v>124</v>
      </c>
    </row>
    <row r="18" spans="1:2" ht="30" customHeight="1" x14ac:dyDescent="0.2">
      <c r="A18" s="23" t="s">
        <v>125</v>
      </c>
      <c r="B18" s="22" t="s">
        <v>126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Yield Summary</vt:lpstr>
      <vt:lpstr>Monthly Detail</vt:lpstr>
      <vt:lpstr>Loss Rate</vt:lpstr>
      <vt:lpstr>Notes</vt:lpstr>
      <vt:lpstr>loss_rate_xfpd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Steven Abraham</cp:lastModifiedBy>
  <dcterms:created xsi:type="dcterms:W3CDTF">2026-10-28T23:23:37Z</dcterms:created>
  <dcterms:modified xsi:type="dcterms:W3CDTF">2026-10-29T01:05:20Z</dcterms:modified>
</cp:coreProperties>
</file>