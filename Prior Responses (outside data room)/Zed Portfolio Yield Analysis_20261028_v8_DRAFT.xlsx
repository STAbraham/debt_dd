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4" fillId="0" borderId="0" pivotButton="0" quotePrefix="0" xfId="0"/>
    <xf numFmtId="3" fontId="4" fillId="0" borderId="0" pivotButton="0" quotePrefix="0" xfId="0"/>
    <xf numFmtId="0" fontId="0" fillId="0" borderId="0" applyAlignment="1" pivotButton="0" quotePrefix="0" xfId="0">
      <alignment vertical="center"/>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0" fontId="0" fillId="0" borderId="0" applyAlignment="1" pivotButton="0" quotePrefix="0" xfId="0">
      <alignment indent="1"/>
    </xf>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center"/>
    </xf>
    <xf numFmtId="0" fontId="2" fillId="0" borderId="0" pivotButton="0" quotePrefix="0" xfId="0"/>
    <xf numFmtId="10" fontId="4" fillId="4" borderId="1"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110" customWidth="1" min="10" max="10"/>
  </cols>
  <sheetData>
    <row r="1">
      <c r="A1" s="1" t="inlineStr">
        <is>
          <t>Zed — Portfolio yield on receivables</t>
        </is>
      </c>
    </row>
    <row r="2" ht="60" customHeight="1">
      <c r="A2" s="2" t="inlineStr">
        <is>
          <t>Each column is a book: a month's average receivables and what that capital earned and lost. The product works in two steps — a purchase earns interchange the day it settles and, if converted, its upfront fee and installment charges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is>
      </c>
    </row>
    <row r="3" ht="18" customHeight="1">
      <c r="A3" s="3" t="n"/>
      <c r="B3" s="4" t="inlineStr">
        <is>
          <t>Book — the month's receivables and what they earned (interest and late fees arrive the following month)</t>
        </is>
      </c>
      <c r="J3" s="3" t="n"/>
    </row>
    <row r="4" ht="20" customHeight="1">
      <c r="A4" s="5" t="inlineStr"/>
      <c r="B4" s="6" t="inlineStr">
        <is>
          <t>Jun 2026</t>
        </is>
      </c>
      <c r="C4" s="6" t="inlineStr">
        <is>
          <t>Annualized</t>
        </is>
      </c>
      <c r="D4" s="6" t="inlineStr">
        <is>
          <t>Jul 2026</t>
        </is>
      </c>
      <c r="E4" s="6" t="inlineStr">
        <is>
          <t>Annualized</t>
        </is>
      </c>
      <c r="F4" s="6" t="inlineStr">
        <is>
          <t>Aug 2026</t>
        </is>
      </c>
      <c r="G4" s="6" t="inlineStr">
        <is>
          <t>Annualized</t>
        </is>
      </c>
      <c r="H4" s="6" t="inlineStr">
        <is>
          <t>Jun–Aug 2026</t>
        </is>
      </c>
      <c r="I4" s="6" t="inlineStr">
        <is>
          <t>Annualized</t>
        </is>
      </c>
      <c r="J4" s="5" t="inlineStr">
        <is>
          <t>Notes</t>
        </is>
      </c>
    </row>
    <row r="5" ht="18" customHeight="1">
      <c r="A5" s="7" t="inlineStr">
        <is>
          <t>Average receivables of the book month (denominator)</t>
        </is>
      </c>
      <c r="B5" s="8">
        <f>'Monthly Detail'!G16</f>
        <v/>
      </c>
      <c r="C5" s="7" t="n"/>
      <c r="D5" s="8">
        <f>'Monthly Detail'!H16</f>
        <v/>
      </c>
      <c r="E5" s="7" t="n"/>
      <c r="F5" s="8">
        <f>'Monthly Detail'!I16</f>
        <v/>
      </c>
      <c r="G5" s="7" t="n"/>
      <c r="H5" s="8">
        <f>AVERAGE('Monthly Detail'!G16:I16)</f>
        <v/>
      </c>
      <c r="I5" s="7" t="n"/>
      <c r="J5" s="9" t="inlineStr">
        <is>
          <t>The capital employed; the quarter averages the three months.</t>
        </is>
      </c>
    </row>
    <row r="6" ht="18" customHeight="1">
      <c r="A6" s="10" t="inlineStr">
        <is>
          <t>Earned as the balance is created — the book month's purchases, conversions and statements</t>
        </is>
      </c>
      <c r="B6" s="11" t="n"/>
      <c r="C6" s="11" t="n"/>
      <c r="D6" s="11" t="n"/>
      <c r="E6" s="11" t="n"/>
      <c r="F6" s="11" t="n"/>
      <c r="G6" s="11" t="n"/>
      <c r="H6" s="11" t="n"/>
      <c r="I6" s="11" t="n"/>
      <c r="J6" s="11" t="n"/>
    </row>
    <row r="7" ht="18" customHeight="1">
      <c r="A7" t="inlineStr">
        <is>
          <t>Purchase volume settled</t>
        </is>
      </c>
      <c r="B7" s="12">
        <f>'Monthly Detail'!G20</f>
        <v/>
      </c>
      <c r="D7" s="12">
        <f>'Monthly Detail'!H20</f>
        <v/>
      </c>
      <c r="F7" s="12">
        <f>'Monthly Detail'!I20</f>
        <v/>
      </c>
      <c r="H7" s="12">
        <f>'Monthly Detail'!G20+'Monthly Detail'!H20+'Monthly Detail'!I20</f>
        <v/>
      </c>
      <c r="J7" s="9" t="inlineStr">
        <is>
          <t>Mastercard purchases in the month, net of returns.</t>
        </is>
      </c>
    </row>
    <row r="8" ht="18" customHeight="1">
      <c r="A8" t="inlineStr">
        <is>
          <t>Purchase turnover</t>
        </is>
      </c>
      <c r="C8" s="13">
        <f>B7*12/B$5</f>
        <v/>
      </c>
      <c r="E8" s="13">
        <f>D7*12/D$5</f>
        <v/>
      </c>
      <c r="G8" s="13">
        <f>F7*12/F$5</f>
        <v/>
      </c>
      <c r="I8" s="13">
        <f>H7*4/H$5</f>
        <v/>
      </c>
      <c r="J8" s="9" t="inlineStr">
        <is>
          <t>Annualized purchases ÷ receivables: how often the book is re-spent</t>
        </is>
      </c>
    </row>
    <row r="9" ht="18" customHeight="1">
      <c r="A9" t="inlineStr">
        <is>
          <t>Interchange rate on purchase volume</t>
        </is>
      </c>
      <c r="C9" s="14">
        <f>B10/B7</f>
        <v/>
      </c>
      <c r="E9" s="14">
        <f>D10/D7</f>
        <v/>
      </c>
      <c r="G9" s="14">
        <f>F10/F7</f>
        <v/>
      </c>
      <c r="I9" s="14">
        <f>H10/H7</f>
        <v/>
      </c>
      <c r="J9" s="9" t="inlineStr">
        <is>
          <t>Set by Mastercard by merchant category and domestic/foreign</t>
        </is>
      </c>
    </row>
    <row r="10" ht="18" customHeight="1">
      <c r="A10" s="7" t="inlineStr">
        <is>
          <t>Interchange income</t>
        </is>
      </c>
      <c r="B10" s="8">
        <f>'Monthly Detail'!G9</f>
        <v/>
      </c>
      <c r="C10" s="15">
        <f>C9*C8</f>
        <v/>
      </c>
      <c r="D10" s="8">
        <f>'Monthly Detail'!H9</f>
        <v/>
      </c>
      <c r="E10" s="15">
        <f>E9*E8</f>
        <v/>
      </c>
      <c r="F10" s="8">
        <f>'Monthly Detail'!I9</f>
        <v/>
      </c>
      <c r="G10" s="15">
        <f>G9*G8</f>
        <v/>
      </c>
      <c r="H10" s="8">
        <f>'Monthly Detail'!G9+'Monthly Detail'!H9+'Monthly Detail'!I9</f>
        <v/>
      </c>
      <c r="I10" s="15">
        <f>I9*I8</f>
        <v/>
      </c>
      <c r="J10" s="9" t="inlineStr">
        <is>
          <t>Rate × turnover</t>
        </is>
      </c>
    </row>
    <row r="11" ht="18" customHeight="1">
      <c r="A11" s="7" t="inlineStr">
        <is>
          <t>Installments</t>
        </is>
      </c>
      <c r="B11" s="8">
        <f>B12+B13</f>
        <v/>
      </c>
      <c r="C11" s="15">
        <f>B11*12/B$5</f>
        <v/>
      </c>
      <c r="D11" s="8">
        <f>D12+D13</f>
        <v/>
      </c>
      <c r="E11" s="15">
        <f>D11*12/D$5</f>
        <v/>
      </c>
      <c r="F11" s="8">
        <f>F12+F13</f>
        <v/>
      </c>
      <c r="G11" s="15">
        <f>F11*12/F$5</f>
        <v/>
      </c>
      <c r="H11" s="8">
        <f>H12+H13</f>
        <v/>
      </c>
      <c r="I11" s="15">
        <f>H11*4/H$5</f>
        <v/>
      </c>
      <c r="J11" s="9" t="inlineStr">
        <is>
          <t>Upfront fees + installment interest</t>
        </is>
      </c>
    </row>
    <row r="12" ht="18" customHeight="1">
      <c r="A12" s="16" t="inlineStr">
        <is>
          <t>Installment upfront fees</t>
        </is>
      </c>
      <c r="B12" s="12">
        <f>'Monthly Detail'!G7</f>
        <v/>
      </c>
      <c r="C12" s="17">
        <f>B12*12/B$5</f>
        <v/>
      </c>
      <c r="D12" s="12">
        <f>'Monthly Detail'!H7</f>
        <v/>
      </c>
      <c r="E12" s="17">
        <f>D12*12/D$5</f>
        <v/>
      </c>
      <c r="F12" s="12">
        <f>'Monthly Detail'!I7</f>
        <v/>
      </c>
      <c r="G12" s="17">
        <f>F12*12/F$5</f>
        <v/>
      </c>
      <c r="H12" s="12">
        <f>'Monthly Detail'!G7+'Monthly Detail'!H7+'Monthly Detail'!I7</f>
        <v/>
      </c>
      <c r="I12" s="17">
        <f>H12*4/H$5</f>
        <v/>
      </c>
      <c r="J12" s="9" t="inlineStr">
        <is>
          <t>0.5% × term in months, billed at conversion.</t>
        </is>
      </c>
    </row>
    <row r="13" ht="18" customHeight="1">
      <c r="A13" s="16" t="inlineStr">
        <is>
          <t>Installment interest</t>
        </is>
      </c>
      <c r="B13" s="12">
        <f>'Monthly Detail'!G12</f>
        <v/>
      </c>
      <c r="C13" s="17">
        <f>B13*12/B$5</f>
        <v/>
      </c>
      <c r="D13" s="12">
        <f>'Monthly Detail'!H12</f>
        <v/>
      </c>
      <c r="E13" s="17">
        <f>D13*12/D$5</f>
        <v/>
      </c>
      <c r="F13" s="12">
        <f>'Monthly Detail'!I12</f>
        <v/>
      </c>
      <c r="G13" s="17">
        <f>F13*12/F$5</f>
        <v/>
      </c>
      <c r="H13" s="12">
        <f>'Monthly Detail'!G12+'Monthly Detail'!H12+'Monthly Detail'!I12</f>
        <v/>
      </c>
      <c r="I13" s="17">
        <f>H13*4/H$5</f>
        <v/>
      </c>
      <c r="J13" s="9" t="inlineStr">
        <is>
          <t>1% of plan per month of term (3% on 3 months); one charge per statement, from the first after conversion</t>
        </is>
      </c>
    </row>
    <row r="14" ht="18" customHeight="1">
      <c r="A14" s="10" t="inlineStr">
        <is>
          <t>Earned the following month — charged on the balance billed at the end of the book month</t>
        </is>
      </c>
      <c r="B14" s="11" t="n"/>
      <c r="C14" s="11" t="n"/>
      <c r="D14" s="11" t="n"/>
      <c r="E14" s="11" t="n"/>
      <c r="F14" s="11" t="n"/>
      <c r="G14" s="11" t="n"/>
      <c r="H14" s="11" t="n"/>
      <c r="I14" s="11" t="n"/>
      <c r="J14" s="11" t="n"/>
    </row>
    <row r="15" ht="18" customHeight="1">
      <c r="A15" t="inlineStr">
        <is>
          <t>Revolving interest (accrued)</t>
        </is>
      </c>
      <c r="B15" s="12">
        <f>'Monthly Detail'!H11</f>
        <v/>
      </c>
      <c r="C15" s="17">
        <f>B15*12/B$5</f>
        <v/>
      </c>
      <c r="D15" s="12">
        <f>'Monthly Detail'!I11</f>
        <v/>
      </c>
      <c r="E15" s="17">
        <f>D15*12/D$5</f>
        <v/>
      </c>
      <c r="F15" s="12">
        <f>'Monthly Detail'!J11</f>
        <v/>
      </c>
      <c r="G15" s="17">
        <f>F15*12/F$5</f>
        <v/>
      </c>
      <c r="H15" s="12">
        <f>'Monthly Detail'!H11+'Monthly Detail'!I11+'Monthly Detail'!J11</f>
        <v/>
      </c>
      <c r="I15" s="17">
        <f>H15*4/H$5</f>
        <v/>
      </c>
      <c r="J15" s="9" t="inlineStr">
        <is>
          <t>3%/month (BSP cap) on billed balances unpaid past due date; no interest until a purchase is statemented</t>
        </is>
      </c>
    </row>
    <row r="16" ht="18" customHeight="1">
      <c r="A16" t="inlineStr">
        <is>
          <t>Late payment fees</t>
        </is>
      </c>
      <c r="B16" s="12">
        <f>'Monthly Detail'!H8</f>
        <v/>
      </c>
      <c r="C16" s="17">
        <f>B16*12/B$5</f>
        <v/>
      </c>
      <c r="D16" s="12">
        <f>'Monthly Detail'!I8</f>
        <v/>
      </c>
      <c r="E16" s="17">
        <f>D16*12/D$5</f>
        <v/>
      </c>
      <c r="F16" s="12">
        <f>'Monthly Detail'!J8</f>
        <v/>
      </c>
      <c r="G16" s="17">
        <f>F16*12/F$5</f>
        <v/>
      </c>
      <c r="H16" s="12">
        <f>'Monthly Detail'!H8+'Monthly Detail'!I8+'Monthly Detail'!J8</f>
        <v/>
      </c>
      <c r="I16" s="17">
        <f>H16*4/H$5</f>
        <v/>
      </c>
      <c r="J16" s="9" t="inlineStr">
        <is>
          <t>Charged when the book month's statement is not paid by its due date.</t>
        </is>
      </c>
    </row>
    <row r="17" ht="18" customHeight="1">
      <c r="A17" s="10" t="inlineStr">
        <is>
          <t>Gross yield</t>
        </is>
      </c>
      <c r="B17" s="11" t="n"/>
      <c r="C17" s="11" t="n"/>
      <c r="D17" s="11" t="n"/>
      <c r="E17" s="11" t="n"/>
      <c r="F17" s="11" t="n"/>
      <c r="G17" s="11" t="n"/>
      <c r="H17" s="11" t="n"/>
      <c r="I17" s="11" t="n"/>
      <c r="J17" s="11" t="n"/>
    </row>
    <row r="18" ht="18" customHeight="1">
      <c r="A18" t="inlineStr">
        <is>
          <t>Interchange</t>
        </is>
      </c>
      <c r="B18" s="12">
        <f>B10</f>
        <v/>
      </c>
      <c r="C18" s="17">
        <f>C10</f>
        <v/>
      </c>
      <c r="D18" s="12">
        <f>D10</f>
        <v/>
      </c>
      <c r="E18" s="17">
        <f>E10</f>
        <v/>
      </c>
      <c r="F18" s="12">
        <f>F10</f>
        <v/>
      </c>
      <c r="G18" s="17">
        <f>G10</f>
        <v/>
      </c>
      <c r="H18" s="12">
        <f>H10</f>
        <v/>
      </c>
      <c r="I18" s="17">
        <f>I10</f>
        <v/>
      </c>
    </row>
    <row r="19" ht="18" customHeight="1">
      <c r="A19" t="inlineStr">
        <is>
          <t>Interest and fees</t>
        </is>
      </c>
      <c r="B19" s="12">
        <f>B11+B15+B16</f>
        <v/>
      </c>
      <c r="C19" s="17">
        <f>B19*12/B$5</f>
        <v/>
      </c>
      <c r="D19" s="12">
        <f>D11+D15+D16</f>
        <v/>
      </c>
      <c r="E19" s="17">
        <f>D19*12/D$5</f>
        <v/>
      </c>
      <c r="F19" s="12">
        <f>F11+F15+F16</f>
        <v/>
      </c>
      <c r="G19" s="17">
        <f>F19*12/F$5</f>
        <v/>
      </c>
      <c r="H19" s="12">
        <f>H11+H15+H16</f>
        <v/>
      </c>
      <c r="I19" s="17">
        <f>H19*4/H$5</f>
        <v/>
      </c>
      <c r="J19" s="9" t="inlineStr">
        <is>
          <t>Installments + revolving interest + late fees</t>
        </is>
      </c>
    </row>
    <row r="20" ht="18" customHeight="1">
      <c r="A20" s="18" t="inlineStr">
        <is>
          <t>Gross yield — all revenue</t>
        </is>
      </c>
      <c r="B20" s="19">
        <f>B18+B19</f>
        <v/>
      </c>
      <c r="C20" s="20">
        <f>C18+C19</f>
        <v/>
      </c>
      <c r="D20" s="19">
        <f>D18+D19</f>
        <v/>
      </c>
      <c r="E20" s="20">
        <f>E18+E19</f>
        <v/>
      </c>
      <c r="F20" s="19">
        <f>F18+F19</f>
        <v/>
      </c>
      <c r="G20" s="20">
        <f>G18+G19</f>
        <v/>
      </c>
      <c r="H20" s="19">
        <f>H18+H19</f>
        <v/>
      </c>
      <c r="I20" s="20">
        <f>I18+I19</f>
        <v/>
      </c>
      <c r="J20" s="21" t="inlineStr">
        <is>
          <t>Amount: revenue attributable to the book.</t>
        </is>
      </c>
    </row>
    <row r="21" ht="18" customHeight="1">
      <c r="A21" s="10" t="inlineStr">
        <is>
          <t>Loss on the principal the book lent</t>
        </is>
      </c>
      <c r="B21" s="11" t="n"/>
      <c r="C21" s="11" t="n"/>
      <c r="D21" s="11" t="n"/>
      <c r="E21" s="11" t="n"/>
      <c r="F21" s="11" t="n"/>
      <c r="G21" s="11" t="n"/>
      <c r="H21" s="11" t="n"/>
      <c r="I21" s="11" t="n"/>
      <c r="J21" s="11" t="n"/>
    </row>
    <row r="22" ht="18" customHeight="1">
      <c r="A22" t="inlineStr">
        <is>
          <t>Principal flow (purchase volume + pay-a-friend transfers)</t>
        </is>
      </c>
      <c r="B22" s="12">
        <f>'Monthly Detail'!G22</f>
        <v/>
      </c>
      <c r="D22" s="12">
        <f>'Monthly Detail'!H22</f>
        <v/>
      </c>
      <c r="F22" s="12">
        <f>'Monthly Detail'!I22</f>
        <v/>
      </c>
      <c r="H22" s="12">
        <f>'Monthly Detail'!G22+'Monthly Detail'!H22+'Monthly Detail'!I22</f>
        <v/>
      </c>
      <c r="J22" s="9" t="inlineStr">
        <is>
          <t>Everything that became a receivable in the month; pay-a-friend transfers earn no interchange.</t>
        </is>
      </c>
    </row>
    <row r="23" ht="18" customHeight="1">
      <c r="A23" t="inlineStr">
        <is>
          <t>Principal turnover</t>
        </is>
      </c>
      <c r="C23" s="13">
        <f>B22*12/B$5</f>
        <v/>
      </c>
      <c r="E23" s="13">
        <f>D22*12/D$5</f>
        <v/>
      </c>
      <c r="G23" s="13">
        <f>F22*12/F$5</f>
        <v/>
      </c>
      <c r="I23" s="13">
        <f>H22*4/H$5</f>
        <v/>
      </c>
      <c r="J23" s="9" t="inlineStr">
        <is>
          <t>Annualized principal flow ÷ receivables</t>
        </is>
      </c>
    </row>
    <row r="24" ht="18" customHeight="1">
      <c r="A24" t="inlineStr">
        <is>
          <t>Loss rate on originated principal — ≥90 DPD, excluding first-payment defaults</t>
        </is>
      </c>
      <c r="C24" s="14">
        <f>loss_rate_xfpd</f>
        <v/>
      </c>
      <c r="E24" s="14">
        <f>loss_rate_xfpd</f>
        <v/>
      </c>
      <c r="G24" s="14">
        <f>loss_rate_xfpd</f>
        <v/>
      </c>
      <c r="I24" s="14">
        <f>loss_rate_xfpd</f>
        <v/>
      </c>
      <c r="J24" s="9" t="inlineStr">
        <is>
          <t>Loss Rate tab: 90+ DPD ÷ principal seasoned 90 days, vintages since Jan 2026, ex-FPD, before recoveries</t>
        </is>
      </c>
    </row>
    <row r="25" ht="18" customHeight="1">
      <c r="A25" s="7" t="inlineStr">
        <is>
          <t>Loss on receivables</t>
        </is>
      </c>
      <c r="B25" s="7" t="n"/>
      <c r="C25" s="15">
        <f>C24*C23</f>
        <v/>
      </c>
      <c r="D25" s="7" t="n"/>
      <c r="E25" s="15">
        <f>E24*E23</f>
        <v/>
      </c>
      <c r="F25" s="7" t="n"/>
      <c r="G25" s="15">
        <f>G24*G23</f>
        <v/>
      </c>
      <c r="H25" s="7" t="n"/>
      <c r="I25" s="15">
        <f>I24*I23</f>
        <v/>
      </c>
      <c r="J25" s="9" t="inlineStr">
        <is>
          <t>Loss rate × principal turnover</t>
        </is>
      </c>
    </row>
    <row r="26" ht="18" customHeight="1">
      <c r="A26" s="10" t="inlineStr">
        <is>
          <t>Net yield</t>
        </is>
      </c>
      <c r="B26" s="11" t="n"/>
      <c r="C26" s="11" t="n"/>
      <c r="D26" s="11" t="n"/>
      <c r="E26" s="11" t="n"/>
      <c r="F26" s="11" t="n"/>
      <c r="G26" s="11" t="n"/>
      <c r="H26" s="11" t="n"/>
      <c r="I26" s="11" t="n"/>
      <c r="J26" s="11" t="n"/>
    </row>
    <row r="27" ht="18" customHeight="1">
      <c r="A27" s="7" t="inlineStr">
        <is>
          <t>Net yield — all revenue less loss on receivables</t>
        </is>
      </c>
      <c r="B27" s="7" t="n"/>
      <c r="C27" s="15">
        <f>C20-C25</f>
        <v/>
      </c>
      <c r="D27" s="7" t="n"/>
      <c r="E27" s="15">
        <f>E20-E25</f>
        <v/>
      </c>
      <c r="F27" s="7" t="n"/>
      <c r="G27" s="15">
        <f>G20-G25</f>
        <v/>
      </c>
      <c r="H27" s="7" t="n"/>
      <c r="I27" s="15">
        <f>I20-I25</f>
        <v/>
      </c>
      <c r="J27" s="9" t="inlineStr">
        <is>
          <t>Before operating, servicing and funding costs.</t>
        </is>
      </c>
    </row>
    <row r="28" ht="18" customHeight="1">
      <c r="A28" s="10" t="inlineStr">
        <is>
          <t>Memo — USD at 55.8</t>
        </is>
      </c>
      <c r="B28" s="11" t="n"/>
      <c r="C28" s="11" t="n"/>
      <c r="D28" s="11" t="n"/>
      <c r="E28" s="11" t="n"/>
      <c r="F28" s="11" t="n"/>
      <c r="G28" s="11" t="n"/>
      <c r="H28" s="11" t="n"/>
      <c r="I28" s="11" t="n"/>
      <c r="J28" s="11" t="n"/>
    </row>
    <row r="29" ht="18" customHeight="1">
      <c r="A29" t="inlineStr">
        <is>
          <t>Average receivables of the book month (USD)</t>
        </is>
      </c>
      <c r="B29" s="12">
        <f>B5/55.8</f>
        <v/>
      </c>
      <c r="D29" s="12">
        <f>D5/55.8</f>
        <v/>
      </c>
      <c r="F29" s="12">
        <f>F5/55.8</f>
        <v/>
      </c>
      <c r="H29" s="12">
        <f>H5/55.8</f>
        <v/>
      </c>
    </row>
    <row r="30" ht="18" customHeight="1">
      <c r="A30" t="inlineStr">
        <is>
          <t>Revenue attributable to the book (USD)</t>
        </is>
      </c>
      <c r="B30" s="12">
        <f>B20/55.8</f>
        <v/>
      </c>
      <c r="D30" s="12">
        <f>D20/55.8</f>
        <v/>
      </c>
      <c r="F30" s="12">
        <f>F20/55.8</f>
        <v/>
      </c>
      <c r="H30" s="12">
        <f>H20/55.8</f>
        <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2" t="inlineStr">
        <is>
          <t>PHP. Revenue is recognised in the month billed (interest and fees) or settled (interchange). Yields are annualized simply: month ÷ average receivables × 12.</t>
        </is>
      </c>
    </row>
    <row r="3"/>
    <row r="4">
      <c r="A4" s="5" t="inlineStr">
        <is>
          <t>Line</t>
        </is>
      </c>
      <c r="B4" s="6" t="inlineStr">
        <is>
          <t>Jan 2026</t>
        </is>
      </c>
      <c r="C4" s="6" t="inlineStr">
        <is>
          <t>Feb 2026</t>
        </is>
      </c>
      <c r="D4" s="6" t="inlineStr">
        <is>
          <t>Mar 2026</t>
        </is>
      </c>
      <c r="E4" s="6" t="inlineStr">
        <is>
          <t>Apr 2026</t>
        </is>
      </c>
      <c r="F4" s="6" t="inlineStr">
        <is>
          <t>May 2026</t>
        </is>
      </c>
      <c r="G4" s="6" t="inlineStr">
        <is>
          <t>Jun 2026</t>
        </is>
      </c>
      <c r="H4" s="6" t="inlineStr">
        <is>
          <t>Jul 2026</t>
        </is>
      </c>
      <c r="I4" s="6" t="inlineStr">
        <is>
          <t>Aug 2026</t>
        </is>
      </c>
      <c r="J4" s="6" t="inlineStr">
        <is>
          <t>Sep 2026</t>
        </is>
      </c>
      <c r="K4" s="6" t="inlineStr">
        <is>
          <t>Jul–Sep 2026</t>
        </is>
      </c>
    </row>
    <row r="5">
      <c r="A5" t="inlineStr">
        <is>
          <t>Revolving interest</t>
        </is>
      </c>
      <c r="B5" s="12" t="n">
        <v>0</v>
      </c>
      <c r="C5" s="12" t="n">
        <v>0</v>
      </c>
      <c r="D5" s="12" t="n">
        <v>0</v>
      </c>
      <c r="E5" s="12" t="n">
        <v>0</v>
      </c>
      <c r="F5" s="12" t="n">
        <v>0</v>
      </c>
      <c r="G5" s="12" t="n">
        <v>685463.409999999</v>
      </c>
      <c r="H5" s="12" t="n">
        <v>1501634.9</v>
      </c>
      <c r="I5" s="12" t="n">
        <v>1951592.03</v>
      </c>
      <c r="J5" s="12" t="n">
        <v>2229680.03</v>
      </c>
      <c r="K5" s="12">
        <f>SUM(H5:J5)</f>
        <v/>
      </c>
    </row>
    <row r="6">
      <c r="A6" t="inlineStr">
        <is>
          <t>Installment interest</t>
        </is>
      </c>
      <c r="B6" s="12" t="n">
        <v>1316.21</v>
      </c>
      <c r="C6" s="12" t="n">
        <v>47765.48</v>
      </c>
      <c r="D6" s="12" t="n">
        <v>134016.53</v>
      </c>
      <c r="E6" s="12" t="n">
        <v>220070.96</v>
      </c>
      <c r="F6" s="12" t="n">
        <v>257582.01</v>
      </c>
      <c r="G6" s="12" t="n">
        <v>340853.06</v>
      </c>
      <c r="H6" s="12" t="n">
        <v>403236.04</v>
      </c>
      <c r="I6" s="12" t="n">
        <v>445213.13</v>
      </c>
      <c r="J6" s="12" t="n">
        <v>486325.05</v>
      </c>
      <c r="K6" s="12">
        <f>SUM(H6:J6)</f>
        <v/>
      </c>
    </row>
    <row r="7">
      <c r="A7" t="inlineStr">
        <is>
          <t>Installment upfront fees</t>
        </is>
      </c>
      <c r="B7" s="12" t="n">
        <v>2185.69</v>
      </c>
      <c r="C7" s="12" t="n">
        <v>146390.53</v>
      </c>
      <c r="D7" s="12" t="n">
        <v>291311.38</v>
      </c>
      <c r="E7" s="12" t="n">
        <v>307856.48</v>
      </c>
      <c r="F7" s="12" t="n">
        <v>320397.94</v>
      </c>
      <c r="G7" s="12" t="n">
        <v>337749.34</v>
      </c>
      <c r="H7" s="12" t="n">
        <v>290513.47</v>
      </c>
      <c r="I7" s="12" t="n">
        <v>341458.41</v>
      </c>
      <c r="J7" s="12" t="n">
        <v>439733.93</v>
      </c>
      <c r="K7" s="12">
        <f>SUM(H7:J7)</f>
        <v/>
      </c>
    </row>
    <row r="8">
      <c r="A8" t="inlineStr">
        <is>
          <t>Late payment fees</t>
        </is>
      </c>
      <c r="B8" s="12" t="n">
        <v>64707.62</v>
      </c>
      <c r="C8" s="12" t="n">
        <v>71011.07000000001</v>
      </c>
      <c r="D8" s="12" t="n">
        <v>104805.31</v>
      </c>
      <c r="E8" s="12" t="n">
        <v>138112.4</v>
      </c>
      <c r="F8" s="12" t="n">
        <v>139049.93</v>
      </c>
      <c r="G8" s="12" t="n">
        <v>84871.59</v>
      </c>
      <c r="H8" s="12" t="n">
        <v>89421.49000000001</v>
      </c>
      <c r="I8" s="12" t="n">
        <v>108174.67</v>
      </c>
      <c r="J8" s="12" t="n">
        <v>126426.4</v>
      </c>
      <c r="K8" s="12">
        <f>SUM(H8:J8)</f>
        <v/>
      </c>
    </row>
    <row r="9">
      <c r="A9" t="inlineStr">
        <is>
          <t>Interchange</t>
        </is>
      </c>
      <c r="B9" s="12" t="n">
        <v>800466.96</v>
      </c>
      <c r="C9" s="12" t="n">
        <v>864632.9299999999</v>
      </c>
      <c r="D9" s="12" t="n">
        <v>1364620.690445234</v>
      </c>
      <c r="E9" s="12" t="n">
        <v>1521533.27</v>
      </c>
      <c r="F9" s="12" t="n">
        <v>1545608.623867449</v>
      </c>
      <c r="G9" s="12" t="n">
        <v>1963194.1105</v>
      </c>
      <c r="H9" s="12" t="n">
        <v>1811444.7469</v>
      </c>
      <c r="I9" s="12" t="n">
        <v>1892210.135992006</v>
      </c>
      <c r="J9" s="12" t="n">
        <v>2630889.798</v>
      </c>
      <c r="K9" s="12">
        <f>SUM(H9:J9)</f>
        <v/>
      </c>
    </row>
    <row r="10">
      <c r="A10" t="inlineStr">
        <is>
          <t>Total revenue — billed basis (ties to management reporting)</t>
        </is>
      </c>
      <c r="B10" s="12">
        <f>SUM(B5:B9)</f>
        <v/>
      </c>
      <c r="C10" s="12">
        <f>SUM(C5:C9)</f>
        <v/>
      </c>
      <c r="D10" s="12">
        <f>SUM(D5:D9)</f>
        <v/>
      </c>
      <c r="E10" s="12">
        <f>SUM(E5:E9)</f>
        <v/>
      </c>
      <c r="F10" s="12">
        <f>SUM(F5:F9)</f>
        <v/>
      </c>
      <c r="G10" s="12">
        <f>SUM(G5:G9)</f>
        <v/>
      </c>
      <c r="H10" s="12">
        <f>SUM(H5:H9)</f>
        <v/>
      </c>
      <c r="I10" s="12">
        <f>SUM(I5:I9)</f>
        <v/>
      </c>
      <c r="J10" s="12">
        <f>SUM(J5:J9)</f>
        <v/>
      </c>
      <c r="K10" s="12">
        <f>SUM(K5:K9)</f>
        <v/>
      </c>
    </row>
    <row r="11">
      <c r="A11" t="inlineStr">
        <is>
          <t>Revolving interest — accrued (calendar month)</t>
        </is>
      </c>
      <c r="H11" s="12" t="n">
        <v>1658171.4</v>
      </c>
      <c r="I11" s="12" t="n">
        <v>2023314.88</v>
      </c>
      <c r="J11" s="12" t="n">
        <v>2282599.61</v>
      </c>
      <c r="K11" s="12">
        <f>SUM(H11:J11)</f>
        <v/>
      </c>
    </row>
    <row r="12">
      <c r="A12" t="inlineStr">
        <is>
          <t>Installment interest — allocated across cycle days (calendar month)</t>
        </is>
      </c>
      <c r="G12" s="12" t="n">
        <v>380786.2</v>
      </c>
      <c r="H12" s="12" t="n">
        <v>430644.66</v>
      </c>
      <c r="I12" s="12" t="n">
        <v>467199.88</v>
      </c>
      <c r="J12" s="12" t="n">
        <v>517295.33</v>
      </c>
      <c r="K12" s="12">
        <f>SUM(H12:J12)</f>
        <v/>
      </c>
    </row>
    <row r="13">
      <c r="A13" s="7" t="inlineStr">
        <is>
          <t>Total revenue — accrual basis (used in Yield Summary)</t>
        </is>
      </c>
      <c r="H13" s="8">
        <f>H11+H12+H7+H8+H9</f>
        <v/>
      </c>
      <c r="I13" s="8">
        <f>I11+I12+I7+I8+I9</f>
        <v/>
      </c>
      <c r="J13" s="8">
        <f>J11+J12+J7+J8+J9</f>
        <v/>
      </c>
      <c r="K13" s="8">
        <f>K11+K12+K7+K8+K9</f>
        <v/>
      </c>
    </row>
    <row r="14"/>
    <row r="15">
      <c r="A15" s="10" t="inlineStr">
        <is>
          <t>Balances and volumes</t>
        </is>
      </c>
      <c r="B15" s="11" t="n"/>
      <c r="C15" s="11" t="n"/>
      <c r="D15" s="11" t="n"/>
      <c r="E15" s="11" t="n"/>
      <c r="F15" s="11" t="n"/>
      <c r="G15" s="11" t="n"/>
      <c r="H15" s="11" t="n"/>
      <c r="I15" s="11" t="n"/>
      <c r="J15" s="11" t="n"/>
      <c r="K15" s="11" t="n"/>
    </row>
    <row r="16">
      <c r="A16" t="inlineStr">
        <is>
          <t>Average receivables outstanding</t>
        </is>
      </c>
      <c r="B16" s="12" t="n">
        <v>60876935.09</v>
      </c>
      <c r="C16" s="12" t="n">
        <v>61287125.635</v>
      </c>
      <c r="D16" s="12" t="n">
        <v>78004357.58999999</v>
      </c>
      <c r="E16" s="12" t="n">
        <v>105226683.72</v>
      </c>
      <c r="F16" s="12" t="n">
        <v>126178365.54</v>
      </c>
      <c r="G16" s="12" t="n">
        <v>143946231.47</v>
      </c>
      <c r="H16" s="12" t="n">
        <v>158604610.965</v>
      </c>
      <c r="I16" s="12" t="n">
        <v>176625299.92</v>
      </c>
      <c r="J16" s="12" t="n">
        <v>211159156.895</v>
      </c>
      <c r="K16" s="12">
        <f>AVERAGE(H16:J16)</f>
        <v/>
      </c>
    </row>
    <row r="17">
      <c r="A17" t="inlineStr">
        <is>
          <t>Average receivables outstanding, prior month (reference)</t>
        </is>
      </c>
      <c r="C17" s="12">
        <f>B16</f>
        <v/>
      </c>
      <c r="D17" s="12">
        <f>C16</f>
        <v/>
      </c>
      <c r="E17" s="12">
        <f>D16</f>
        <v/>
      </c>
      <c r="F17" s="12">
        <f>E16</f>
        <v/>
      </c>
      <c r="G17" s="12">
        <f>F16</f>
        <v/>
      </c>
      <c r="H17" s="12">
        <f>G16</f>
        <v/>
      </c>
      <c r="I17" s="12">
        <f>H16</f>
        <v/>
      </c>
      <c r="J17" s="12">
        <f>I16</f>
        <v/>
      </c>
      <c r="K17" s="12">
        <f>AVERAGE(G16:I16)</f>
        <v/>
      </c>
    </row>
    <row r="18">
      <c r="A18" t="inlineStr">
        <is>
          <t>Receivables outstanding, end of month</t>
        </is>
      </c>
      <c r="B18" s="12" t="n">
        <v>59172827.04</v>
      </c>
      <c r="C18" s="12" t="n">
        <v>63401424.23</v>
      </c>
      <c r="D18" s="12" t="n">
        <v>92607290.94999999</v>
      </c>
      <c r="E18" s="12" t="n">
        <v>117846076.49</v>
      </c>
      <c r="F18" s="12" t="n">
        <v>134510654.59</v>
      </c>
      <c r="G18" s="12" t="n">
        <v>153381808.35</v>
      </c>
      <c r="H18" s="12" t="n">
        <v>163827413.58</v>
      </c>
      <c r="I18" s="12" t="n">
        <v>189423186.26</v>
      </c>
      <c r="J18" s="12" t="n">
        <v>232895127.53</v>
      </c>
      <c r="K18" s="12">
        <f>J18</f>
        <v/>
      </c>
    </row>
    <row r="19">
      <c r="A19" t="inlineStr">
        <is>
          <t>Principal originated, statement-month basis (base on which the loss rate is measured)</t>
        </is>
      </c>
      <c r="B19" s="12" t="n">
        <v>69900973.84</v>
      </c>
      <c r="C19" s="12" t="n">
        <v>60820771.28</v>
      </c>
      <c r="D19" s="12" t="n">
        <v>89743205.59</v>
      </c>
      <c r="E19" s="12" t="n">
        <v>107115373.17</v>
      </c>
      <c r="F19" s="12" t="n">
        <v>118184976.17</v>
      </c>
      <c r="G19" s="12" t="n">
        <v>136417479.48</v>
      </c>
      <c r="H19" s="12" t="n">
        <v>140624271.71</v>
      </c>
      <c r="I19" s="12" t="n">
        <v>141888335.14</v>
      </c>
      <c r="J19" s="12" t="n">
        <v>160221212.53</v>
      </c>
      <c r="K19" s="12">
        <f>SUM(H19:J19)</f>
        <v/>
      </c>
    </row>
    <row r="20">
      <c r="A20" t="inlineStr">
        <is>
          <t>Purchase volume settled (Mastercard, net of returns)</t>
        </is>
      </c>
      <c r="B20" s="12" t="n">
        <v>59671645.156</v>
      </c>
      <c r="C20" s="12" t="n">
        <v>60642780.726</v>
      </c>
      <c r="D20" s="12" t="n">
        <v>95344566</v>
      </c>
      <c r="E20" s="12" t="n">
        <v>105947213.036</v>
      </c>
      <c r="F20" s="12" t="n">
        <v>110400244.168</v>
      </c>
      <c r="G20" s="12" t="n">
        <v>137145988.384</v>
      </c>
      <c r="H20" s="12" t="n">
        <v>127249656.88</v>
      </c>
      <c r="I20" s="12" t="n">
        <v>130388896.484</v>
      </c>
      <c r="J20" s="12" t="n">
        <v>190860991.79</v>
      </c>
      <c r="K20" s="12">
        <f>SUM(H20:J20)</f>
        <v/>
      </c>
    </row>
    <row r="21">
      <c r="A21" t="inlineStr">
        <is>
          <t>Pay-a-friend transfers (cardholder-to-cardholder, charged to the card; no interchange)</t>
        </is>
      </c>
      <c r="B21" s="12" t="n">
        <v>1060000</v>
      </c>
      <c r="C21" s="12" t="n">
        <v>980000</v>
      </c>
      <c r="D21" s="12" t="n">
        <v>1900000</v>
      </c>
      <c r="E21" s="12" t="n">
        <v>1190000</v>
      </c>
      <c r="F21" s="12" t="n">
        <v>2250000</v>
      </c>
      <c r="G21" s="12" t="n">
        <v>2040000</v>
      </c>
      <c r="H21" s="12" t="n">
        <v>2730000</v>
      </c>
      <c r="I21" s="12" t="n">
        <v>2970000</v>
      </c>
      <c r="J21" s="12" t="n">
        <v>2650000</v>
      </c>
      <c r="K21" s="12">
        <f>SUM(H21:J21)</f>
        <v/>
      </c>
    </row>
    <row r="22">
      <c r="A22" s="7" t="inlineStr">
        <is>
          <t>Principal flow (purchase volume + pay-a-friend) — calendar-month loss base</t>
        </is>
      </c>
      <c r="B22" s="12">
        <f>B20+B21</f>
        <v/>
      </c>
      <c r="C22" s="12">
        <f>C20+C21</f>
        <v/>
      </c>
      <c r="D22" s="12">
        <f>D20+D21</f>
        <v/>
      </c>
      <c r="E22" s="12">
        <f>E20+E21</f>
        <v/>
      </c>
      <c r="F22" s="12">
        <f>F20+F21</f>
        <v/>
      </c>
      <c r="G22" s="12">
        <f>G20+G21</f>
        <v/>
      </c>
      <c r="H22" s="12">
        <f>H20+H21</f>
        <v/>
      </c>
      <c r="I22" s="12">
        <f>I20+I21</f>
        <v/>
      </c>
      <c r="J22" s="12">
        <f>J20+J21</f>
        <v/>
      </c>
      <c r="K22" s="12">
        <f>K20+K21</f>
        <v/>
      </c>
    </row>
    <row r="23"/>
    <row r="24">
      <c r="A24" s="10"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11" t="n"/>
      <c r="C24" s="11" t="n"/>
      <c r="D24" s="11" t="n"/>
      <c r="E24" s="11" t="n"/>
      <c r="F24" s="11" t="n"/>
      <c r="G24" s="11" t="n"/>
      <c r="H24" s="11" t="n"/>
      <c r="I24" s="11" t="n"/>
      <c r="J24" s="11" t="n"/>
      <c r="K24" s="11"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7">
        <f>(C5+C8)*12/B25/B16</f>
        <v/>
      </c>
      <c r="C26" s="17">
        <f>(D5+D8)*12/C25/C16</f>
        <v/>
      </c>
      <c r="D26" s="17">
        <f>(E5+E8)*12/D25/D16</f>
        <v/>
      </c>
      <c r="E26" s="17">
        <f>(F5+F8)*12/E25/E16</f>
        <v/>
      </c>
      <c r="F26" s="17">
        <f>(G5+G8)*12/F25/F16</f>
        <v/>
      </c>
      <c r="G26" s="17">
        <f>(H11+H8)*12/G25/G16</f>
        <v/>
      </c>
      <c r="H26" s="17">
        <f>(I11+I8)*12/H25/H16</f>
        <v/>
      </c>
      <c r="I26" s="17">
        <f>(J11+J8)*12/I25/I16</f>
        <v/>
      </c>
    </row>
    <row r="27">
      <c r="A27" t="inlineStr">
        <is>
          <t>Installment interest (billed with each installment on the book month's statements)</t>
        </is>
      </c>
      <c r="B27" s="17">
        <f>B6*12/B25/B16</f>
        <v/>
      </c>
      <c r="C27" s="17">
        <f>C6*12/C25/C16</f>
        <v/>
      </c>
      <c r="D27" s="17">
        <f>D6*12/D25/D16</f>
        <v/>
      </c>
      <c r="E27" s="17">
        <f>E6*12/E25/E16</f>
        <v/>
      </c>
      <c r="F27" s="17">
        <f>F6*12/F25/F16</f>
        <v/>
      </c>
      <c r="G27" s="17">
        <f>G12*12/G25/G16</f>
        <v/>
      </c>
      <c r="H27" s="17">
        <f>H12*12/H25/H16</f>
        <v/>
      </c>
      <c r="I27" s="17">
        <f>I12*12/I25/I16</f>
        <v/>
      </c>
    </row>
    <row r="28">
      <c r="A28" t="inlineStr">
        <is>
          <t>Installment upfront fees (at conversion, same month)</t>
        </is>
      </c>
      <c r="B28" s="17">
        <f>B7*12/B25/B16</f>
        <v/>
      </c>
      <c r="C28" s="17">
        <f>C7*12/C25/C16</f>
        <v/>
      </c>
      <c r="D28" s="17">
        <f>D7*12/D25/D16</f>
        <v/>
      </c>
      <c r="E28" s="17">
        <f>E7*12/E25/E16</f>
        <v/>
      </c>
      <c r="F28" s="17">
        <f>F7*12/F25/F16</f>
        <v/>
      </c>
      <c r="G28" s="17">
        <f>G7*12/G25/G16</f>
        <v/>
      </c>
      <c r="H28" s="17">
        <f>H7*12/H25/H16</f>
        <v/>
      </c>
      <c r="I28" s="17">
        <f>I7*12/I25/I16</f>
        <v/>
      </c>
    </row>
    <row r="29">
      <c r="A29" t="inlineStr">
        <is>
          <t>Purchase turnover (annualized purchase volume ÷ average receivables)</t>
        </is>
      </c>
      <c r="B29" s="13">
        <f>B20*12/B25/B16</f>
        <v/>
      </c>
      <c r="C29" s="13">
        <f>C20*12/C25/C16</f>
        <v/>
      </c>
      <c r="D29" s="13">
        <f>D20*12/D25/D16</f>
        <v/>
      </c>
      <c r="E29" s="13">
        <f>E20*12/E25/E16</f>
        <v/>
      </c>
      <c r="F29" s="13">
        <f>F20*12/F25/F16</f>
        <v/>
      </c>
      <c r="G29" s="13">
        <f>G20*12/G25/G16</f>
        <v/>
      </c>
      <c r="H29" s="13">
        <f>H20*12/H25/H16</f>
        <v/>
      </c>
      <c r="I29" s="13">
        <f>I20*12/I25/I16</f>
        <v/>
      </c>
    </row>
    <row r="30">
      <c r="A30" t="inlineStr">
        <is>
          <t>Interchange rate on purchase volume</t>
        </is>
      </c>
      <c r="B30" s="14">
        <f>B9/B20</f>
        <v/>
      </c>
      <c r="C30" s="14">
        <f>C9/C20</f>
        <v/>
      </c>
      <c r="D30" s="14">
        <f>D9/D20</f>
        <v/>
      </c>
      <c r="E30" s="14">
        <f>E9/E20</f>
        <v/>
      </c>
      <c r="F30" s="14">
        <f>F9/F20</f>
        <v/>
      </c>
      <c r="G30" s="14">
        <f>G9/G20</f>
        <v/>
      </c>
      <c r="H30" s="14">
        <f>H9/H20</f>
        <v/>
      </c>
      <c r="I30" s="14">
        <f>I9/I20</f>
        <v/>
      </c>
    </row>
    <row r="31">
      <c r="A31" t="inlineStr">
        <is>
          <t>Interchange (rate × purchase turnover, same month)</t>
        </is>
      </c>
      <c r="B31" s="17">
        <f>B9*12/B25/B16</f>
        <v/>
      </c>
      <c r="C31" s="17">
        <f>C9*12/C25/C16</f>
        <v/>
      </c>
      <c r="D31" s="17">
        <f>D9*12/D25/D16</f>
        <v/>
      </c>
      <c r="E31" s="17">
        <f>E9*12/E25/E16</f>
        <v/>
      </c>
      <c r="F31" s="17">
        <f>F9*12/F25/F16</f>
        <v/>
      </c>
      <c r="G31" s="17">
        <f>G9*12/G25/G16</f>
        <v/>
      </c>
      <c r="H31" s="17">
        <f>H9*12/H25/H16</f>
        <v/>
      </c>
      <c r="I31" s="17">
        <f>I9*12/I25/I16</f>
        <v/>
      </c>
    </row>
    <row r="32">
      <c r="A32" s="7" t="inlineStr">
        <is>
          <t>Gross yield — all revenue</t>
        </is>
      </c>
      <c r="B32" s="15">
        <f>((C5+C8)+B6+B7+B9)*12/B25/B16</f>
        <v/>
      </c>
      <c r="C32" s="15">
        <f>((D5+D8)+C6+C7+C9)*12/C25/C16</f>
        <v/>
      </c>
      <c r="D32" s="15">
        <f>((E5+E8)+D6+D7+D9)*12/D25/D16</f>
        <v/>
      </c>
      <c r="E32" s="15">
        <f>((F5+F8)+E6+E7+E9)*12/E25/E16</f>
        <v/>
      </c>
      <c r="F32" s="15">
        <f>((G5+G8)+F6+F7+F9)*12/F25/F16</f>
        <v/>
      </c>
      <c r="G32" s="15">
        <f>((H11+H8)+G12+G7+G9)*12/G25/G16</f>
        <v/>
      </c>
      <c r="H32" s="15">
        <f>((I11+I8)+H12+H7+H9)*12/H25/H16</f>
        <v/>
      </c>
      <c r="I32" s="15">
        <f>((J11+J8)+I12+I7+I9)*12/I25/I16</f>
        <v/>
      </c>
    </row>
    <row r="33">
      <c r="A33" t="inlineStr">
        <is>
          <t>Principal turnover (annualized principal flow ÷ average receivables)</t>
        </is>
      </c>
      <c r="B33" s="13">
        <f>B22*12/B25/B16</f>
        <v/>
      </c>
      <c r="C33" s="13">
        <f>C22*12/C25/C16</f>
        <v/>
      </c>
      <c r="D33" s="13">
        <f>D22*12/D25/D16</f>
        <v/>
      </c>
      <c r="E33" s="13">
        <f>E22*12/E25/E16</f>
        <v/>
      </c>
      <c r="F33" s="13">
        <f>F22*12/F25/F16</f>
        <v/>
      </c>
      <c r="G33" s="13">
        <f>G22*12/G25/G16</f>
        <v/>
      </c>
      <c r="H33" s="13">
        <f>H22*12/H25/H16</f>
        <v/>
      </c>
      <c r="I33" s="13">
        <f>I22*12/I25/I16</f>
        <v/>
      </c>
    </row>
    <row r="34"/>
    <row r="35">
      <c r="A35" s="10" t="inlineStr">
        <is>
          <t>Reference — conventional basis: all of a month's revenue over that month's own average receivables</t>
        </is>
      </c>
      <c r="B35" s="11" t="n"/>
      <c r="C35" s="11" t="n"/>
      <c r="D35" s="11" t="n"/>
      <c r="E35" s="11" t="n"/>
      <c r="F35" s="11" t="n"/>
      <c r="G35" s="11" t="n"/>
      <c r="H35" s="11" t="n"/>
      <c r="I35" s="11" t="n"/>
      <c r="J35" s="11" t="n"/>
      <c r="K35" s="11" t="n"/>
    </row>
    <row r="36">
      <c r="A36" t="inlineStr">
        <is>
          <t>Interest and fees</t>
        </is>
      </c>
      <c r="B36" s="17">
        <f>SUM(B5:B8)*12/B25/B16</f>
        <v/>
      </c>
      <c r="C36" s="17">
        <f>SUM(C5:C8)*12/C25/C16</f>
        <v/>
      </c>
      <c r="D36" s="17">
        <f>SUM(D5:D8)*12/D25/D16</f>
        <v/>
      </c>
      <c r="E36" s="17">
        <f>SUM(E5:E8)*12/E25/E16</f>
        <v/>
      </c>
      <c r="F36" s="17">
        <f>SUM(F5:F8)*12/F25/F16</f>
        <v/>
      </c>
      <c r="G36" s="17">
        <f>SUM(G5:G8)*12/G25/G16</f>
        <v/>
      </c>
      <c r="H36" s="17">
        <f>(H11+H12+H7+H8)*12/H25/H16</f>
        <v/>
      </c>
      <c r="I36" s="17">
        <f>(I11+I12+I7+I8)*12/I25/I16</f>
        <v/>
      </c>
      <c r="J36" s="17">
        <f>(J11+J12+J7+J8)*12/J25/J16</f>
        <v/>
      </c>
      <c r="K36" s="17">
        <f>(K11+K12+K7+K8)*12/K25/K16</f>
        <v/>
      </c>
    </row>
    <row r="37">
      <c r="A37" t="inlineStr">
        <is>
          <t>Gross yield — all revenue</t>
        </is>
      </c>
      <c r="B37" s="17">
        <f>SUM(B5:B8)*12/B25/B16+B9*12/B25/B16</f>
        <v/>
      </c>
      <c r="C37" s="17">
        <f>SUM(C5:C8)*12/C25/C16+C9*12/C25/C16</f>
        <v/>
      </c>
      <c r="D37" s="17">
        <f>SUM(D5:D8)*12/D25/D16+D9*12/D25/D16</f>
        <v/>
      </c>
      <c r="E37" s="17">
        <f>SUM(E5:E8)*12/E25/E16+E9*12/E25/E16</f>
        <v/>
      </c>
      <c r="F37" s="17">
        <f>SUM(F5:F8)*12/F25/F16+F9*12/F25/F16</f>
        <v/>
      </c>
      <c r="G37" s="17">
        <f>SUM(G5:G8)*12/G25/G16+G9*12/G25/G16</f>
        <v/>
      </c>
      <c r="H37" s="17">
        <f>(H11+H12+H7+H8)*12/H25/H16+H9*12/H25/H16</f>
        <v/>
      </c>
      <c r="I37" s="17">
        <f>(I11+I12+I7+I8)*12/I25/I16+I9*12/I25/I16</f>
        <v/>
      </c>
      <c r="J37" s="17">
        <f>(J11+J12+J7+J8)*12/J25/J16+J9*12/J25/J16</f>
        <v/>
      </c>
      <c r="K37" s="17">
        <f>(K11+K12+K7+K8)*12/K25/K16+K9*12/K25/K16</f>
        <v/>
      </c>
    </row>
    <row r="38"/>
    <row r="39">
      <c r="A39" s="22"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2"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5" t="inlineStr">
        <is>
          <t>Origination month</t>
        </is>
      </c>
      <c r="B4" s="6" t="inlineStr">
        <is>
          <t>Accounts</t>
        </is>
      </c>
      <c r="C4" s="6" t="inlineStr">
        <is>
          <t>Principal originated</t>
        </is>
      </c>
      <c r="D4" s="6" t="inlineStr">
        <is>
          <t>Seasoned principal (due ≥90 days ago)</t>
        </is>
      </c>
      <c r="E4" s="6" t="inlineStr">
        <is>
          <t>Excluded: FPD principal 90+ DPD</t>
        </is>
      </c>
      <c r="F4" s="6" t="inlineStr">
        <is>
          <t>Denominator: seasoned, ex-FPD</t>
        </is>
      </c>
      <c r="G4" s="6" t="inlineStr">
        <is>
          <t>Numerator: 90+ DPD, ex-FPD</t>
        </is>
      </c>
      <c r="H4" s="6" t="inlineStr">
        <is>
          <t>Loss rate</t>
        </is>
      </c>
    </row>
    <row r="5">
      <c r="A5" t="inlineStr">
        <is>
          <t>Jan 2026</t>
        </is>
      </c>
      <c r="B5" s="12" t="n">
        <v>3828</v>
      </c>
      <c r="C5" s="12" t="n">
        <v>69900973.84</v>
      </c>
      <c r="D5" s="12" t="n">
        <v>69900973.84</v>
      </c>
      <c r="E5" s="12" t="n">
        <v>195035.55</v>
      </c>
      <c r="F5" s="12" t="n">
        <v>69690793.31</v>
      </c>
      <c r="G5" s="12" t="n">
        <v>1577286.85</v>
      </c>
      <c r="H5" s="14">
        <f>IF(F5=0,"not yet seasoned",G5/F5)</f>
        <v/>
      </c>
    </row>
    <row r="6">
      <c r="A6" t="inlineStr">
        <is>
          <t>Feb 2026</t>
        </is>
      </c>
      <c r="B6" s="12" t="n">
        <v>4029</v>
      </c>
      <c r="C6" s="12" t="n">
        <v>60820771.28</v>
      </c>
      <c r="D6" s="12" t="n">
        <v>60820771.28</v>
      </c>
      <c r="E6" s="12" t="n">
        <v>31366.54</v>
      </c>
      <c r="F6" s="12" t="n">
        <v>60789404.74</v>
      </c>
      <c r="G6" s="12" t="n">
        <v>685527.14</v>
      </c>
      <c r="H6" s="14">
        <f>IF(F6=0,"not yet seasoned",G6/F6)</f>
        <v/>
      </c>
    </row>
    <row r="7">
      <c r="A7" t="inlineStr">
        <is>
          <t>Mar 2026</t>
        </is>
      </c>
      <c r="B7" s="12" t="n">
        <v>5113</v>
      </c>
      <c r="C7" s="12" t="n">
        <v>89743205.59</v>
      </c>
      <c r="D7" s="12" t="n">
        <v>89743205.59</v>
      </c>
      <c r="E7" s="12" t="n">
        <v>562712.45</v>
      </c>
      <c r="F7" s="12" t="n">
        <v>89089554.73999999</v>
      </c>
      <c r="G7" s="12" t="n">
        <v>1404938.62</v>
      </c>
      <c r="H7" s="14">
        <f>IF(F7=0,"not yet seasoned",G7/F7)</f>
        <v/>
      </c>
    </row>
    <row r="8">
      <c r="A8" t="inlineStr">
        <is>
          <t>Apr 2026</t>
        </is>
      </c>
      <c r="B8" s="12" t="n">
        <v>6505</v>
      </c>
      <c r="C8" s="12" t="n">
        <v>107115373.17</v>
      </c>
      <c r="D8" s="12" t="n">
        <v>107115373.17</v>
      </c>
      <c r="E8" s="12" t="n">
        <v>911016.11</v>
      </c>
      <c r="F8" s="12" t="n">
        <v>106123235.92</v>
      </c>
      <c r="G8" s="12" t="n">
        <v>1471002.56</v>
      </c>
      <c r="H8" s="14">
        <f>IF(F8=0,"not yet seasoned",G8/F8)</f>
        <v/>
      </c>
    </row>
    <row r="9">
      <c r="A9" t="inlineStr">
        <is>
          <t>May 2026</t>
        </is>
      </c>
      <c r="B9" s="12" t="n">
        <v>7564</v>
      </c>
      <c r="C9" s="12" t="n">
        <v>118184976.17</v>
      </c>
      <c r="D9" s="12" t="n">
        <v>118184976.17</v>
      </c>
      <c r="E9" s="12" t="n">
        <v>889165.96</v>
      </c>
      <c r="F9" s="12" t="n">
        <v>117226741.83</v>
      </c>
      <c r="G9" s="12" t="n">
        <v>1061583</v>
      </c>
      <c r="H9" s="14">
        <f>IF(F9=0,"not yet seasoned",G9/F9)</f>
        <v/>
      </c>
    </row>
    <row r="10">
      <c r="A10" t="inlineStr">
        <is>
          <t>Jun 2026</t>
        </is>
      </c>
      <c r="B10" s="12" t="n">
        <v>9024</v>
      </c>
      <c r="C10" s="12" t="n">
        <v>136417479.48</v>
      </c>
      <c r="D10" s="12" t="n">
        <v>136417479.48</v>
      </c>
      <c r="E10" s="12" t="n">
        <v>499873.5</v>
      </c>
      <c r="F10" s="12" t="n">
        <v>135917605.98</v>
      </c>
      <c r="G10" s="12" t="n">
        <v>459463.31</v>
      </c>
      <c r="H10" s="14">
        <f>IF(F10=0,"not yet seasoned",G10/F10)</f>
        <v/>
      </c>
    </row>
    <row r="11">
      <c r="A11" t="inlineStr">
        <is>
          <t>Jul 2026</t>
        </is>
      </c>
      <c r="B11" s="12" t="n">
        <v>11366</v>
      </c>
      <c r="C11" s="12" t="n">
        <v>140624271.71</v>
      </c>
      <c r="D11" s="12" t="n">
        <v>0</v>
      </c>
      <c r="E11" s="12" t="n">
        <v>29390.51</v>
      </c>
      <c r="F11" s="12" t="n">
        <v>0</v>
      </c>
      <c r="G11" s="12" t="n">
        <v>8828.190000000001</v>
      </c>
      <c r="H11" s="14">
        <f>IF(F11=0,"not yet seasoned",G11/F11)</f>
        <v/>
      </c>
    </row>
    <row r="12">
      <c r="A12" t="inlineStr">
        <is>
          <t>Aug 2026</t>
        </is>
      </c>
      <c r="B12" s="12" t="n">
        <v>12347</v>
      </c>
      <c r="C12" s="12" t="n">
        <v>141888335.14</v>
      </c>
      <c r="D12" s="12" t="n">
        <v>0</v>
      </c>
      <c r="E12" s="12" t="n">
        <v>0</v>
      </c>
      <c r="F12" s="12" t="n">
        <v>0</v>
      </c>
      <c r="G12" s="12" t="n">
        <v>0</v>
      </c>
      <c r="H12" s="14">
        <f>IF(F12=0,"not yet seasoned",G12/F12)</f>
        <v/>
      </c>
    </row>
    <row r="13">
      <c r="A13" t="inlineStr">
        <is>
          <t>Sep 2026</t>
        </is>
      </c>
      <c r="B13" s="12" t="n">
        <v>13196</v>
      </c>
      <c r="C13" s="12" t="n">
        <v>160221212.53</v>
      </c>
      <c r="D13" s="12" t="n">
        <v>0</v>
      </c>
      <c r="E13" s="12" t="n">
        <v>0</v>
      </c>
      <c r="F13" s="12" t="n">
        <v>0</v>
      </c>
      <c r="G13" s="12" t="n">
        <v>0</v>
      </c>
      <c r="H13" s="14">
        <f>IF(F13=0,"not yet seasoned",G13/F13)</f>
        <v/>
      </c>
    </row>
    <row r="14">
      <c r="A14" s="18" t="inlineStr">
        <is>
          <t>Since January 2026 (all vintages above)</t>
        </is>
      </c>
      <c r="B14" s="19">
        <f>SUM(B5:B13)</f>
        <v/>
      </c>
      <c r="C14" s="19">
        <f>SUM(C5:C13)</f>
        <v/>
      </c>
      <c r="D14" s="19">
        <f>SUM(D5:D13)</f>
        <v/>
      </c>
      <c r="E14" s="19">
        <f>SUM(E5:E13)</f>
        <v/>
      </c>
      <c r="F14" s="19">
        <f>SUM(F5:F13)</f>
        <v/>
      </c>
      <c r="G14" s="19">
        <f>SUM(G5:G13)</f>
        <v/>
      </c>
      <c r="H14" s="23">
        <f>G14/F14</f>
        <v/>
      </c>
    </row>
    <row r="15"/>
    <row r="16" ht="15" customHeight="1">
      <c r="A16" s="24" t="inlineStr">
        <is>
          <t>How to read this table</t>
        </is>
      </c>
    </row>
    <row r="17" ht="48" customHeight="1">
      <c r="A17" s="25"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25"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25"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25" t="inlineStr">
        <is>
          <t>• Why January 2026. The current underwriting model (V2) was deployed in December 2025 and is the model that originates the portfolio today; earlier vintages were originated under the prior model.</t>
        </is>
      </c>
    </row>
    <row r="21"/>
    <row r="22">
      <c r="A22" s="10" t="inlineStr">
        <is>
          <t>Loss emergence — when a vintage's loss arrives (ex-FPD, same measure as the table above)</t>
        </is>
      </c>
      <c r="B22" s="11" t="n"/>
      <c r="C22" s="11" t="n"/>
      <c r="D22" s="11" t="n"/>
      <c r="E22" s="11" t="n"/>
      <c r="F22" s="11" t="n"/>
      <c r="G22" s="11" t="n"/>
      <c r="H22" s="11" t="n"/>
    </row>
    <row r="23" ht="32" customHeight="1">
      <c r="A23" s="5" t="inlineStr">
        <is>
          <t>Origination month</t>
        </is>
      </c>
      <c r="B23" s="6" t="inlineStr">
        <is>
          <t>By month 3 on book</t>
        </is>
      </c>
      <c r="C23" s="6" t="inlineStr">
        <is>
          <t>By month 4</t>
        </is>
      </c>
      <c r="D23" s="6" t="inlineStr">
        <is>
          <t>By month 5</t>
        </is>
      </c>
      <c r="E23" s="6" t="inlineStr">
        <is>
          <t>By month 6</t>
        </is>
      </c>
      <c r="F23" s="6" t="inlineStr">
        <is>
          <t>By month 8</t>
        </is>
      </c>
      <c r="G23" s="6" t="inlineStr">
        <is>
          <t>Today</t>
        </is>
      </c>
      <c r="H23" s="6" t="inlineStr">
        <is>
          <t>Months on book today</t>
        </is>
      </c>
    </row>
    <row r="24">
      <c r="A24" t="inlineStr">
        <is>
          <t>Jan 2026</t>
        </is>
      </c>
      <c r="B24" s="26" t="n">
        <v>0.00675</v>
      </c>
      <c r="C24" s="26" t="n">
        <v>0.02263</v>
      </c>
      <c r="D24" s="26" t="n">
        <v>0.02263</v>
      </c>
      <c r="E24" s="26" t="n">
        <v>0.02263</v>
      </c>
      <c r="F24" s="26" t="n">
        <v>0.02263</v>
      </c>
      <c r="G24" s="27" t="n">
        <v>0.02263</v>
      </c>
      <c r="H24" t="n">
        <v>9</v>
      </c>
    </row>
    <row r="25">
      <c r="A25" t="inlineStr">
        <is>
          <t>Feb 2026</t>
        </is>
      </c>
      <c r="B25" s="26" t="n">
        <v>0.00851</v>
      </c>
      <c r="C25" s="26" t="n">
        <v>0.01028</v>
      </c>
      <c r="D25" s="26" t="n">
        <v>0.01118</v>
      </c>
      <c r="E25" s="26" t="n">
        <v>0.01128</v>
      </c>
      <c r="F25" s="26" t="inlineStr">
        <is>
          <t>—</t>
        </is>
      </c>
      <c r="G25" s="27" t="n">
        <v>0.01128</v>
      </c>
      <c r="H25" t="n">
        <v>8</v>
      </c>
    </row>
    <row r="26">
      <c r="A26" t="inlineStr">
        <is>
          <t>Mar 2026</t>
        </is>
      </c>
      <c r="B26" s="26" t="n">
        <v>0.00455</v>
      </c>
      <c r="C26" s="26" t="n">
        <v>0.01469</v>
      </c>
      <c r="D26" s="26" t="n">
        <v>0.01577</v>
      </c>
      <c r="E26" s="26" t="n">
        <v>0.01577</v>
      </c>
      <c r="F26" s="26" t="inlineStr">
        <is>
          <t>—</t>
        </is>
      </c>
      <c r="G26" s="27" t="n">
        <v>0.01577</v>
      </c>
      <c r="H26" t="n">
        <v>7</v>
      </c>
    </row>
    <row r="27">
      <c r="A27" t="inlineStr">
        <is>
          <t>Apr 2026</t>
        </is>
      </c>
      <c r="B27" s="26" t="n">
        <v>0.00773</v>
      </c>
      <c r="C27" s="26" t="n">
        <v>0.01313</v>
      </c>
      <c r="D27" s="26" t="n">
        <v>0.01366</v>
      </c>
      <c r="E27" s="26" t="inlineStr">
        <is>
          <t>—</t>
        </is>
      </c>
      <c r="F27" s="26" t="inlineStr">
        <is>
          <t>—</t>
        </is>
      </c>
      <c r="G27" s="27" t="n">
        <v>0.01386</v>
      </c>
      <c r="H27" t="n">
        <v>6</v>
      </c>
    </row>
    <row r="28">
      <c r="A28" t="inlineStr">
        <is>
          <t>May 2026</t>
        </is>
      </c>
      <c r="B28" s="26" t="n">
        <v>0.00494</v>
      </c>
      <c r="C28" s="26" t="n">
        <v>0.00758</v>
      </c>
      <c r="D28" s="26" t="inlineStr">
        <is>
          <t>—</t>
        </is>
      </c>
      <c r="E28" s="26" t="inlineStr">
        <is>
          <t>—</t>
        </is>
      </c>
      <c r="F28" s="26" t="inlineStr">
        <is>
          <t>—</t>
        </is>
      </c>
      <c r="G28" s="27" t="n">
        <v>0.00906</v>
      </c>
      <c r="H28" t="n">
        <v>5</v>
      </c>
    </row>
    <row r="29">
      <c r="A29" t="inlineStr">
        <is>
          <t>Jun 2026</t>
        </is>
      </c>
      <c r="B29" s="26" t="n">
        <v>0.00215</v>
      </c>
      <c r="C29" s="26" t="inlineStr">
        <is>
          <t>—</t>
        </is>
      </c>
      <c r="D29" s="26" t="inlineStr">
        <is>
          <t>—</t>
        </is>
      </c>
      <c r="E29" s="26" t="inlineStr">
        <is>
          <t>—</t>
        </is>
      </c>
      <c r="F29" s="26" t="inlineStr">
        <is>
          <t>—</t>
        </is>
      </c>
      <c r="G29" s="27" t="n">
        <v>0.00338</v>
      </c>
      <c r="H29" t="n">
        <v>4</v>
      </c>
    </row>
    <row r="30" ht="15" customHeight="1">
      <c r="A30" s="24" t="inlineStr">
        <is>
          <t>How to read this table</t>
        </is>
      </c>
    </row>
    <row r="31" ht="44" customHeight="1">
      <c r="A31" s="25"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25"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25"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5" t="inlineStr">
        <is>
          <t>Item</t>
        </is>
      </c>
      <c r="B3" s="5" t="inlineStr">
        <is>
          <t>Definition</t>
        </is>
      </c>
    </row>
    <row r="4" ht="75" customHeight="1">
      <c r="A4" s="28" t="inlineStr">
        <is>
          <t>Scope</t>
        </is>
      </c>
      <c r="B4" s="25"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8" t="inlineStr">
        <is>
          <t>Book month (yield basis)</t>
        </is>
      </c>
      <c r="B5" s="25"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8" t="inlineStr">
        <is>
          <t>Annualization</t>
        </is>
      </c>
      <c r="B6" s="25" t="inlineStr">
        <is>
          <t>Simple: monthly amount ÷ the book month's average receivables × 12. No compounding.</t>
        </is>
      </c>
    </row>
    <row r="7" ht="105" customHeight="1">
      <c r="A7" s="28" t="inlineStr">
        <is>
          <t>Revolving interest</t>
        </is>
      </c>
      <c r="B7" s="25"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8" t="inlineStr">
        <is>
          <t>Installment interest and upfront fees</t>
        </is>
      </c>
      <c r="B8" s="25"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8" t="inlineStr">
        <is>
          <t>Late payment fees</t>
        </is>
      </c>
      <c r="B9" s="25" t="inlineStr">
        <is>
          <t>Fee billed when the minimum payment is not received by the due date.</t>
        </is>
      </c>
    </row>
    <row r="10" ht="90" customHeight="1">
      <c r="A10" s="28" t="inlineStr">
        <is>
          <t>Interchange</t>
        </is>
      </c>
      <c r="B10" s="25"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8" t="inlineStr">
        <is>
          <t>Turnover</t>
        </is>
      </c>
      <c r="B11" s="25"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8" t="inlineStr">
        <is>
          <t>Principal flow</t>
        </is>
      </c>
      <c r="B12" s="25"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8" t="inlineStr">
        <is>
          <t>Principal originated (Loss Rate tab)</t>
        </is>
      </c>
      <c r="B13" s="25"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8" t="inlineStr">
        <is>
          <t>Loss rate</t>
        </is>
      </c>
      <c r="B14" s="25"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8" t="inlineStr">
        <is>
          <t>Loss on receivables</t>
        </is>
      </c>
      <c r="B15" s="25"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8" t="inlineStr">
        <is>
          <t>Net yield</t>
        </is>
      </c>
      <c r="B16" s="25" t="inlineStr">
        <is>
          <t>Gross yield less loss on receivables. Before operating costs, servicing, processing and network costs, funding costs, taxes and FX.</t>
        </is>
      </c>
    </row>
    <row r="17" ht="75" customHeight="1">
      <c r="A17" s="28" t="inlineStr">
        <is>
          <t>Sources</t>
        </is>
      </c>
      <c r="B17" s="25"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8" ht="30" customHeight="1">
      <c r="A18" s="28" t="inlineStr">
        <is>
          <t>Prepared</t>
        </is>
      </c>
      <c r="B18" s="25"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2026-10-28T22:39:28Z</dcterms:created>
  <dcterms:modified xmlns:dcterms="http://purl.org/dc/terms/" xmlns:xsi="http://www.w3.org/2001/XMLSchema-instance" xsi:type="dcterms:W3CDTF">2026-10-28T22:39:28Z</dcterms:modified>
</cp:coreProperties>
</file>