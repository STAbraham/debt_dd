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1" ContentType="application/binary"/>
  <Override PartName="/xl/commentsmeta2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tevenabraham/apps/zed/debt_dd/inbox/"/>
    </mc:Choice>
  </mc:AlternateContent>
  <xr:revisionPtr revIDLastSave="0" documentId="8_{0AD43959-55AE-6E48-B4C5-464453149690}" xr6:coauthVersionLast="47" xr6:coauthVersionMax="47" xr10:uidLastSave="{00000000-0000-0000-0000-000000000000}"/>
  <bookViews>
    <workbookView xWindow="18600" yWindow="500" windowWidth="25600" windowHeight="28300" activeTab="1" xr2:uid="{00000000-000D-0000-FFFF-FFFF00000000}"/>
  </bookViews>
  <sheets>
    <sheet name="KPIs Definition" sheetId="1" r:id="rId1"/>
    <sheet name="Monthly" sheetId="2" r:id="rId2"/>
    <sheet name="Daily" sheetId="3" r:id="rId3"/>
    <sheet name="Monthly Cohorts" sheetId="4" r:id="rId4"/>
    <sheet name="Loan Performance" sheetId="5" r:id="rId5"/>
    <sheet name="2024 Delinquency" sheetId="6" state="hidden" r:id="rId6"/>
  </sheets>
  <definedNames>
    <definedName name="ForEx">Monthly!$C$2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50CR9jgHrQOICbSprTE8YT1FFeMvVuFQCmXc+FY+w5Q="/>
    </ext>
  </extLst>
</workbook>
</file>

<file path=xl/calcChain.xml><?xml version="1.0" encoding="utf-8"?>
<calcChain xmlns="http://schemas.openxmlformats.org/spreadsheetml/2006/main">
  <c r="AM41" i="4" l="1"/>
  <c r="YM60" i="3"/>
  <c r="YM46" i="3"/>
  <c r="YM42" i="3"/>
  <c r="YM43" i="3" s="1"/>
  <c r="YM29" i="3"/>
  <c r="YM30" i="3" s="1"/>
  <c r="YM25" i="3"/>
  <c r="YM23" i="3"/>
  <c r="YM20" i="3"/>
  <c r="YM15" i="3"/>
  <c r="YM13" i="3"/>
  <c r="YM10" i="3"/>
  <c r="YM9" i="3"/>
  <c r="AA71" i="2"/>
  <c r="YL60" i="3"/>
  <c r="YL46" i="3"/>
  <c r="YL42" i="3"/>
  <c r="YL43" i="3" s="1"/>
  <c r="YL29" i="3"/>
  <c r="YL30" i="3" s="1"/>
  <c r="YL25" i="3"/>
  <c r="YL23" i="3"/>
  <c r="YL20" i="3"/>
  <c r="YL15" i="3"/>
  <c r="YL13" i="3"/>
  <c r="YL10" i="3"/>
  <c r="YL9" i="3"/>
  <c r="YK60" i="3"/>
  <c r="YK46" i="3"/>
  <c r="YK42" i="3"/>
  <c r="YK43" i="3" s="1"/>
  <c r="YK29" i="3"/>
  <c r="YK30" i="3" s="1"/>
  <c r="YK25" i="3"/>
  <c r="YK23" i="3"/>
  <c r="YK20" i="3"/>
  <c r="YK15" i="3"/>
  <c r="YK13" i="3"/>
  <c r="YK10" i="3"/>
  <c r="YK9" i="3"/>
  <c r="YJ60" i="3"/>
  <c r="YJ46" i="3"/>
  <c r="YJ42" i="3"/>
  <c r="YJ43" i="3" s="1"/>
  <c r="YJ29" i="3"/>
  <c r="YJ30" i="3" s="1"/>
  <c r="YJ25" i="3"/>
  <c r="YJ23" i="3"/>
  <c r="YJ20" i="3"/>
  <c r="YJ15" i="3"/>
  <c r="YJ13" i="3"/>
  <c r="YJ10" i="3"/>
  <c r="YJ9" i="3"/>
  <c r="YI60" i="3"/>
  <c r="YH60" i="3"/>
  <c r="YG60" i="3"/>
  <c r="YI46" i="3"/>
  <c r="YH46" i="3"/>
  <c r="YG46" i="3"/>
  <c r="YI42" i="3"/>
  <c r="YI43" i="3" s="1"/>
  <c r="YH42" i="3"/>
  <c r="YH43" i="3" s="1"/>
  <c r="YG42" i="3"/>
  <c r="YG43" i="3" s="1"/>
  <c r="YI29" i="3"/>
  <c r="YI30" i="3" s="1"/>
  <c r="YH29" i="3"/>
  <c r="YH30" i="3" s="1"/>
  <c r="YG29" i="3"/>
  <c r="YG30" i="3" s="1"/>
  <c r="YI25" i="3"/>
  <c r="YH25" i="3"/>
  <c r="YG25" i="3"/>
  <c r="YI23" i="3"/>
  <c r="YH23" i="3"/>
  <c r="YG23" i="3"/>
  <c r="YI20" i="3"/>
  <c r="YH20" i="3"/>
  <c r="YG20" i="3"/>
  <c r="YI15" i="3"/>
  <c r="YH15" i="3"/>
  <c r="YG15" i="3"/>
  <c r="YI13" i="3"/>
  <c r="YH13" i="3"/>
  <c r="YG13" i="3"/>
  <c r="YI10" i="3"/>
  <c r="YH10" i="3"/>
  <c r="YG10" i="3"/>
  <c r="YI9" i="3"/>
  <c r="YH9" i="3"/>
  <c r="YG9" i="3"/>
  <c r="L25" i="6"/>
  <c r="K25" i="6"/>
  <c r="J25" i="6"/>
  <c r="I25" i="6"/>
  <c r="H25" i="6"/>
  <c r="G25" i="6"/>
  <c r="F25" i="6"/>
  <c r="E25" i="6"/>
  <c r="D25" i="6"/>
  <c r="C25" i="6"/>
  <c r="L10" i="6"/>
  <c r="L11" i="6" s="1"/>
  <c r="K10" i="6"/>
  <c r="K11" i="6" s="1"/>
  <c r="J10" i="6"/>
  <c r="J11" i="6" s="1"/>
  <c r="I10" i="6"/>
  <c r="I11" i="6" s="1"/>
  <c r="H10" i="6"/>
  <c r="H11" i="6" s="1"/>
  <c r="G10" i="6"/>
  <c r="G11" i="6" s="1"/>
  <c r="F10" i="6"/>
  <c r="F11" i="6" s="1"/>
  <c r="E10" i="6"/>
  <c r="E11" i="6" s="1"/>
  <c r="D10" i="6"/>
  <c r="D11" i="6" s="1"/>
  <c r="C10" i="6"/>
  <c r="C11" i="6" s="1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K11" i="5" s="1"/>
  <c r="J10" i="5"/>
  <c r="I10" i="5"/>
  <c r="H8" i="5"/>
  <c r="H9" i="5" s="1"/>
  <c r="G8" i="5"/>
  <c r="G9" i="5" s="1"/>
  <c r="F8" i="5"/>
  <c r="E8" i="5"/>
  <c r="D8" i="5"/>
  <c r="C8" i="5"/>
  <c r="H7" i="5"/>
  <c r="G7" i="5"/>
  <c r="F7" i="5"/>
  <c r="E7" i="5"/>
  <c r="D7" i="5"/>
  <c r="C7" i="5"/>
  <c r="B7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A4" i="5"/>
  <c r="Z3" i="5"/>
  <c r="R3" i="5"/>
  <c r="Q3" i="5"/>
  <c r="P3" i="5"/>
  <c r="O3" i="5"/>
  <c r="N3" i="5"/>
  <c r="M3" i="5"/>
  <c r="L3" i="5"/>
  <c r="K3" i="5"/>
  <c r="J3" i="5"/>
  <c r="I3" i="5"/>
  <c r="A3" i="5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B125" i="4"/>
  <c r="C121" i="4"/>
  <c r="E89" i="4"/>
  <c r="F89" i="4" s="1"/>
  <c r="G89" i="4" s="1"/>
  <c r="H89" i="4" s="1"/>
  <c r="I89" i="4" s="1"/>
  <c r="J89" i="4" s="1"/>
  <c r="K89" i="4" s="1"/>
  <c r="L89" i="4" s="1"/>
  <c r="M89" i="4" s="1"/>
  <c r="N89" i="4" s="1"/>
  <c r="O89" i="4" s="1"/>
  <c r="P89" i="4" s="1"/>
  <c r="Q89" i="4" s="1"/>
  <c r="R89" i="4" s="1"/>
  <c r="S89" i="4" s="1"/>
  <c r="T89" i="4" s="1"/>
  <c r="U89" i="4" s="1"/>
  <c r="V89" i="4" s="1"/>
  <c r="W89" i="4" s="1"/>
  <c r="X89" i="4" s="1"/>
  <c r="Y89" i="4" s="1"/>
  <c r="Z89" i="4" s="1"/>
  <c r="AA89" i="4" s="1"/>
  <c r="AB89" i="4" s="1"/>
  <c r="AC89" i="4" s="1"/>
  <c r="AD89" i="4" s="1"/>
  <c r="AE89" i="4" s="1"/>
  <c r="AF89" i="4" s="1"/>
  <c r="AG89" i="4" s="1"/>
  <c r="AH89" i="4" s="1"/>
  <c r="AI89" i="4" s="1"/>
  <c r="AJ89" i="4" s="1"/>
  <c r="AK89" i="4" s="1"/>
  <c r="AL89" i="4" s="1"/>
  <c r="AM89" i="4" s="1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B82" i="4"/>
  <c r="C78" i="4"/>
  <c r="C120" i="4" s="1"/>
  <c r="C77" i="4"/>
  <c r="C119" i="4" s="1"/>
  <c r="C76" i="4"/>
  <c r="C118" i="4" s="1"/>
  <c r="C75" i="4"/>
  <c r="C117" i="4" s="1"/>
  <c r="C74" i="4"/>
  <c r="AJ46" i="4"/>
  <c r="AI46" i="4"/>
  <c r="AH46" i="4"/>
  <c r="AF46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E4" i="4"/>
  <c r="F4" i="4" s="1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QO80" i="3"/>
  <c r="QO82" i="3" s="1"/>
  <c r="QO75" i="3"/>
  <c r="QO77" i="3" s="1"/>
  <c r="QO71" i="3"/>
  <c r="QO72" i="3" s="1"/>
  <c r="QO73" i="3" s="1"/>
  <c r="QN71" i="3"/>
  <c r="QN72" i="3" s="1"/>
  <c r="QN73" i="3" s="1"/>
  <c r="WT69" i="3"/>
  <c r="WT68" i="3"/>
  <c r="WT70" i="3" s="1"/>
  <c r="QO67" i="3"/>
  <c r="QO68" i="3" s="1"/>
  <c r="QN67" i="3"/>
  <c r="QN68" i="3" s="1"/>
  <c r="QF67" i="3"/>
  <c r="QF68" i="3" s="1"/>
  <c r="PZ67" i="3"/>
  <c r="PZ68" i="3" s="1"/>
  <c r="YF60" i="3"/>
  <c r="YE60" i="3"/>
  <c r="YD60" i="3"/>
  <c r="YB60" i="3"/>
  <c r="YA60" i="3"/>
  <c r="XZ60" i="3"/>
  <c r="XY60" i="3"/>
  <c r="XX60" i="3"/>
  <c r="XW60" i="3"/>
  <c r="XV60" i="3"/>
  <c r="XU60" i="3"/>
  <c r="XT60" i="3"/>
  <c r="XS60" i="3"/>
  <c r="XR60" i="3"/>
  <c r="XQ60" i="3"/>
  <c r="XP60" i="3"/>
  <c r="XO60" i="3"/>
  <c r="XN60" i="3"/>
  <c r="XM60" i="3"/>
  <c r="XL60" i="3"/>
  <c r="XK60" i="3"/>
  <c r="XJ60" i="3"/>
  <c r="XI60" i="3"/>
  <c r="XH60" i="3"/>
  <c r="XG60" i="3"/>
  <c r="XF60" i="3"/>
  <c r="XE60" i="3"/>
  <c r="XD60" i="3"/>
  <c r="XC60" i="3"/>
  <c r="XB60" i="3"/>
  <c r="XA60" i="3"/>
  <c r="WZ60" i="3"/>
  <c r="WY60" i="3"/>
  <c r="WX60" i="3"/>
  <c r="WW60" i="3"/>
  <c r="WV60" i="3"/>
  <c r="WU60" i="3"/>
  <c r="WT60" i="3"/>
  <c r="WS60" i="3"/>
  <c r="WR60" i="3"/>
  <c r="WQ60" i="3"/>
  <c r="WO60" i="3"/>
  <c r="WN60" i="3"/>
  <c r="WM60" i="3"/>
  <c r="WL60" i="3"/>
  <c r="WK60" i="3"/>
  <c r="WJ60" i="3"/>
  <c r="WH60" i="3"/>
  <c r="WG60" i="3"/>
  <c r="WF60" i="3"/>
  <c r="WE60" i="3"/>
  <c r="WD60" i="3"/>
  <c r="WC60" i="3"/>
  <c r="WB60" i="3"/>
  <c r="WA60" i="3"/>
  <c r="VZ60" i="3"/>
  <c r="VY60" i="3"/>
  <c r="VX60" i="3"/>
  <c r="VW60" i="3"/>
  <c r="VV60" i="3"/>
  <c r="VU60" i="3"/>
  <c r="VT60" i="3"/>
  <c r="VS60" i="3"/>
  <c r="VR60" i="3"/>
  <c r="VQ60" i="3"/>
  <c r="VP60" i="3"/>
  <c r="VO60" i="3"/>
  <c r="VN60" i="3"/>
  <c r="VM60" i="3"/>
  <c r="VL60" i="3"/>
  <c r="VK60" i="3"/>
  <c r="VJ60" i="3"/>
  <c r="VI60" i="3"/>
  <c r="VH60" i="3"/>
  <c r="VG60" i="3"/>
  <c r="VF60" i="3"/>
  <c r="VE60" i="3"/>
  <c r="VD60" i="3"/>
  <c r="VC60" i="3"/>
  <c r="VB60" i="3"/>
  <c r="VA60" i="3"/>
  <c r="UZ60" i="3"/>
  <c r="UY60" i="3"/>
  <c r="UX60" i="3"/>
  <c r="UW60" i="3"/>
  <c r="UV60" i="3"/>
  <c r="UU60" i="3"/>
  <c r="UT60" i="3"/>
  <c r="US60" i="3"/>
  <c r="UR60" i="3"/>
  <c r="UQ60" i="3"/>
  <c r="UP60" i="3"/>
  <c r="UO60" i="3"/>
  <c r="UN60" i="3"/>
  <c r="UM60" i="3"/>
  <c r="UL60" i="3"/>
  <c r="UK60" i="3"/>
  <c r="UJ60" i="3"/>
  <c r="UI60" i="3"/>
  <c r="UH60" i="3"/>
  <c r="UG60" i="3"/>
  <c r="UF60" i="3"/>
  <c r="UE60" i="3"/>
  <c r="UD60" i="3"/>
  <c r="UC60" i="3"/>
  <c r="UB60" i="3"/>
  <c r="UA60" i="3"/>
  <c r="TZ60" i="3"/>
  <c r="TY60" i="3"/>
  <c r="TX60" i="3"/>
  <c r="TW60" i="3"/>
  <c r="TV60" i="3"/>
  <c r="TU60" i="3"/>
  <c r="TT60" i="3"/>
  <c r="TS60" i="3"/>
  <c r="TR60" i="3"/>
  <c r="TQ60" i="3"/>
  <c r="TP60" i="3"/>
  <c r="TO60" i="3"/>
  <c r="TN60" i="3"/>
  <c r="TM60" i="3"/>
  <c r="TL60" i="3"/>
  <c r="TK60" i="3"/>
  <c r="TJ60" i="3"/>
  <c r="TI60" i="3"/>
  <c r="TH60" i="3"/>
  <c r="TG60" i="3"/>
  <c r="TF60" i="3"/>
  <c r="TE60" i="3"/>
  <c r="TD60" i="3"/>
  <c r="TC60" i="3"/>
  <c r="TB60" i="3"/>
  <c r="TA60" i="3"/>
  <c r="SZ60" i="3"/>
  <c r="SY60" i="3"/>
  <c r="SX60" i="3"/>
  <c r="SW60" i="3"/>
  <c r="SV60" i="3"/>
  <c r="SU60" i="3"/>
  <c r="ST60" i="3"/>
  <c r="SS60" i="3"/>
  <c r="SR60" i="3"/>
  <c r="SQ60" i="3"/>
  <c r="SP60" i="3"/>
  <c r="SO60" i="3"/>
  <c r="SN60" i="3"/>
  <c r="SM60" i="3"/>
  <c r="SL60" i="3"/>
  <c r="SK60" i="3"/>
  <c r="SJ60" i="3"/>
  <c r="SI60" i="3"/>
  <c r="SH60" i="3"/>
  <c r="SG60" i="3"/>
  <c r="SF60" i="3"/>
  <c r="SE60" i="3"/>
  <c r="SD60" i="3"/>
  <c r="SC60" i="3"/>
  <c r="SB60" i="3"/>
  <c r="SA60" i="3"/>
  <c r="RZ60" i="3"/>
  <c r="RY60" i="3"/>
  <c r="RX60" i="3"/>
  <c r="RW60" i="3"/>
  <c r="RV60" i="3"/>
  <c r="RU60" i="3"/>
  <c r="RT60" i="3"/>
  <c r="RS60" i="3"/>
  <c r="RR60" i="3"/>
  <c r="RQ60" i="3"/>
  <c r="RP60" i="3"/>
  <c r="RO60" i="3"/>
  <c r="RN60" i="3"/>
  <c r="RM60" i="3"/>
  <c r="RL60" i="3"/>
  <c r="RK60" i="3"/>
  <c r="RJ60" i="3"/>
  <c r="RI60" i="3"/>
  <c r="RH60" i="3"/>
  <c r="RG60" i="3"/>
  <c r="RF60" i="3"/>
  <c r="RE60" i="3"/>
  <c r="RD60" i="3"/>
  <c r="RC60" i="3"/>
  <c r="RB60" i="3"/>
  <c r="RA60" i="3"/>
  <c r="QZ60" i="3"/>
  <c r="QY60" i="3"/>
  <c r="QX60" i="3"/>
  <c r="QW60" i="3"/>
  <c r="QV60" i="3"/>
  <c r="QU60" i="3"/>
  <c r="QT60" i="3"/>
  <c r="QS60" i="3"/>
  <c r="QR60" i="3"/>
  <c r="QQ60" i="3"/>
  <c r="QP60" i="3"/>
  <c r="QO60" i="3"/>
  <c r="QN60" i="3"/>
  <c r="QM60" i="3"/>
  <c r="QL60" i="3"/>
  <c r="QK60" i="3"/>
  <c r="QJ60" i="3"/>
  <c r="QI60" i="3"/>
  <c r="QH60" i="3"/>
  <c r="QG60" i="3"/>
  <c r="QF60" i="3"/>
  <c r="QE60" i="3"/>
  <c r="QD60" i="3"/>
  <c r="QC60" i="3"/>
  <c r="QB60" i="3"/>
  <c r="QA60" i="3"/>
  <c r="PZ60" i="3"/>
  <c r="PY60" i="3"/>
  <c r="PX60" i="3"/>
  <c r="PW60" i="3"/>
  <c r="PV60" i="3"/>
  <c r="PU60" i="3"/>
  <c r="PT60" i="3"/>
  <c r="PS60" i="3"/>
  <c r="PR60" i="3"/>
  <c r="PQ60" i="3"/>
  <c r="PP60" i="3"/>
  <c r="PO60" i="3"/>
  <c r="PN60" i="3"/>
  <c r="PM60" i="3"/>
  <c r="PL60" i="3"/>
  <c r="PK60" i="3"/>
  <c r="PJ60" i="3"/>
  <c r="PI60" i="3"/>
  <c r="PH60" i="3"/>
  <c r="PG60" i="3"/>
  <c r="PF60" i="3"/>
  <c r="PE60" i="3"/>
  <c r="PD60" i="3"/>
  <c r="PC60" i="3"/>
  <c r="PB60" i="3"/>
  <c r="PA60" i="3"/>
  <c r="OZ60" i="3"/>
  <c r="OY60" i="3"/>
  <c r="OX60" i="3"/>
  <c r="OW60" i="3"/>
  <c r="OV60" i="3"/>
  <c r="OU60" i="3"/>
  <c r="OT60" i="3"/>
  <c r="OS60" i="3"/>
  <c r="OR60" i="3"/>
  <c r="OQ60" i="3"/>
  <c r="OP60" i="3"/>
  <c r="OO60" i="3"/>
  <c r="ON60" i="3"/>
  <c r="OM60" i="3"/>
  <c r="OL60" i="3"/>
  <c r="OK60" i="3"/>
  <c r="OJ60" i="3"/>
  <c r="OI60" i="3"/>
  <c r="OH60" i="3"/>
  <c r="OG60" i="3"/>
  <c r="OF60" i="3"/>
  <c r="OE60" i="3"/>
  <c r="OD60" i="3"/>
  <c r="OC60" i="3"/>
  <c r="OB60" i="3"/>
  <c r="OA60" i="3"/>
  <c r="NZ60" i="3"/>
  <c r="NY60" i="3"/>
  <c r="NX60" i="3"/>
  <c r="NW60" i="3"/>
  <c r="NV60" i="3"/>
  <c r="NU60" i="3"/>
  <c r="NT60" i="3"/>
  <c r="NS60" i="3"/>
  <c r="NR60" i="3"/>
  <c r="NQ60" i="3"/>
  <c r="NP60" i="3"/>
  <c r="NO60" i="3"/>
  <c r="NN60" i="3"/>
  <c r="NM60" i="3"/>
  <c r="NL60" i="3"/>
  <c r="NK60" i="3"/>
  <c r="NJ60" i="3"/>
  <c r="NI60" i="3"/>
  <c r="NH60" i="3"/>
  <c r="NG60" i="3"/>
  <c r="NF60" i="3"/>
  <c r="NE60" i="3"/>
  <c r="ND60" i="3"/>
  <c r="YF46" i="3"/>
  <c r="YE46" i="3"/>
  <c r="YD46" i="3"/>
  <c r="YB46" i="3"/>
  <c r="YA46" i="3"/>
  <c r="XZ46" i="3"/>
  <c r="XY46" i="3"/>
  <c r="XX46" i="3"/>
  <c r="XW46" i="3"/>
  <c r="XV46" i="3"/>
  <c r="XU46" i="3"/>
  <c r="XT46" i="3"/>
  <c r="XS46" i="3"/>
  <c r="XR46" i="3"/>
  <c r="XQ46" i="3"/>
  <c r="XP46" i="3"/>
  <c r="XO46" i="3"/>
  <c r="XN46" i="3"/>
  <c r="XM46" i="3"/>
  <c r="XL46" i="3"/>
  <c r="XK46" i="3"/>
  <c r="XJ46" i="3"/>
  <c r="XI46" i="3"/>
  <c r="XH46" i="3"/>
  <c r="XG46" i="3"/>
  <c r="XF46" i="3"/>
  <c r="XE46" i="3"/>
  <c r="XD46" i="3"/>
  <c r="XC46" i="3"/>
  <c r="XB46" i="3"/>
  <c r="XA46" i="3"/>
  <c r="WZ46" i="3"/>
  <c r="WY46" i="3"/>
  <c r="WX46" i="3"/>
  <c r="WW46" i="3"/>
  <c r="WV46" i="3"/>
  <c r="WU46" i="3"/>
  <c r="WT46" i="3"/>
  <c r="WS46" i="3"/>
  <c r="WR46" i="3"/>
  <c r="WQ46" i="3"/>
  <c r="WO46" i="3"/>
  <c r="WN46" i="3"/>
  <c r="WM46" i="3"/>
  <c r="WL46" i="3"/>
  <c r="WK46" i="3"/>
  <c r="WJ46" i="3"/>
  <c r="WH46" i="3"/>
  <c r="WG46" i="3"/>
  <c r="WF46" i="3"/>
  <c r="WE46" i="3"/>
  <c r="WD46" i="3"/>
  <c r="WC46" i="3"/>
  <c r="WB46" i="3"/>
  <c r="WA46" i="3"/>
  <c r="VZ46" i="3"/>
  <c r="VY46" i="3"/>
  <c r="VX46" i="3"/>
  <c r="VW46" i="3"/>
  <c r="VV46" i="3"/>
  <c r="VU46" i="3"/>
  <c r="VT46" i="3"/>
  <c r="VS46" i="3"/>
  <c r="VR46" i="3"/>
  <c r="VQ46" i="3"/>
  <c r="VP46" i="3"/>
  <c r="VO46" i="3"/>
  <c r="VN46" i="3"/>
  <c r="VM46" i="3"/>
  <c r="VL46" i="3"/>
  <c r="VK46" i="3"/>
  <c r="VJ46" i="3"/>
  <c r="VI46" i="3"/>
  <c r="VH46" i="3"/>
  <c r="VG46" i="3"/>
  <c r="VF46" i="3"/>
  <c r="VE46" i="3"/>
  <c r="VD46" i="3"/>
  <c r="VC46" i="3"/>
  <c r="VB46" i="3"/>
  <c r="VA46" i="3"/>
  <c r="UZ46" i="3"/>
  <c r="UY46" i="3"/>
  <c r="UX46" i="3"/>
  <c r="UW46" i="3"/>
  <c r="UV46" i="3"/>
  <c r="UU46" i="3"/>
  <c r="UT46" i="3"/>
  <c r="US46" i="3"/>
  <c r="UR46" i="3"/>
  <c r="UQ46" i="3"/>
  <c r="UP46" i="3"/>
  <c r="UO46" i="3"/>
  <c r="UN46" i="3"/>
  <c r="UM46" i="3"/>
  <c r="UL46" i="3"/>
  <c r="UK46" i="3"/>
  <c r="UJ46" i="3"/>
  <c r="UI46" i="3"/>
  <c r="UH46" i="3"/>
  <c r="UG46" i="3"/>
  <c r="UF46" i="3"/>
  <c r="UE46" i="3"/>
  <c r="UD46" i="3"/>
  <c r="UC46" i="3"/>
  <c r="UB46" i="3"/>
  <c r="UA46" i="3"/>
  <c r="TZ46" i="3"/>
  <c r="TY46" i="3"/>
  <c r="TX46" i="3"/>
  <c r="TW46" i="3"/>
  <c r="TV46" i="3"/>
  <c r="TU46" i="3"/>
  <c r="TT46" i="3"/>
  <c r="TS46" i="3"/>
  <c r="TR46" i="3"/>
  <c r="TQ46" i="3"/>
  <c r="TP46" i="3"/>
  <c r="TO46" i="3"/>
  <c r="TN46" i="3"/>
  <c r="TM46" i="3"/>
  <c r="TL46" i="3"/>
  <c r="TK46" i="3"/>
  <c r="TJ46" i="3"/>
  <c r="TI46" i="3"/>
  <c r="TH46" i="3"/>
  <c r="TG46" i="3"/>
  <c r="TF46" i="3"/>
  <c r="TE46" i="3"/>
  <c r="TD46" i="3"/>
  <c r="TC46" i="3"/>
  <c r="TB46" i="3"/>
  <c r="TA46" i="3"/>
  <c r="SZ46" i="3"/>
  <c r="SY46" i="3"/>
  <c r="SX46" i="3"/>
  <c r="SW46" i="3"/>
  <c r="SV46" i="3"/>
  <c r="SU46" i="3"/>
  <c r="ST46" i="3"/>
  <c r="SS46" i="3"/>
  <c r="SR46" i="3"/>
  <c r="SQ46" i="3"/>
  <c r="SP46" i="3"/>
  <c r="SO46" i="3"/>
  <c r="SN46" i="3"/>
  <c r="SM46" i="3"/>
  <c r="SL46" i="3"/>
  <c r="SK46" i="3"/>
  <c r="SJ46" i="3"/>
  <c r="SI45" i="3"/>
  <c r="SI46" i="3" s="1"/>
  <c r="SH45" i="3"/>
  <c r="SH46" i="3" s="1"/>
  <c r="SG45" i="3"/>
  <c r="SG46" i="3" s="1"/>
  <c r="SF45" i="3"/>
  <c r="SF46" i="3" s="1"/>
  <c r="SE45" i="3"/>
  <c r="SE46" i="3" s="1"/>
  <c r="SD45" i="3"/>
  <c r="SD46" i="3" s="1"/>
  <c r="SC45" i="3"/>
  <c r="SC46" i="3" s="1"/>
  <c r="SB45" i="3"/>
  <c r="SB46" i="3" s="1"/>
  <c r="SA45" i="3"/>
  <c r="SA46" i="3" s="1"/>
  <c r="RZ45" i="3"/>
  <c r="RZ46" i="3" s="1"/>
  <c r="RY45" i="3"/>
  <c r="RY46" i="3" s="1"/>
  <c r="RX45" i="3"/>
  <c r="RX46" i="3" s="1"/>
  <c r="RW45" i="3"/>
  <c r="RW46" i="3" s="1"/>
  <c r="RV45" i="3"/>
  <c r="RV46" i="3" s="1"/>
  <c r="RU45" i="3"/>
  <c r="RU46" i="3" s="1"/>
  <c r="RT45" i="3"/>
  <c r="RT46" i="3" s="1"/>
  <c r="RS45" i="3"/>
  <c r="RS46" i="3" s="1"/>
  <c r="RR45" i="3"/>
  <c r="RR46" i="3" s="1"/>
  <c r="RQ45" i="3"/>
  <c r="RQ46" i="3" s="1"/>
  <c r="RP45" i="3"/>
  <c r="RP46" i="3" s="1"/>
  <c r="RO45" i="3"/>
  <c r="RO46" i="3" s="1"/>
  <c r="RN45" i="3"/>
  <c r="RN46" i="3" s="1"/>
  <c r="RM45" i="3"/>
  <c r="RM46" i="3" s="1"/>
  <c r="RL45" i="3"/>
  <c r="RL46" i="3" s="1"/>
  <c r="RK45" i="3"/>
  <c r="RK46" i="3" s="1"/>
  <c r="RJ45" i="3"/>
  <c r="RJ46" i="3" s="1"/>
  <c r="RI45" i="3"/>
  <c r="RI46" i="3" s="1"/>
  <c r="RH45" i="3"/>
  <c r="RH46" i="3" s="1"/>
  <c r="RG45" i="3"/>
  <c r="RG46" i="3" s="1"/>
  <c r="RF45" i="3"/>
  <c r="RF46" i="3" s="1"/>
  <c r="RE45" i="3"/>
  <c r="RE46" i="3" s="1"/>
  <c r="RD45" i="3"/>
  <c r="RD46" i="3" s="1"/>
  <c r="RC45" i="3"/>
  <c r="RC46" i="3" s="1"/>
  <c r="RB45" i="3"/>
  <c r="RB46" i="3" s="1"/>
  <c r="RA45" i="3"/>
  <c r="RA46" i="3" s="1"/>
  <c r="QZ45" i="3"/>
  <c r="QZ46" i="3" s="1"/>
  <c r="QY45" i="3"/>
  <c r="QY46" i="3" s="1"/>
  <c r="QX45" i="3"/>
  <c r="QX46" i="3" s="1"/>
  <c r="QW45" i="3"/>
  <c r="QW46" i="3" s="1"/>
  <c r="QV45" i="3"/>
  <c r="QV46" i="3" s="1"/>
  <c r="QU45" i="3"/>
  <c r="QU46" i="3" s="1"/>
  <c r="QT45" i="3"/>
  <c r="QT46" i="3" s="1"/>
  <c r="QS45" i="3"/>
  <c r="QS46" i="3" s="1"/>
  <c r="QR45" i="3"/>
  <c r="QR46" i="3" s="1"/>
  <c r="QQ45" i="3"/>
  <c r="QQ46" i="3" s="1"/>
  <c r="QP45" i="3"/>
  <c r="QP46" i="3" s="1"/>
  <c r="QO45" i="3"/>
  <c r="QO46" i="3" s="1"/>
  <c r="QN45" i="3"/>
  <c r="QN46" i="3" s="1"/>
  <c r="QM45" i="3"/>
  <c r="QM46" i="3" s="1"/>
  <c r="QL45" i="3"/>
  <c r="QL46" i="3" s="1"/>
  <c r="QK45" i="3"/>
  <c r="QK46" i="3" s="1"/>
  <c r="QJ45" i="3"/>
  <c r="QJ46" i="3" s="1"/>
  <c r="QI45" i="3"/>
  <c r="QI46" i="3" s="1"/>
  <c r="QH45" i="3"/>
  <c r="QH46" i="3" s="1"/>
  <c r="QG45" i="3"/>
  <c r="QG46" i="3" s="1"/>
  <c r="QF45" i="3"/>
  <c r="QF46" i="3" s="1"/>
  <c r="QE45" i="3"/>
  <c r="QE46" i="3" s="1"/>
  <c r="QD45" i="3"/>
  <c r="QD46" i="3" s="1"/>
  <c r="QC45" i="3"/>
  <c r="QC46" i="3" s="1"/>
  <c r="QB45" i="3"/>
  <c r="QB46" i="3" s="1"/>
  <c r="QA45" i="3"/>
  <c r="QA46" i="3" s="1"/>
  <c r="PZ45" i="3"/>
  <c r="PZ46" i="3" s="1"/>
  <c r="PY45" i="3"/>
  <c r="PY46" i="3" s="1"/>
  <c r="PX45" i="3"/>
  <c r="PX46" i="3" s="1"/>
  <c r="PW45" i="3"/>
  <c r="PW46" i="3" s="1"/>
  <c r="PV45" i="3"/>
  <c r="PV46" i="3" s="1"/>
  <c r="PU45" i="3"/>
  <c r="PU46" i="3" s="1"/>
  <c r="PT45" i="3"/>
  <c r="PT46" i="3" s="1"/>
  <c r="PS45" i="3"/>
  <c r="PS46" i="3" s="1"/>
  <c r="PR45" i="3"/>
  <c r="PR46" i="3" s="1"/>
  <c r="PQ45" i="3"/>
  <c r="PQ46" i="3" s="1"/>
  <c r="PP45" i="3"/>
  <c r="PP46" i="3" s="1"/>
  <c r="PO45" i="3"/>
  <c r="PO46" i="3" s="1"/>
  <c r="PN45" i="3"/>
  <c r="PN46" i="3" s="1"/>
  <c r="PM45" i="3"/>
  <c r="PM46" i="3" s="1"/>
  <c r="PL45" i="3"/>
  <c r="PL46" i="3" s="1"/>
  <c r="PK45" i="3"/>
  <c r="PK46" i="3" s="1"/>
  <c r="PJ45" i="3"/>
  <c r="PJ46" i="3" s="1"/>
  <c r="PI45" i="3"/>
  <c r="PI46" i="3" s="1"/>
  <c r="PH45" i="3"/>
  <c r="PH46" i="3" s="1"/>
  <c r="PG45" i="3"/>
  <c r="PG46" i="3" s="1"/>
  <c r="PF45" i="3"/>
  <c r="PF46" i="3" s="1"/>
  <c r="PE45" i="3"/>
  <c r="PE46" i="3" s="1"/>
  <c r="PD45" i="3"/>
  <c r="PD46" i="3" s="1"/>
  <c r="PC45" i="3"/>
  <c r="PC46" i="3" s="1"/>
  <c r="PB45" i="3"/>
  <c r="PB46" i="3" s="1"/>
  <c r="PA45" i="3"/>
  <c r="PA46" i="3" s="1"/>
  <c r="OZ45" i="3"/>
  <c r="OZ46" i="3" s="1"/>
  <c r="OY45" i="3"/>
  <c r="OY46" i="3" s="1"/>
  <c r="OX45" i="3"/>
  <c r="OX46" i="3" s="1"/>
  <c r="OW45" i="3"/>
  <c r="OW46" i="3" s="1"/>
  <c r="OV45" i="3"/>
  <c r="OV46" i="3" s="1"/>
  <c r="OU45" i="3"/>
  <c r="OU46" i="3" s="1"/>
  <c r="OT45" i="3"/>
  <c r="OT46" i="3" s="1"/>
  <c r="OS45" i="3"/>
  <c r="OS46" i="3" s="1"/>
  <c r="OR45" i="3"/>
  <c r="OR46" i="3" s="1"/>
  <c r="OQ45" i="3"/>
  <c r="OQ46" i="3" s="1"/>
  <c r="OP45" i="3"/>
  <c r="OP46" i="3" s="1"/>
  <c r="OO45" i="3"/>
  <c r="OO46" i="3" s="1"/>
  <c r="PA35" i="3" s="1"/>
  <c r="P71" i="2" s="1"/>
  <c r="ON45" i="3"/>
  <c r="ON46" i="3" s="1"/>
  <c r="OM45" i="3"/>
  <c r="OM46" i="3" s="1"/>
  <c r="OL45" i="3"/>
  <c r="OL46" i="3" s="1"/>
  <c r="OK45" i="3"/>
  <c r="OK46" i="3" s="1"/>
  <c r="OJ45" i="3"/>
  <c r="OJ46" i="3" s="1"/>
  <c r="OI45" i="3"/>
  <c r="OI46" i="3" s="1"/>
  <c r="OH45" i="3"/>
  <c r="OH46" i="3" s="1"/>
  <c r="OG45" i="3"/>
  <c r="OG46" i="3" s="1"/>
  <c r="OF45" i="3"/>
  <c r="OF46" i="3" s="1"/>
  <c r="OE45" i="3"/>
  <c r="OE46" i="3" s="1"/>
  <c r="OD45" i="3"/>
  <c r="OD46" i="3" s="1"/>
  <c r="OC45" i="3"/>
  <c r="OC46" i="3" s="1"/>
  <c r="OB45" i="3"/>
  <c r="OB46" i="3" s="1"/>
  <c r="OA45" i="3"/>
  <c r="OA46" i="3" s="1"/>
  <c r="NZ45" i="3"/>
  <c r="NZ46" i="3" s="1"/>
  <c r="NY45" i="3"/>
  <c r="NY46" i="3" s="1"/>
  <c r="NX45" i="3"/>
  <c r="NX46" i="3" s="1"/>
  <c r="NW45" i="3"/>
  <c r="NW46" i="3" s="1"/>
  <c r="NV45" i="3"/>
  <c r="NV46" i="3" s="1"/>
  <c r="NU45" i="3"/>
  <c r="NU46" i="3" s="1"/>
  <c r="NT45" i="3"/>
  <c r="NT46" i="3" s="1"/>
  <c r="NS45" i="3"/>
  <c r="NS46" i="3" s="1"/>
  <c r="NR45" i="3"/>
  <c r="NR46" i="3" s="1"/>
  <c r="NQ45" i="3"/>
  <c r="NQ46" i="3" s="1"/>
  <c r="NP45" i="3"/>
  <c r="NP46" i="3" s="1"/>
  <c r="NO45" i="3"/>
  <c r="NO46" i="3" s="1"/>
  <c r="NN45" i="3"/>
  <c r="NN46" i="3" s="1"/>
  <c r="NM45" i="3"/>
  <c r="NM46" i="3" s="1"/>
  <c r="NL45" i="3"/>
  <c r="NL46" i="3" s="1"/>
  <c r="NK45" i="3"/>
  <c r="NK46" i="3" s="1"/>
  <c r="NJ45" i="3"/>
  <c r="NJ46" i="3" s="1"/>
  <c r="NI45" i="3"/>
  <c r="NI46" i="3" s="1"/>
  <c r="NH45" i="3"/>
  <c r="NH46" i="3" s="1"/>
  <c r="NG45" i="3"/>
  <c r="NG46" i="3" s="1"/>
  <c r="NF45" i="3"/>
  <c r="NF46" i="3" s="1"/>
  <c r="NE45" i="3"/>
  <c r="NE46" i="3" s="1"/>
  <c r="ND45" i="3"/>
  <c r="ND46" i="3" s="1"/>
  <c r="NC45" i="3"/>
  <c r="NC46" i="3" s="1"/>
  <c r="NB45" i="3"/>
  <c r="NB46" i="3" s="1"/>
  <c r="NA45" i="3"/>
  <c r="NA46" i="3" s="1"/>
  <c r="MZ45" i="3"/>
  <c r="MZ46" i="3" s="1"/>
  <c r="MY45" i="3"/>
  <c r="MY46" i="3" s="1"/>
  <c r="MX45" i="3"/>
  <c r="MX46" i="3" s="1"/>
  <c r="MW45" i="3"/>
  <c r="MW46" i="3" s="1"/>
  <c r="MV45" i="3"/>
  <c r="MV46" i="3" s="1"/>
  <c r="MU45" i="3"/>
  <c r="MU46" i="3" s="1"/>
  <c r="MT45" i="3"/>
  <c r="MT46" i="3" s="1"/>
  <c r="MS45" i="3"/>
  <c r="MS46" i="3" s="1"/>
  <c r="MR45" i="3"/>
  <c r="MR46" i="3" s="1"/>
  <c r="MQ45" i="3"/>
  <c r="MQ46" i="3" s="1"/>
  <c r="MP45" i="3"/>
  <c r="MP46" i="3" s="1"/>
  <c r="MO45" i="3"/>
  <c r="MO46" i="3" s="1"/>
  <c r="MN45" i="3"/>
  <c r="MN46" i="3" s="1"/>
  <c r="MM45" i="3"/>
  <c r="MM46" i="3" s="1"/>
  <c r="ML45" i="3"/>
  <c r="ML46" i="3" s="1"/>
  <c r="MK45" i="3"/>
  <c r="MK46" i="3" s="1"/>
  <c r="MJ45" i="3"/>
  <c r="MJ46" i="3" s="1"/>
  <c r="MI45" i="3"/>
  <c r="MI46" i="3" s="1"/>
  <c r="MH45" i="3"/>
  <c r="MH46" i="3" s="1"/>
  <c r="MG45" i="3"/>
  <c r="MG46" i="3" s="1"/>
  <c r="MF45" i="3"/>
  <c r="MF46" i="3" s="1"/>
  <c r="ME45" i="3"/>
  <c r="ME46" i="3" s="1"/>
  <c r="MD45" i="3"/>
  <c r="MD46" i="3" s="1"/>
  <c r="MC45" i="3"/>
  <c r="MC46" i="3" s="1"/>
  <c r="MB45" i="3"/>
  <c r="MB46" i="3" s="1"/>
  <c r="MA45" i="3"/>
  <c r="MA46" i="3" s="1"/>
  <c r="LZ45" i="3"/>
  <c r="LZ46" i="3" s="1"/>
  <c r="LY45" i="3"/>
  <c r="LY46" i="3" s="1"/>
  <c r="LX45" i="3"/>
  <c r="LX46" i="3" s="1"/>
  <c r="VJ43" i="3"/>
  <c r="VI43" i="3"/>
  <c r="VH43" i="3"/>
  <c r="VG43" i="3"/>
  <c r="VF43" i="3"/>
  <c r="VE43" i="3"/>
  <c r="VD43" i="3"/>
  <c r="VC43" i="3"/>
  <c r="VB43" i="3"/>
  <c r="VA43" i="3"/>
  <c r="UZ43" i="3"/>
  <c r="UY43" i="3"/>
  <c r="UX43" i="3"/>
  <c r="UW43" i="3"/>
  <c r="UV43" i="3"/>
  <c r="UU43" i="3"/>
  <c r="UT43" i="3"/>
  <c r="US43" i="3"/>
  <c r="UR43" i="3"/>
  <c r="UQ43" i="3"/>
  <c r="UP43" i="3"/>
  <c r="UO43" i="3"/>
  <c r="UN43" i="3"/>
  <c r="UM43" i="3"/>
  <c r="UL43" i="3"/>
  <c r="UK43" i="3"/>
  <c r="UJ43" i="3"/>
  <c r="UI43" i="3"/>
  <c r="UH43" i="3"/>
  <c r="UG43" i="3"/>
  <c r="UF43" i="3"/>
  <c r="UE43" i="3"/>
  <c r="UD43" i="3"/>
  <c r="UC43" i="3"/>
  <c r="UB43" i="3"/>
  <c r="UA43" i="3"/>
  <c r="TZ43" i="3"/>
  <c r="TY43" i="3"/>
  <c r="TX43" i="3"/>
  <c r="TW43" i="3"/>
  <c r="TV43" i="3"/>
  <c r="TU43" i="3"/>
  <c r="TT43" i="3"/>
  <c r="TS43" i="3"/>
  <c r="TR43" i="3"/>
  <c r="TQ43" i="3"/>
  <c r="TP43" i="3"/>
  <c r="TO43" i="3"/>
  <c r="TN43" i="3"/>
  <c r="TM43" i="3"/>
  <c r="TL43" i="3"/>
  <c r="TK43" i="3"/>
  <c r="TJ43" i="3"/>
  <c r="TI43" i="3"/>
  <c r="TH43" i="3"/>
  <c r="TG43" i="3"/>
  <c r="TF43" i="3"/>
  <c r="TE43" i="3"/>
  <c r="TD43" i="3"/>
  <c r="TC43" i="3"/>
  <c r="TB43" i="3"/>
  <c r="TA43" i="3"/>
  <c r="SZ43" i="3"/>
  <c r="SY43" i="3"/>
  <c r="SX43" i="3"/>
  <c r="SW43" i="3"/>
  <c r="SV43" i="3"/>
  <c r="SU43" i="3"/>
  <c r="ST43" i="3"/>
  <c r="SS43" i="3"/>
  <c r="SR43" i="3"/>
  <c r="SQ43" i="3"/>
  <c r="SP43" i="3"/>
  <c r="SO43" i="3"/>
  <c r="SN43" i="3"/>
  <c r="SM43" i="3"/>
  <c r="SL43" i="3"/>
  <c r="SK43" i="3"/>
  <c r="SJ43" i="3"/>
  <c r="SI43" i="3"/>
  <c r="SH43" i="3"/>
  <c r="SG43" i="3"/>
  <c r="SF43" i="3"/>
  <c r="SE43" i="3"/>
  <c r="SD43" i="3"/>
  <c r="SC43" i="3"/>
  <c r="SB43" i="3"/>
  <c r="SA43" i="3"/>
  <c r="RZ43" i="3"/>
  <c r="RY43" i="3"/>
  <c r="RX43" i="3"/>
  <c r="RW43" i="3"/>
  <c r="RV43" i="3"/>
  <c r="RU43" i="3"/>
  <c r="RT43" i="3"/>
  <c r="RS43" i="3"/>
  <c r="RR43" i="3"/>
  <c r="RQ43" i="3"/>
  <c r="RP43" i="3"/>
  <c r="RO43" i="3"/>
  <c r="RN43" i="3"/>
  <c r="RM43" i="3"/>
  <c r="RL43" i="3"/>
  <c r="RK43" i="3"/>
  <c r="RJ43" i="3"/>
  <c r="RI43" i="3"/>
  <c r="RH43" i="3"/>
  <c r="RG43" i="3"/>
  <c r="RF43" i="3"/>
  <c r="RE43" i="3"/>
  <c r="RD43" i="3"/>
  <c r="RC43" i="3"/>
  <c r="RB43" i="3"/>
  <c r="RA43" i="3"/>
  <c r="QZ43" i="3"/>
  <c r="QY43" i="3"/>
  <c r="QX43" i="3"/>
  <c r="QW43" i="3"/>
  <c r="QV43" i="3"/>
  <c r="QU43" i="3"/>
  <c r="QT43" i="3"/>
  <c r="QS43" i="3"/>
  <c r="QR43" i="3"/>
  <c r="QQ43" i="3"/>
  <c r="QP43" i="3"/>
  <c r="QO43" i="3"/>
  <c r="QN43" i="3"/>
  <c r="QM43" i="3"/>
  <c r="QL43" i="3"/>
  <c r="QK43" i="3"/>
  <c r="QJ43" i="3"/>
  <c r="QI43" i="3"/>
  <c r="QH43" i="3"/>
  <c r="QG43" i="3"/>
  <c r="QF43" i="3"/>
  <c r="QE43" i="3"/>
  <c r="QD43" i="3"/>
  <c r="QC43" i="3"/>
  <c r="QB43" i="3"/>
  <c r="QA43" i="3"/>
  <c r="PZ43" i="3"/>
  <c r="PY43" i="3"/>
  <c r="PX43" i="3"/>
  <c r="PW43" i="3"/>
  <c r="PV43" i="3"/>
  <c r="PU43" i="3"/>
  <c r="PT43" i="3"/>
  <c r="PS43" i="3"/>
  <c r="PR43" i="3"/>
  <c r="PQ43" i="3"/>
  <c r="PP43" i="3"/>
  <c r="PO43" i="3"/>
  <c r="PN43" i="3"/>
  <c r="PM43" i="3"/>
  <c r="PL43" i="3"/>
  <c r="PK43" i="3"/>
  <c r="PJ43" i="3"/>
  <c r="PI43" i="3"/>
  <c r="PH43" i="3"/>
  <c r="PG43" i="3"/>
  <c r="PF43" i="3"/>
  <c r="PE43" i="3"/>
  <c r="PD43" i="3"/>
  <c r="PC43" i="3"/>
  <c r="PB43" i="3"/>
  <c r="PA43" i="3"/>
  <c r="OZ43" i="3"/>
  <c r="OY43" i="3"/>
  <c r="OX43" i="3"/>
  <c r="OW43" i="3"/>
  <c r="OV43" i="3"/>
  <c r="OU43" i="3"/>
  <c r="OT43" i="3"/>
  <c r="OS43" i="3"/>
  <c r="OR43" i="3"/>
  <c r="OQ43" i="3"/>
  <c r="OP43" i="3"/>
  <c r="OO43" i="3"/>
  <c r="ON43" i="3"/>
  <c r="OM43" i="3"/>
  <c r="OL43" i="3"/>
  <c r="OK43" i="3"/>
  <c r="OJ43" i="3"/>
  <c r="OI43" i="3"/>
  <c r="OH43" i="3"/>
  <c r="OG43" i="3"/>
  <c r="OF43" i="3"/>
  <c r="OE43" i="3"/>
  <c r="OD43" i="3"/>
  <c r="OC43" i="3"/>
  <c r="OB43" i="3"/>
  <c r="OA43" i="3"/>
  <c r="NZ43" i="3"/>
  <c r="NY43" i="3"/>
  <c r="NX43" i="3"/>
  <c r="NW43" i="3"/>
  <c r="NV43" i="3"/>
  <c r="NU43" i="3"/>
  <c r="NT43" i="3"/>
  <c r="NS43" i="3"/>
  <c r="NR43" i="3"/>
  <c r="NQ43" i="3"/>
  <c r="NP43" i="3"/>
  <c r="NO43" i="3"/>
  <c r="NN43" i="3"/>
  <c r="NM43" i="3"/>
  <c r="NL43" i="3"/>
  <c r="NK43" i="3"/>
  <c r="NJ43" i="3"/>
  <c r="NI43" i="3"/>
  <c r="NH43" i="3"/>
  <c r="NG43" i="3"/>
  <c r="NF43" i="3"/>
  <c r="NE43" i="3"/>
  <c r="ND43" i="3"/>
  <c r="NC43" i="3"/>
  <c r="NB43" i="3"/>
  <c r="NA43" i="3"/>
  <c r="MZ43" i="3"/>
  <c r="MY43" i="3"/>
  <c r="MX43" i="3"/>
  <c r="MW43" i="3"/>
  <c r="MV43" i="3"/>
  <c r="MU43" i="3"/>
  <c r="MT43" i="3"/>
  <c r="MS43" i="3"/>
  <c r="MR43" i="3"/>
  <c r="MQ43" i="3"/>
  <c r="MP43" i="3"/>
  <c r="MO43" i="3"/>
  <c r="MN43" i="3"/>
  <c r="MM43" i="3"/>
  <c r="ML43" i="3"/>
  <c r="MK43" i="3"/>
  <c r="MJ43" i="3"/>
  <c r="MI43" i="3"/>
  <c r="MH43" i="3"/>
  <c r="MG43" i="3"/>
  <c r="MF43" i="3"/>
  <c r="ME43" i="3"/>
  <c r="MD43" i="3"/>
  <c r="MC43" i="3"/>
  <c r="MB43" i="3"/>
  <c r="MA43" i="3"/>
  <c r="LZ43" i="3"/>
  <c r="LY43" i="3"/>
  <c r="LX43" i="3"/>
  <c r="LW43" i="3"/>
  <c r="LV43" i="3"/>
  <c r="LU43" i="3"/>
  <c r="LT43" i="3"/>
  <c r="LS43" i="3"/>
  <c r="LR43" i="3"/>
  <c r="LQ43" i="3"/>
  <c r="LP43" i="3"/>
  <c r="LO43" i="3"/>
  <c r="LN43" i="3"/>
  <c r="LM43" i="3"/>
  <c r="LL43" i="3"/>
  <c r="LK43" i="3"/>
  <c r="LJ43" i="3"/>
  <c r="LI43" i="3"/>
  <c r="LH43" i="3"/>
  <c r="LG43" i="3"/>
  <c r="LF43" i="3"/>
  <c r="LE43" i="3"/>
  <c r="LD43" i="3"/>
  <c r="LC43" i="3"/>
  <c r="LB43" i="3"/>
  <c r="LA43" i="3"/>
  <c r="KZ43" i="3"/>
  <c r="KY43" i="3"/>
  <c r="KX43" i="3"/>
  <c r="KW43" i="3"/>
  <c r="KV43" i="3"/>
  <c r="KU43" i="3"/>
  <c r="KT43" i="3"/>
  <c r="KS43" i="3"/>
  <c r="KR43" i="3"/>
  <c r="KQ43" i="3"/>
  <c r="KP43" i="3"/>
  <c r="KO43" i="3"/>
  <c r="KN43" i="3"/>
  <c r="KM43" i="3"/>
  <c r="KL43" i="3"/>
  <c r="KK43" i="3"/>
  <c r="KJ43" i="3"/>
  <c r="KI43" i="3"/>
  <c r="KH43" i="3"/>
  <c r="KG43" i="3"/>
  <c r="KF43" i="3"/>
  <c r="KE43" i="3"/>
  <c r="KD43" i="3"/>
  <c r="KC43" i="3"/>
  <c r="KB43" i="3"/>
  <c r="KA43" i="3"/>
  <c r="JZ43" i="3"/>
  <c r="JY43" i="3"/>
  <c r="JX43" i="3"/>
  <c r="JW43" i="3"/>
  <c r="JV43" i="3"/>
  <c r="JU43" i="3"/>
  <c r="JT43" i="3"/>
  <c r="JS43" i="3"/>
  <c r="JR43" i="3"/>
  <c r="JQ43" i="3"/>
  <c r="JP43" i="3"/>
  <c r="JO43" i="3"/>
  <c r="YF42" i="3"/>
  <c r="YF43" i="3" s="1"/>
  <c r="YE42" i="3"/>
  <c r="YE43" i="3" s="1"/>
  <c r="YD42" i="3"/>
  <c r="YD43" i="3" s="1"/>
  <c r="YB42" i="3"/>
  <c r="YB43" i="3" s="1"/>
  <c r="YA42" i="3"/>
  <c r="YA43" i="3" s="1"/>
  <c r="XZ42" i="3"/>
  <c r="XZ43" i="3" s="1"/>
  <c r="XY42" i="3"/>
  <c r="XY43" i="3" s="1"/>
  <c r="XX42" i="3"/>
  <c r="XX43" i="3" s="1"/>
  <c r="XW42" i="3"/>
  <c r="XW43" i="3" s="1"/>
  <c r="XV42" i="3"/>
  <c r="XV43" i="3" s="1"/>
  <c r="XU42" i="3"/>
  <c r="XU43" i="3" s="1"/>
  <c r="XT42" i="3"/>
  <c r="XT43" i="3" s="1"/>
  <c r="XS42" i="3"/>
  <c r="XS43" i="3" s="1"/>
  <c r="XR42" i="3"/>
  <c r="XR43" i="3" s="1"/>
  <c r="XQ42" i="3"/>
  <c r="XQ43" i="3" s="1"/>
  <c r="XP42" i="3"/>
  <c r="XP43" i="3" s="1"/>
  <c r="XO42" i="3"/>
  <c r="XO43" i="3" s="1"/>
  <c r="XN42" i="3"/>
  <c r="XN43" i="3" s="1"/>
  <c r="XM42" i="3"/>
  <c r="XM43" i="3" s="1"/>
  <c r="XL42" i="3"/>
  <c r="XL43" i="3" s="1"/>
  <c r="XK42" i="3"/>
  <c r="XK43" i="3" s="1"/>
  <c r="XJ42" i="3"/>
  <c r="XJ43" i="3" s="1"/>
  <c r="XI42" i="3"/>
  <c r="XI43" i="3" s="1"/>
  <c r="XH42" i="3"/>
  <c r="XH43" i="3" s="1"/>
  <c r="XG42" i="3"/>
  <c r="XG43" i="3" s="1"/>
  <c r="XF42" i="3"/>
  <c r="XF43" i="3" s="1"/>
  <c r="XE42" i="3"/>
  <c r="XE43" i="3" s="1"/>
  <c r="XD42" i="3"/>
  <c r="XD43" i="3" s="1"/>
  <c r="XC42" i="3"/>
  <c r="XC43" i="3" s="1"/>
  <c r="XB42" i="3"/>
  <c r="XB43" i="3" s="1"/>
  <c r="XA42" i="3"/>
  <c r="XA43" i="3" s="1"/>
  <c r="WZ42" i="3"/>
  <c r="WZ43" i="3" s="1"/>
  <c r="WY42" i="3"/>
  <c r="WY43" i="3" s="1"/>
  <c r="WX42" i="3"/>
  <c r="WX43" i="3" s="1"/>
  <c r="WW42" i="3"/>
  <c r="WW43" i="3" s="1"/>
  <c r="WV42" i="3"/>
  <c r="WV43" i="3" s="1"/>
  <c r="WU42" i="3"/>
  <c r="WU43" i="3" s="1"/>
  <c r="WT42" i="3"/>
  <c r="WT43" i="3" s="1"/>
  <c r="WS42" i="3"/>
  <c r="WS43" i="3" s="1"/>
  <c r="WR42" i="3"/>
  <c r="WR43" i="3" s="1"/>
  <c r="WQ42" i="3"/>
  <c r="WQ43" i="3" s="1"/>
  <c r="WO42" i="3"/>
  <c r="WO43" i="3" s="1"/>
  <c r="WN42" i="3"/>
  <c r="WN43" i="3" s="1"/>
  <c r="WM42" i="3"/>
  <c r="WM43" i="3" s="1"/>
  <c r="WL42" i="3"/>
  <c r="WL43" i="3" s="1"/>
  <c r="WK42" i="3"/>
  <c r="WK43" i="3" s="1"/>
  <c r="WJ42" i="3"/>
  <c r="WJ43" i="3" s="1"/>
  <c r="WH42" i="3"/>
  <c r="WH43" i="3" s="1"/>
  <c r="WG42" i="3"/>
  <c r="WG43" i="3" s="1"/>
  <c r="WF42" i="3"/>
  <c r="WF43" i="3" s="1"/>
  <c r="WE42" i="3"/>
  <c r="WE43" i="3" s="1"/>
  <c r="WD42" i="3"/>
  <c r="WD43" i="3" s="1"/>
  <c r="WC42" i="3"/>
  <c r="WC43" i="3" s="1"/>
  <c r="WB42" i="3"/>
  <c r="WB43" i="3" s="1"/>
  <c r="WA42" i="3"/>
  <c r="WA43" i="3" s="1"/>
  <c r="VZ42" i="3"/>
  <c r="VZ43" i="3" s="1"/>
  <c r="VY42" i="3"/>
  <c r="VY43" i="3" s="1"/>
  <c r="VX42" i="3"/>
  <c r="VX43" i="3" s="1"/>
  <c r="VW42" i="3"/>
  <c r="VW43" i="3" s="1"/>
  <c r="VV42" i="3"/>
  <c r="VV43" i="3" s="1"/>
  <c r="VU42" i="3"/>
  <c r="VU43" i="3" s="1"/>
  <c r="VT42" i="3"/>
  <c r="VT43" i="3" s="1"/>
  <c r="VS42" i="3"/>
  <c r="VS43" i="3" s="1"/>
  <c r="VR42" i="3"/>
  <c r="VR43" i="3" s="1"/>
  <c r="VQ42" i="3"/>
  <c r="VQ43" i="3" s="1"/>
  <c r="VP42" i="3"/>
  <c r="VP43" i="3" s="1"/>
  <c r="VO42" i="3"/>
  <c r="VO43" i="3" s="1"/>
  <c r="VN42" i="3"/>
  <c r="VN43" i="3" s="1"/>
  <c r="VM42" i="3"/>
  <c r="VM43" i="3" s="1"/>
  <c r="VL42" i="3"/>
  <c r="VL43" i="3" s="1"/>
  <c r="VK42" i="3"/>
  <c r="VK43" i="3" s="1"/>
  <c r="VJ42" i="3"/>
  <c r="VI42" i="3"/>
  <c r="VH42" i="3"/>
  <c r="VG42" i="3"/>
  <c r="VF42" i="3"/>
  <c r="VE42" i="3"/>
  <c r="VD42" i="3"/>
  <c r="VC42" i="3"/>
  <c r="VB42" i="3"/>
  <c r="VA42" i="3"/>
  <c r="UZ42" i="3"/>
  <c r="UY42" i="3"/>
  <c r="UX42" i="3"/>
  <c r="UW42" i="3"/>
  <c r="UV42" i="3"/>
  <c r="UU42" i="3"/>
  <c r="UT42" i="3"/>
  <c r="US42" i="3"/>
  <c r="UR42" i="3"/>
  <c r="UQ42" i="3"/>
  <c r="UP42" i="3"/>
  <c r="UO42" i="3"/>
  <c r="UN42" i="3"/>
  <c r="UM42" i="3"/>
  <c r="UL42" i="3"/>
  <c r="UK42" i="3"/>
  <c r="UJ42" i="3"/>
  <c r="UI42" i="3"/>
  <c r="UH42" i="3"/>
  <c r="UG42" i="3"/>
  <c r="UF42" i="3"/>
  <c r="UE42" i="3"/>
  <c r="UD42" i="3"/>
  <c r="UC42" i="3"/>
  <c r="UB42" i="3"/>
  <c r="UA42" i="3"/>
  <c r="TZ42" i="3"/>
  <c r="TY42" i="3"/>
  <c r="TX42" i="3"/>
  <c r="TW42" i="3"/>
  <c r="TV42" i="3"/>
  <c r="TU42" i="3"/>
  <c r="TT42" i="3"/>
  <c r="TS42" i="3"/>
  <c r="TR42" i="3"/>
  <c r="TQ42" i="3"/>
  <c r="TP42" i="3"/>
  <c r="TO42" i="3"/>
  <c r="TN42" i="3"/>
  <c r="TM42" i="3"/>
  <c r="TL42" i="3"/>
  <c r="TK42" i="3"/>
  <c r="TJ42" i="3"/>
  <c r="TI42" i="3"/>
  <c r="TH42" i="3"/>
  <c r="TG42" i="3"/>
  <c r="TF42" i="3"/>
  <c r="TE42" i="3"/>
  <c r="TD42" i="3"/>
  <c r="TC42" i="3"/>
  <c r="TB42" i="3"/>
  <c r="TA42" i="3"/>
  <c r="SZ42" i="3"/>
  <c r="SY42" i="3"/>
  <c r="SX42" i="3"/>
  <c r="SW42" i="3"/>
  <c r="SV42" i="3"/>
  <c r="SU42" i="3"/>
  <c r="ST42" i="3"/>
  <c r="SS42" i="3"/>
  <c r="SR42" i="3"/>
  <c r="SQ42" i="3"/>
  <c r="SP42" i="3"/>
  <c r="SO42" i="3"/>
  <c r="SN42" i="3"/>
  <c r="SM42" i="3"/>
  <c r="SL42" i="3"/>
  <c r="SK42" i="3"/>
  <c r="SJ42" i="3"/>
  <c r="SI42" i="3"/>
  <c r="SH42" i="3"/>
  <c r="SG42" i="3"/>
  <c r="SF42" i="3"/>
  <c r="SE42" i="3"/>
  <c r="SD42" i="3"/>
  <c r="SC42" i="3"/>
  <c r="SB42" i="3"/>
  <c r="SA42" i="3"/>
  <c r="RZ42" i="3"/>
  <c r="RY42" i="3"/>
  <c r="RX42" i="3"/>
  <c r="RW42" i="3"/>
  <c r="RV42" i="3"/>
  <c r="RU42" i="3"/>
  <c r="RT42" i="3"/>
  <c r="RS42" i="3"/>
  <c r="RR42" i="3"/>
  <c r="RQ42" i="3"/>
  <c r="RP42" i="3"/>
  <c r="RO42" i="3"/>
  <c r="RN42" i="3"/>
  <c r="RM42" i="3"/>
  <c r="RL42" i="3"/>
  <c r="RK42" i="3"/>
  <c r="RJ42" i="3"/>
  <c r="RI42" i="3"/>
  <c r="RH42" i="3"/>
  <c r="RG42" i="3"/>
  <c r="RF42" i="3"/>
  <c r="RE42" i="3"/>
  <c r="RD42" i="3"/>
  <c r="RC42" i="3"/>
  <c r="RB42" i="3"/>
  <c r="RA42" i="3"/>
  <c r="QZ42" i="3"/>
  <c r="QY42" i="3"/>
  <c r="QX42" i="3"/>
  <c r="QW42" i="3"/>
  <c r="QV42" i="3"/>
  <c r="QU42" i="3"/>
  <c r="QT42" i="3"/>
  <c r="QS42" i="3"/>
  <c r="QR42" i="3"/>
  <c r="QQ42" i="3"/>
  <c r="QP42" i="3"/>
  <c r="QO42" i="3"/>
  <c r="QN42" i="3"/>
  <c r="QM42" i="3"/>
  <c r="QL42" i="3"/>
  <c r="QK42" i="3"/>
  <c r="QJ42" i="3"/>
  <c r="QI42" i="3"/>
  <c r="QH42" i="3"/>
  <c r="QG42" i="3"/>
  <c r="QF42" i="3"/>
  <c r="QE42" i="3"/>
  <c r="QD42" i="3"/>
  <c r="QC42" i="3"/>
  <c r="QB42" i="3"/>
  <c r="QA42" i="3"/>
  <c r="PZ42" i="3"/>
  <c r="PY42" i="3"/>
  <c r="PX42" i="3"/>
  <c r="PW42" i="3"/>
  <c r="PV42" i="3"/>
  <c r="PU42" i="3"/>
  <c r="PT42" i="3"/>
  <c r="PS42" i="3"/>
  <c r="PR42" i="3"/>
  <c r="PQ42" i="3"/>
  <c r="PP42" i="3"/>
  <c r="PO42" i="3"/>
  <c r="PN42" i="3"/>
  <c r="PM42" i="3"/>
  <c r="PL42" i="3"/>
  <c r="PK42" i="3"/>
  <c r="PJ42" i="3"/>
  <c r="PI42" i="3"/>
  <c r="PH42" i="3"/>
  <c r="PG42" i="3"/>
  <c r="PF42" i="3"/>
  <c r="PE42" i="3"/>
  <c r="PD42" i="3"/>
  <c r="PC42" i="3"/>
  <c r="PB42" i="3"/>
  <c r="PA42" i="3"/>
  <c r="OZ42" i="3"/>
  <c r="OY42" i="3"/>
  <c r="OX42" i="3"/>
  <c r="OW42" i="3"/>
  <c r="OV42" i="3"/>
  <c r="OU42" i="3"/>
  <c r="OT42" i="3"/>
  <c r="OS42" i="3"/>
  <c r="OR42" i="3"/>
  <c r="OQ42" i="3"/>
  <c r="OP42" i="3"/>
  <c r="OO42" i="3"/>
  <c r="ON42" i="3"/>
  <c r="OM42" i="3"/>
  <c r="OL42" i="3"/>
  <c r="OK42" i="3"/>
  <c r="OJ42" i="3"/>
  <c r="OI42" i="3"/>
  <c r="OH42" i="3"/>
  <c r="OG42" i="3"/>
  <c r="OF42" i="3"/>
  <c r="OE42" i="3"/>
  <c r="OD42" i="3"/>
  <c r="OC42" i="3"/>
  <c r="OB42" i="3"/>
  <c r="OA42" i="3"/>
  <c r="NZ42" i="3"/>
  <c r="NY42" i="3"/>
  <c r="NX42" i="3"/>
  <c r="NW42" i="3"/>
  <c r="NV42" i="3"/>
  <c r="NU42" i="3"/>
  <c r="NT42" i="3"/>
  <c r="NS42" i="3"/>
  <c r="NR42" i="3"/>
  <c r="NQ42" i="3"/>
  <c r="NP42" i="3"/>
  <c r="NO42" i="3"/>
  <c r="NN42" i="3"/>
  <c r="NM42" i="3"/>
  <c r="NL42" i="3"/>
  <c r="NK42" i="3"/>
  <c r="NJ42" i="3"/>
  <c r="NI42" i="3"/>
  <c r="NH42" i="3"/>
  <c r="NG42" i="3"/>
  <c r="NF42" i="3"/>
  <c r="NE42" i="3"/>
  <c r="ND42" i="3"/>
  <c r="NC42" i="3"/>
  <c r="NB42" i="3"/>
  <c r="NA42" i="3"/>
  <c r="MZ42" i="3"/>
  <c r="MY42" i="3"/>
  <c r="MX42" i="3"/>
  <c r="MW42" i="3"/>
  <c r="MV42" i="3"/>
  <c r="MU42" i="3"/>
  <c r="MT42" i="3"/>
  <c r="MS42" i="3"/>
  <c r="MR42" i="3"/>
  <c r="MQ42" i="3"/>
  <c r="MP42" i="3"/>
  <c r="MO42" i="3"/>
  <c r="MN42" i="3"/>
  <c r="MM42" i="3"/>
  <c r="ML42" i="3"/>
  <c r="MK42" i="3"/>
  <c r="MJ42" i="3"/>
  <c r="MI42" i="3"/>
  <c r="MH42" i="3"/>
  <c r="MG42" i="3"/>
  <c r="MF42" i="3"/>
  <c r="ME42" i="3"/>
  <c r="MD42" i="3"/>
  <c r="MC42" i="3"/>
  <c r="MB42" i="3"/>
  <c r="MA42" i="3"/>
  <c r="LZ42" i="3"/>
  <c r="LY42" i="3"/>
  <c r="LX42" i="3"/>
  <c r="LW42" i="3"/>
  <c r="LV42" i="3"/>
  <c r="LU42" i="3"/>
  <c r="LT42" i="3"/>
  <c r="LS42" i="3"/>
  <c r="LR42" i="3"/>
  <c r="LQ42" i="3"/>
  <c r="LP42" i="3"/>
  <c r="LO42" i="3"/>
  <c r="LN42" i="3"/>
  <c r="LM42" i="3"/>
  <c r="LL42" i="3"/>
  <c r="LK42" i="3"/>
  <c r="LJ42" i="3"/>
  <c r="LI42" i="3"/>
  <c r="LH42" i="3"/>
  <c r="LG42" i="3"/>
  <c r="LF42" i="3"/>
  <c r="LE42" i="3"/>
  <c r="LD42" i="3"/>
  <c r="LC42" i="3"/>
  <c r="LB42" i="3"/>
  <c r="LA42" i="3"/>
  <c r="KZ42" i="3"/>
  <c r="KY42" i="3"/>
  <c r="KX42" i="3"/>
  <c r="KW42" i="3"/>
  <c r="KV42" i="3"/>
  <c r="KU42" i="3"/>
  <c r="KT42" i="3"/>
  <c r="KS42" i="3"/>
  <c r="KR42" i="3"/>
  <c r="KQ42" i="3"/>
  <c r="KP42" i="3"/>
  <c r="KO42" i="3"/>
  <c r="KN42" i="3"/>
  <c r="KM42" i="3"/>
  <c r="KL42" i="3"/>
  <c r="KK42" i="3"/>
  <c r="KJ42" i="3"/>
  <c r="KI42" i="3"/>
  <c r="KH42" i="3"/>
  <c r="KG42" i="3"/>
  <c r="KF42" i="3"/>
  <c r="KE42" i="3"/>
  <c r="KD42" i="3"/>
  <c r="KC42" i="3"/>
  <c r="KB42" i="3"/>
  <c r="KA42" i="3"/>
  <c r="JZ42" i="3"/>
  <c r="JY42" i="3"/>
  <c r="JX42" i="3"/>
  <c r="JW42" i="3"/>
  <c r="JV42" i="3"/>
  <c r="JU42" i="3"/>
  <c r="JT42" i="3"/>
  <c r="JS42" i="3"/>
  <c r="JR42" i="3"/>
  <c r="JQ42" i="3"/>
  <c r="JP42" i="3"/>
  <c r="JO42" i="3"/>
  <c r="WZ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YC30" i="3"/>
  <c r="SW30" i="3"/>
  <c r="SV30" i="3"/>
  <c r="SU30" i="3"/>
  <c r="ST30" i="3"/>
  <c r="SS30" i="3"/>
  <c r="SR30" i="3"/>
  <c r="SQ30" i="3"/>
  <c r="SP30" i="3"/>
  <c r="SO30" i="3"/>
  <c r="SN30" i="3"/>
  <c r="SM30" i="3"/>
  <c r="SL30" i="3"/>
  <c r="SK30" i="3"/>
  <c r="SJ30" i="3"/>
  <c r="YF29" i="3"/>
  <c r="YF30" i="3" s="1"/>
  <c r="YE29" i="3"/>
  <c r="YE30" i="3" s="1"/>
  <c r="YD29" i="3"/>
  <c r="YD30" i="3" s="1"/>
  <c r="YB29" i="3"/>
  <c r="YB30" i="3" s="1"/>
  <c r="YA29" i="3"/>
  <c r="YA30" i="3" s="1"/>
  <c r="XZ29" i="3"/>
  <c r="XZ30" i="3" s="1"/>
  <c r="XY29" i="3"/>
  <c r="XY30" i="3" s="1"/>
  <c r="XX29" i="3"/>
  <c r="XX30" i="3" s="1"/>
  <c r="XW29" i="3"/>
  <c r="XW30" i="3" s="1"/>
  <c r="XV29" i="3"/>
  <c r="XV30" i="3" s="1"/>
  <c r="XU29" i="3"/>
  <c r="XU30" i="3" s="1"/>
  <c r="XT29" i="3"/>
  <c r="XT30" i="3" s="1"/>
  <c r="XS29" i="3"/>
  <c r="XS30" i="3" s="1"/>
  <c r="XR29" i="3"/>
  <c r="XR30" i="3" s="1"/>
  <c r="XQ29" i="3"/>
  <c r="XQ30" i="3" s="1"/>
  <c r="XP29" i="3"/>
  <c r="XP30" i="3" s="1"/>
  <c r="XO29" i="3"/>
  <c r="XO30" i="3" s="1"/>
  <c r="XN29" i="3"/>
  <c r="XN30" i="3" s="1"/>
  <c r="XM29" i="3"/>
  <c r="XM30" i="3" s="1"/>
  <c r="XL29" i="3"/>
  <c r="XL30" i="3" s="1"/>
  <c r="XK29" i="3"/>
  <c r="XK30" i="3" s="1"/>
  <c r="XJ29" i="3"/>
  <c r="XJ30" i="3" s="1"/>
  <c r="XI29" i="3"/>
  <c r="XI30" i="3" s="1"/>
  <c r="XH29" i="3"/>
  <c r="XH30" i="3" s="1"/>
  <c r="XG29" i="3"/>
  <c r="XG30" i="3" s="1"/>
  <c r="XF29" i="3"/>
  <c r="XF30" i="3" s="1"/>
  <c r="XE29" i="3"/>
  <c r="XE30" i="3" s="1"/>
  <c r="XD29" i="3"/>
  <c r="XD30" i="3" s="1"/>
  <c r="XC29" i="3"/>
  <c r="XC30" i="3" s="1"/>
  <c r="XB29" i="3"/>
  <c r="XB30" i="3" s="1"/>
  <c r="XA29" i="3"/>
  <c r="XA30" i="3" s="1"/>
  <c r="WZ29" i="3"/>
  <c r="WZ30" i="3" s="1"/>
  <c r="WY29" i="3"/>
  <c r="WY30" i="3" s="1"/>
  <c r="WX29" i="3"/>
  <c r="WX30" i="3" s="1"/>
  <c r="WW29" i="3"/>
  <c r="WW30" i="3" s="1"/>
  <c r="WV29" i="3"/>
  <c r="WV30" i="3" s="1"/>
  <c r="WU29" i="3"/>
  <c r="WU30" i="3" s="1"/>
  <c r="WT29" i="3"/>
  <c r="WT30" i="3" s="1"/>
  <c r="WS29" i="3"/>
  <c r="WS30" i="3" s="1"/>
  <c r="WR29" i="3"/>
  <c r="WR30" i="3" s="1"/>
  <c r="WQ29" i="3"/>
  <c r="WQ30" i="3" s="1"/>
  <c r="WO29" i="3"/>
  <c r="WO30" i="3" s="1"/>
  <c r="WN29" i="3"/>
  <c r="WN30" i="3" s="1"/>
  <c r="WM29" i="3"/>
  <c r="WM30" i="3" s="1"/>
  <c r="WL29" i="3"/>
  <c r="WL30" i="3" s="1"/>
  <c r="WK29" i="3"/>
  <c r="WK30" i="3" s="1"/>
  <c r="WJ29" i="3"/>
  <c r="WJ30" i="3" s="1"/>
  <c r="WH29" i="3"/>
  <c r="WH30" i="3" s="1"/>
  <c r="WG29" i="3"/>
  <c r="WG30" i="3" s="1"/>
  <c r="WF29" i="3"/>
  <c r="WF30" i="3" s="1"/>
  <c r="WE29" i="3"/>
  <c r="WE30" i="3" s="1"/>
  <c r="WD29" i="3"/>
  <c r="WD30" i="3" s="1"/>
  <c r="WC29" i="3"/>
  <c r="WC30" i="3" s="1"/>
  <c r="WB29" i="3"/>
  <c r="WB30" i="3" s="1"/>
  <c r="WA29" i="3"/>
  <c r="WA30" i="3" s="1"/>
  <c r="VZ29" i="3"/>
  <c r="VZ30" i="3" s="1"/>
  <c r="VY29" i="3"/>
  <c r="VY30" i="3" s="1"/>
  <c r="VX29" i="3"/>
  <c r="VX30" i="3" s="1"/>
  <c r="VW29" i="3"/>
  <c r="VW30" i="3" s="1"/>
  <c r="VV29" i="3"/>
  <c r="VV30" i="3" s="1"/>
  <c r="VU29" i="3"/>
  <c r="VU30" i="3" s="1"/>
  <c r="VT29" i="3"/>
  <c r="VT30" i="3" s="1"/>
  <c r="VS29" i="3"/>
  <c r="VS30" i="3" s="1"/>
  <c r="VR29" i="3"/>
  <c r="VR30" i="3" s="1"/>
  <c r="VQ29" i="3"/>
  <c r="VQ30" i="3" s="1"/>
  <c r="VP29" i="3"/>
  <c r="VP30" i="3" s="1"/>
  <c r="VO29" i="3"/>
  <c r="VO30" i="3" s="1"/>
  <c r="VN29" i="3"/>
  <c r="VN30" i="3" s="1"/>
  <c r="VM29" i="3"/>
  <c r="VM30" i="3" s="1"/>
  <c r="VL29" i="3"/>
  <c r="VL30" i="3" s="1"/>
  <c r="VK29" i="3"/>
  <c r="VK30" i="3" s="1"/>
  <c r="VJ29" i="3"/>
  <c r="VJ30" i="3" s="1"/>
  <c r="VI29" i="3"/>
  <c r="VI30" i="3" s="1"/>
  <c r="VH29" i="3"/>
  <c r="VH30" i="3" s="1"/>
  <c r="VG29" i="3"/>
  <c r="VG30" i="3" s="1"/>
  <c r="VF29" i="3"/>
  <c r="VF30" i="3" s="1"/>
  <c r="VE29" i="3"/>
  <c r="VE30" i="3" s="1"/>
  <c r="VD29" i="3"/>
  <c r="VD30" i="3" s="1"/>
  <c r="VC29" i="3"/>
  <c r="VC30" i="3" s="1"/>
  <c r="VB29" i="3"/>
  <c r="VB30" i="3" s="1"/>
  <c r="VA29" i="3"/>
  <c r="VA30" i="3" s="1"/>
  <c r="UZ29" i="3"/>
  <c r="UZ30" i="3" s="1"/>
  <c r="UY29" i="3"/>
  <c r="UY30" i="3" s="1"/>
  <c r="UX29" i="3"/>
  <c r="UX30" i="3" s="1"/>
  <c r="UW29" i="3"/>
  <c r="UW30" i="3" s="1"/>
  <c r="UV29" i="3"/>
  <c r="UV30" i="3" s="1"/>
  <c r="UU29" i="3"/>
  <c r="UU30" i="3" s="1"/>
  <c r="UT29" i="3"/>
  <c r="UT30" i="3" s="1"/>
  <c r="US29" i="3"/>
  <c r="US30" i="3" s="1"/>
  <c r="UR29" i="3"/>
  <c r="UR30" i="3" s="1"/>
  <c r="UQ29" i="3"/>
  <c r="UQ30" i="3" s="1"/>
  <c r="UP29" i="3"/>
  <c r="UP30" i="3" s="1"/>
  <c r="UO29" i="3"/>
  <c r="UO30" i="3" s="1"/>
  <c r="UN29" i="3"/>
  <c r="UN30" i="3" s="1"/>
  <c r="UM29" i="3"/>
  <c r="UM30" i="3" s="1"/>
  <c r="UL29" i="3"/>
  <c r="UL30" i="3" s="1"/>
  <c r="UK29" i="3"/>
  <c r="UK30" i="3" s="1"/>
  <c r="UJ29" i="3"/>
  <c r="UJ30" i="3" s="1"/>
  <c r="UI29" i="3"/>
  <c r="UI30" i="3" s="1"/>
  <c r="UH29" i="3"/>
  <c r="UH30" i="3" s="1"/>
  <c r="UG29" i="3"/>
  <c r="UG30" i="3" s="1"/>
  <c r="UF29" i="3"/>
  <c r="UF30" i="3" s="1"/>
  <c r="UE29" i="3"/>
  <c r="UE30" i="3" s="1"/>
  <c r="UD29" i="3"/>
  <c r="UD30" i="3" s="1"/>
  <c r="UC29" i="3"/>
  <c r="UC30" i="3" s="1"/>
  <c r="UB29" i="3"/>
  <c r="UB30" i="3" s="1"/>
  <c r="UA29" i="3"/>
  <c r="UA30" i="3" s="1"/>
  <c r="TZ29" i="3"/>
  <c r="TZ30" i="3" s="1"/>
  <c r="TY29" i="3"/>
  <c r="TY30" i="3" s="1"/>
  <c r="TX29" i="3"/>
  <c r="TX30" i="3" s="1"/>
  <c r="TW29" i="3"/>
  <c r="TW30" i="3" s="1"/>
  <c r="TV29" i="3"/>
  <c r="TV30" i="3" s="1"/>
  <c r="TU29" i="3"/>
  <c r="TU30" i="3" s="1"/>
  <c r="TT29" i="3"/>
  <c r="TT30" i="3" s="1"/>
  <c r="TS29" i="3"/>
  <c r="TS30" i="3" s="1"/>
  <c r="TR29" i="3"/>
  <c r="TR30" i="3" s="1"/>
  <c r="TQ29" i="3"/>
  <c r="TQ30" i="3" s="1"/>
  <c r="TP29" i="3"/>
  <c r="TP30" i="3" s="1"/>
  <c r="TO29" i="3"/>
  <c r="TO30" i="3" s="1"/>
  <c r="TN29" i="3"/>
  <c r="TN30" i="3" s="1"/>
  <c r="TM29" i="3"/>
  <c r="TM30" i="3" s="1"/>
  <c r="TL29" i="3"/>
  <c r="TL30" i="3" s="1"/>
  <c r="TK29" i="3"/>
  <c r="TK30" i="3" s="1"/>
  <c r="TJ29" i="3"/>
  <c r="TJ30" i="3" s="1"/>
  <c r="TI29" i="3"/>
  <c r="TI30" i="3" s="1"/>
  <c r="TH29" i="3"/>
  <c r="TH30" i="3" s="1"/>
  <c r="TG29" i="3"/>
  <c r="TG30" i="3" s="1"/>
  <c r="TF29" i="3"/>
  <c r="TF30" i="3" s="1"/>
  <c r="TE29" i="3"/>
  <c r="TE30" i="3" s="1"/>
  <c r="TD29" i="3"/>
  <c r="TD30" i="3" s="1"/>
  <c r="TC29" i="3"/>
  <c r="TC30" i="3" s="1"/>
  <c r="TB29" i="3"/>
  <c r="TB30" i="3" s="1"/>
  <c r="TA29" i="3"/>
  <c r="TA30" i="3" s="1"/>
  <c r="SZ29" i="3"/>
  <c r="SZ30" i="3" s="1"/>
  <c r="SY29" i="3"/>
  <c r="SY30" i="3" s="1"/>
  <c r="SX29" i="3"/>
  <c r="SX30" i="3" s="1"/>
  <c r="SW29" i="3"/>
  <c r="SV29" i="3"/>
  <c r="SU29" i="3"/>
  <c r="ST29" i="3"/>
  <c r="SS29" i="3"/>
  <c r="SR29" i="3"/>
  <c r="SQ29" i="3"/>
  <c r="SP29" i="3"/>
  <c r="SO29" i="3"/>
  <c r="SN29" i="3"/>
  <c r="SM29" i="3"/>
  <c r="SL29" i="3"/>
  <c r="SK29" i="3"/>
  <c r="SJ29" i="3"/>
  <c r="SI29" i="3"/>
  <c r="SH29" i="3"/>
  <c r="SG29" i="3"/>
  <c r="SF29" i="3"/>
  <c r="SE29" i="3"/>
  <c r="SD29" i="3"/>
  <c r="SC29" i="3"/>
  <c r="SB29" i="3"/>
  <c r="SA29" i="3"/>
  <c r="RZ29" i="3"/>
  <c r="RS29" i="3"/>
  <c r="RR29" i="3"/>
  <c r="RQ29" i="3"/>
  <c r="RP29" i="3"/>
  <c r="RO29" i="3"/>
  <c r="RN29" i="3"/>
  <c r="RM29" i="3"/>
  <c r="RL29" i="3"/>
  <c r="RK29" i="3"/>
  <c r="RJ29" i="3"/>
  <c r="RI29" i="3"/>
  <c r="RH29" i="3"/>
  <c r="RG29" i="3"/>
  <c r="RF29" i="3"/>
  <c r="RE29" i="3"/>
  <c r="RD29" i="3"/>
  <c r="RC29" i="3"/>
  <c r="RB29" i="3"/>
  <c r="RA29" i="3"/>
  <c r="QZ29" i="3"/>
  <c r="QY29" i="3"/>
  <c r="QX29" i="3"/>
  <c r="QW29" i="3"/>
  <c r="QV29" i="3"/>
  <c r="QU29" i="3"/>
  <c r="QT29" i="3"/>
  <c r="QS29" i="3"/>
  <c r="QR29" i="3"/>
  <c r="QQ29" i="3"/>
  <c r="QP29" i="3"/>
  <c r="QO29" i="3"/>
  <c r="QN29" i="3"/>
  <c r="QM29" i="3"/>
  <c r="QL29" i="3"/>
  <c r="QK29" i="3"/>
  <c r="QJ29" i="3"/>
  <c r="QI29" i="3"/>
  <c r="QH29" i="3"/>
  <c r="QG29" i="3"/>
  <c r="QF29" i="3"/>
  <c r="QE29" i="3"/>
  <c r="QD29" i="3"/>
  <c r="QC29" i="3"/>
  <c r="QB29" i="3"/>
  <c r="QA29" i="3"/>
  <c r="PZ29" i="3"/>
  <c r="PY29" i="3"/>
  <c r="PX29" i="3"/>
  <c r="PW29" i="3"/>
  <c r="PV29" i="3"/>
  <c r="PU29" i="3"/>
  <c r="PT29" i="3"/>
  <c r="PS29" i="3"/>
  <c r="PR29" i="3"/>
  <c r="PQ29" i="3"/>
  <c r="PP29" i="3"/>
  <c r="PO29" i="3"/>
  <c r="PN29" i="3"/>
  <c r="PM29" i="3"/>
  <c r="PL29" i="3"/>
  <c r="PK29" i="3"/>
  <c r="PJ29" i="3"/>
  <c r="PI29" i="3"/>
  <c r="PH29" i="3"/>
  <c r="PG29" i="3"/>
  <c r="PF29" i="3"/>
  <c r="PE29" i="3"/>
  <c r="PD29" i="3"/>
  <c r="PC29" i="3"/>
  <c r="PB29" i="3"/>
  <c r="PA29" i="3"/>
  <c r="OZ29" i="3"/>
  <c r="OY29" i="3"/>
  <c r="OX29" i="3"/>
  <c r="OW29" i="3"/>
  <c r="OV29" i="3"/>
  <c r="OU29" i="3"/>
  <c r="OT29" i="3"/>
  <c r="OS29" i="3"/>
  <c r="OR29" i="3"/>
  <c r="OQ29" i="3"/>
  <c r="OP29" i="3"/>
  <c r="OO29" i="3"/>
  <c r="ON29" i="3"/>
  <c r="OM29" i="3"/>
  <c r="OL29" i="3"/>
  <c r="OK29" i="3"/>
  <c r="OJ29" i="3"/>
  <c r="OI29" i="3"/>
  <c r="OH29" i="3"/>
  <c r="YF25" i="3"/>
  <c r="YE25" i="3"/>
  <c r="YD25" i="3"/>
  <c r="YB25" i="3"/>
  <c r="YA25" i="3"/>
  <c r="XZ25" i="3"/>
  <c r="XY25" i="3"/>
  <c r="XX25" i="3"/>
  <c r="XW25" i="3"/>
  <c r="XV25" i="3"/>
  <c r="XU25" i="3"/>
  <c r="XT25" i="3"/>
  <c r="XS25" i="3"/>
  <c r="XR25" i="3"/>
  <c r="XQ25" i="3"/>
  <c r="XP25" i="3"/>
  <c r="XO25" i="3"/>
  <c r="XN25" i="3"/>
  <c r="XM25" i="3"/>
  <c r="XL25" i="3"/>
  <c r="XK25" i="3"/>
  <c r="XJ25" i="3"/>
  <c r="XI25" i="3"/>
  <c r="XH25" i="3"/>
  <c r="XG25" i="3"/>
  <c r="XF25" i="3"/>
  <c r="XE25" i="3"/>
  <c r="XD25" i="3"/>
  <c r="XC25" i="3"/>
  <c r="XB25" i="3"/>
  <c r="XA25" i="3"/>
  <c r="WZ25" i="3"/>
  <c r="WY25" i="3"/>
  <c r="WX25" i="3"/>
  <c r="WW25" i="3"/>
  <c r="WV25" i="3"/>
  <c r="WU25" i="3"/>
  <c r="WT25" i="3"/>
  <c r="WS25" i="3"/>
  <c r="WR25" i="3"/>
  <c r="WQ25" i="3"/>
  <c r="WO25" i="3"/>
  <c r="WN25" i="3"/>
  <c r="WM25" i="3"/>
  <c r="WL25" i="3"/>
  <c r="WK25" i="3"/>
  <c r="WJ25" i="3"/>
  <c r="WH25" i="3"/>
  <c r="WG25" i="3"/>
  <c r="WF25" i="3"/>
  <c r="WE25" i="3"/>
  <c r="WD25" i="3"/>
  <c r="WC25" i="3"/>
  <c r="WB25" i="3"/>
  <c r="WA25" i="3"/>
  <c r="VZ25" i="3"/>
  <c r="VY25" i="3"/>
  <c r="VX25" i="3"/>
  <c r="VW25" i="3"/>
  <c r="VV25" i="3"/>
  <c r="VU25" i="3"/>
  <c r="VT25" i="3"/>
  <c r="VS25" i="3"/>
  <c r="VR25" i="3"/>
  <c r="VQ25" i="3"/>
  <c r="VP25" i="3"/>
  <c r="VO25" i="3"/>
  <c r="VN25" i="3"/>
  <c r="VM25" i="3"/>
  <c r="VL25" i="3"/>
  <c r="VK25" i="3"/>
  <c r="VJ25" i="3"/>
  <c r="VI25" i="3"/>
  <c r="VH25" i="3"/>
  <c r="VG25" i="3"/>
  <c r="VF25" i="3"/>
  <c r="VE25" i="3"/>
  <c r="VD25" i="3"/>
  <c r="VC25" i="3"/>
  <c r="VB25" i="3"/>
  <c r="VA25" i="3"/>
  <c r="UZ25" i="3"/>
  <c r="UY25" i="3"/>
  <c r="UX25" i="3"/>
  <c r="UW25" i="3"/>
  <c r="UV25" i="3"/>
  <c r="UU25" i="3"/>
  <c r="UT25" i="3"/>
  <c r="US25" i="3"/>
  <c r="UR25" i="3"/>
  <c r="UQ25" i="3"/>
  <c r="UP25" i="3"/>
  <c r="UO25" i="3"/>
  <c r="UN25" i="3"/>
  <c r="UM25" i="3"/>
  <c r="UL25" i="3"/>
  <c r="UK25" i="3"/>
  <c r="UJ25" i="3"/>
  <c r="UI25" i="3"/>
  <c r="UH25" i="3"/>
  <c r="UG25" i="3"/>
  <c r="UF25" i="3"/>
  <c r="UE25" i="3"/>
  <c r="UD25" i="3"/>
  <c r="UC25" i="3"/>
  <c r="UB25" i="3"/>
  <c r="UA25" i="3"/>
  <c r="TZ25" i="3"/>
  <c r="TY25" i="3"/>
  <c r="TX25" i="3"/>
  <c r="TW25" i="3"/>
  <c r="TV25" i="3"/>
  <c r="TU25" i="3"/>
  <c r="TT25" i="3"/>
  <c r="TS25" i="3"/>
  <c r="TR25" i="3"/>
  <c r="TQ25" i="3"/>
  <c r="TP25" i="3"/>
  <c r="TO25" i="3"/>
  <c r="TN25" i="3"/>
  <c r="TM25" i="3"/>
  <c r="TL25" i="3"/>
  <c r="TK25" i="3"/>
  <c r="TJ25" i="3"/>
  <c r="TI25" i="3"/>
  <c r="TH25" i="3"/>
  <c r="TG25" i="3"/>
  <c r="TF25" i="3"/>
  <c r="TE25" i="3"/>
  <c r="TD25" i="3"/>
  <c r="TC25" i="3"/>
  <c r="TB25" i="3"/>
  <c r="TA25" i="3"/>
  <c r="SZ25" i="3"/>
  <c r="SY25" i="3"/>
  <c r="SX25" i="3"/>
  <c r="SW25" i="3"/>
  <c r="SV25" i="3"/>
  <c r="SU25" i="3"/>
  <c r="ST25" i="3"/>
  <c r="SS25" i="3"/>
  <c r="SR25" i="3"/>
  <c r="SQ25" i="3"/>
  <c r="SP25" i="3"/>
  <c r="SO25" i="3"/>
  <c r="SN25" i="3"/>
  <c r="SM25" i="3"/>
  <c r="SL25" i="3"/>
  <c r="SK25" i="3"/>
  <c r="SJ25" i="3"/>
  <c r="SI25" i="3"/>
  <c r="SH25" i="3"/>
  <c r="SG25" i="3"/>
  <c r="SF25" i="3"/>
  <c r="SE25" i="3"/>
  <c r="SD25" i="3"/>
  <c r="SC25" i="3"/>
  <c r="SB25" i="3"/>
  <c r="SA25" i="3"/>
  <c r="RZ25" i="3"/>
  <c r="RY25" i="3"/>
  <c r="RX25" i="3"/>
  <c r="RW25" i="3"/>
  <c r="RV25" i="3"/>
  <c r="RU25" i="3"/>
  <c r="RT25" i="3"/>
  <c r="RS25" i="3"/>
  <c r="RR25" i="3"/>
  <c r="RQ25" i="3"/>
  <c r="RP25" i="3"/>
  <c r="RO25" i="3"/>
  <c r="RN25" i="3"/>
  <c r="RM25" i="3"/>
  <c r="RL25" i="3"/>
  <c r="RK25" i="3"/>
  <c r="RJ25" i="3"/>
  <c r="RI25" i="3"/>
  <c r="RH25" i="3"/>
  <c r="RG25" i="3"/>
  <c r="RF25" i="3"/>
  <c r="RE25" i="3"/>
  <c r="RD25" i="3"/>
  <c r="RC25" i="3"/>
  <c r="RB25" i="3"/>
  <c r="RA25" i="3"/>
  <c r="QZ25" i="3"/>
  <c r="QY25" i="3"/>
  <c r="QX25" i="3"/>
  <c r="QW25" i="3"/>
  <c r="QV25" i="3"/>
  <c r="QU25" i="3"/>
  <c r="QT25" i="3"/>
  <c r="QS25" i="3"/>
  <c r="QR25" i="3"/>
  <c r="QQ25" i="3"/>
  <c r="QP25" i="3"/>
  <c r="QO25" i="3"/>
  <c r="QN25" i="3"/>
  <c r="QM25" i="3"/>
  <c r="QL25" i="3"/>
  <c r="QK25" i="3"/>
  <c r="QJ25" i="3"/>
  <c r="QI25" i="3"/>
  <c r="QH25" i="3"/>
  <c r="QG25" i="3"/>
  <c r="QF25" i="3"/>
  <c r="QE25" i="3"/>
  <c r="QD25" i="3"/>
  <c r="QC25" i="3"/>
  <c r="QB25" i="3"/>
  <c r="QA25" i="3"/>
  <c r="PZ25" i="3"/>
  <c r="PY25" i="3"/>
  <c r="PX25" i="3"/>
  <c r="PW25" i="3"/>
  <c r="PV25" i="3"/>
  <c r="PU25" i="3"/>
  <c r="PT25" i="3"/>
  <c r="PS25" i="3"/>
  <c r="PR25" i="3"/>
  <c r="PQ25" i="3"/>
  <c r="PP25" i="3"/>
  <c r="PO25" i="3"/>
  <c r="PN25" i="3"/>
  <c r="PM25" i="3"/>
  <c r="PL25" i="3"/>
  <c r="PK25" i="3"/>
  <c r="PJ25" i="3"/>
  <c r="PI25" i="3"/>
  <c r="PH25" i="3"/>
  <c r="PG25" i="3"/>
  <c r="PF25" i="3"/>
  <c r="PE25" i="3"/>
  <c r="PD25" i="3"/>
  <c r="PC25" i="3"/>
  <c r="PB25" i="3"/>
  <c r="PA25" i="3"/>
  <c r="OZ25" i="3"/>
  <c r="OY25" i="3"/>
  <c r="OX25" i="3"/>
  <c r="OW25" i="3"/>
  <c r="OV25" i="3"/>
  <c r="OU25" i="3"/>
  <c r="OT25" i="3"/>
  <c r="OS25" i="3"/>
  <c r="OR25" i="3"/>
  <c r="OQ25" i="3"/>
  <c r="OP25" i="3"/>
  <c r="OO25" i="3"/>
  <c r="ON25" i="3"/>
  <c r="OM25" i="3"/>
  <c r="OL25" i="3"/>
  <c r="OK25" i="3"/>
  <c r="OJ25" i="3"/>
  <c r="OI25" i="3"/>
  <c r="OG25" i="3"/>
  <c r="OF25" i="3"/>
  <c r="OE25" i="3"/>
  <c r="OD25" i="3"/>
  <c r="OC25" i="3"/>
  <c r="OB25" i="3"/>
  <c r="OA25" i="3"/>
  <c r="NZ25" i="3"/>
  <c r="NY25" i="3"/>
  <c r="NX25" i="3"/>
  <c r="NW25" i="3"/>
  <c r="NV25" i="3"/>
  <c r="NU25" i="3"/>
  <c r="NT25" i="3"/>
  <c r="NS25" i="3"/>
  <c r="NR25" i="3"/>
  <c r="NQ25" i="3"/>
  <c r="NP25" i="3"/>
  <c r="NO25" i="3"/>
  <c r="NN25" i="3"/>
  <c r="NM25" i="3"/>
  <c r="NL25" i="3"/>
  <c r="NK25" i="3"/>
  <c r="NJ25" i="3"/>
  <c r="NI25" i="3"/>
  <c r="NH25" i="3"/>
  <c r="NG25" i="3"/>
  <c r="NF25" i="3"/>
  <c r="NE25" i="3"/>
  <c r="ND25" i="3"/>
  <c r="NC25" i="3"/>
  <c r="NB25" i="3"/>
  <c r="NA25" i="3"/>
  <c r="MZ25" i="3"/>
  <c r="MY25" i="3"/>
  <c r="MX25" i="3"/>
  <c r="MW25" i="3"/>
  <c r="MV25" i="3"/>
  <c r="MU25" i="3"/>
  <c r="MT25" i="3"/>
  <c r="MS25" i="3"/>
  <c r="MR25" i="3"/>
  <c r="MQ25" i="3"/>
  <c r="MP25" i="3"/>
  <c r="MO25" i="3"/>
  <c r="MN25" i="3"/>
  <c r="MM25" i="3"/>
  <c r="ML25" i="3"/>
  <c r="MK25" i="3"/>
  <c r="MJ25" i="3"/>
  <c r="MI25" i="3"/>
  <c r="MH25" i="3"/>
  <c r="MG25" i="3"/>
  <c r="MF25" i="3"/>
  <c r="ME25" i="3"/>
  <c r="MD25" i="3"/>
  <c r="MC25" i="3"/>
  <c r="MB25" i="3"/>
  <c r="MA25" i="3"/>
  <c r="LZ25" i="3"/>
  <c r="LY25" i="3"/>
  <c r="LX25" i="3"/>
  <c r="LW25" i="3"/>
  <c r="LV25" i="3"/>
  <c r="LU25" i="3"/>
  <c r="LT25" i="3"/>
  <c r="LS25" i="3"/>
  <c r="LR25" i="3"/>
  <c r="LQ25" i="3"/>
  <c r="LP25" i="3"/>
  <c r="LO25" i="3"/>
  <c r="LN25" i="3"/>
  <c r="LM25" i="3"/>
  <c r="LL25" i="3"/>
  <c r="LK25" i="3"/>
  <c r="LJ25" i="3"/>
  <c r="LI25" i="3"/>
  <c r="LH25" i="3"/>
  <c r="LG25" i="3"/>
  <c r="LF25" i="3"/>
  <c r="LE25" i="3"/>
  <c r="LD25" i="3"/>
  <c r="LC25" i="3"/>
  <c r="LB25" i="3"/>
  <c r="LA25" i="3"/>
  <c r="KZ25" i="3"/>
  <c r="KY25" i="3"/>
  <c r="KX25" i="3"/>
  <c r="KW25" i="3"/>
  <c r="KV25" i="3"/>
  <c r="KU25" i="3"/>
  <c r="KT25" i="3"/>
  <c r="KS25" i="3"/>
  <c r="KR25" i="3"/>
  <c r="KQ25" i="3"/>
  <c r="KP25" i="3"/>
  <c r="KO25" i="3"/>
  <c r="KN25" i="3"/>
  <c r="KM25" i="3"/>
  <c r="KL25" i="3"/>
  <c r="KK25" i="3"/>
  <c r="KJ25" i="3"/>
  <c r="KI25" i="3"/>
  <c r="KH25" i="3"/>
  <c r="KG25" i="3"/>
  <c r="KF25" i="3"/>
  <c r="KE25" i="3"/>
  <c r="KD25" i="3"/>
  <c r="KC25" i="3"/>
  <c r="KB25" i="3"/>
  <c r="KA25" i="3"/>
  <c r="JZ25" i="3"/>
  <c r="JY25" i="3"/>
  <c r="JX25" i="3"/>
  <c r="JW25" i="3"/>
  <c r="JV25" i="3"/>
  <c r="JU25" i="3"/>
  <c r="JT25" i="3"/>
  <c r="JS25" i="3"/>
  <c r="JR25" i="3"/>
  <c r="JQ25" i="3"/>
  <c r="JP25" i="3"/>
  <c r="JO25" i="3"/>
  <c r="JN25" i="3"/>
  <c r="JM25" i="3"/>
  <c r="JL25" i="3"/>
  <c r="JK25" i="3"/>
  <c r="JJ25" i="3"/>
  <c r="JI25" i="3"/>
  <c r="JH25" i="3"/>
  <c r="JG25" i="3"/>
  <c r="JF25" i="3"/>
  <c r="JE25" i="3"/>
  <c r="JD25" i="3"/>
  <c r="JC25" i="3"/>
  <c r="JB25" i="3"/>
  <c r="JA25" i="3"/>
  <c r="IZ25" i="3"/>
  <c r="IY25" i="3"/>
  <c r="IX25" i="3"/>
  <c r="IW25" i="3"/>
  <c r="IV25" i="3"/>
  <c r="IU25" i="3"/>
  <c r="IT25" i="3"/>
  <c r="IS25" i="3"/>
  <c r="IR25" i="3"/>
  <c r="IQ25" i="3"/>
  <c r="IP25" i="3"/>
  <c r="IO25" i="3"/>
  <c r="IN25" i="3"/>
  <c r="IM25" i="3"/>
  <c r="IL25" i="3"/>
  <c r="IK25" i="3"/>
  <c r="IJ25" i="3"/>
  <c r="II25" i="3"/>
  <c r="IH25" i="3"/>
  <c r="IG25" i="3"/>
  <c r="IF25" i="3"/>
  <c r="IE25" i="3"/>
  <c r="ID25" i="3"/>
  <c r="IC25" i="3"/>
  <c r="IB25" i="3"/>
  <c r="IA25" i="3"/>
  <c r="HZ25" i="3"/>
  <c r="HY25" i="3"/>
  <c r="HX25" i="3"/>
  <c r="HW25" i="3"/>
  <c r="HV25" i="3"/>
  <c r="HU25" i="3"/>
  <c r="HT25" i="3"/>
  <c r="HS25" i="3"/>
  <c r="HR25" i="3"/>
  <c r="HQ25" i="3"/>
  <c r="HP25" i="3"/>
  <c r="HO25" i="3"/>
  <c r="HN25" i="3"/>
  <c r="HM25" i="3"/>
  <c r="HL25" i="3"/>
  <c r="HK25" i="3"/>
  <c r="HJ25" i="3"/>
  <c r="HI25" i="3"/>
  <c r="HH25" i="3"/>
  <c r="HG25" i="3"/>
  <c r="HF25" i="3"/>
  <c r="HE25" i="3"/>
  <c r="HD25" i="3"/>
  <c r="HC25" i="3"/>
  <c r="HB25" i="3"/>
  <c r="HA25" i="3"/>
  <c r="GZ25" i="3"/>
  <c r="GY25" i="3"/>
  <c r="GX25" i="3"/>
  <c r="GW25" i="3"/>
  <c r="GV25" i="3"/>
  <c r="GU25" i="3"/>
  <c r="GT25" i="3"/>
  <c r="GS25" i="3"/>
  <c r="GR25" i="3"/>
  <c r="GQ25" i="3"/>
  <c r="GP25" i="3"/>
  <c r="GO25" i="3"/>
  <c r="GN25" i="3"/>
  <c r="GM25" i="3"/>
  <c r="GL25" i="3"/>
  <c r="GK25" i="3"/>
  <c r="GJ25" i="3"/>
  <c r="GI25" i="3"/>
  <c r="GH25" i="3"/>
  <c r="GG25" i="3"/>
  <c r="GF25" i="3"/>
  <c r="GE25" i="3"/>
  <c r="GD25" i="3"/>
  <c r="GC25" i="3"/>
  <c r="GB25" i="3"/>
  <c r="GA25" i="3"/>
  <c r="FZ25" i="3"/>
  <c r="FY25" i="3"/>
  <c r="FX25" i="3"/>
  <c r="FW25" i="3"/>
  <c r="FV25" i="3"/>
  <c r="FU25" i="3"/>
  <c r="FT25" i="3"/>
  <c r="FS25" i="3"/>
  <c r="FR25" i="3"/>
  <c r="FQ25" i="3"/>
  <c r="FP25" i="3"/>
  <c r="FO25" i="3"/>
  <c r="FN25" i="3"/>
  <c r="FM25" i="3"/>
  <c r="FL25" i="3"/>
  <c r="FK25" i="3"/>
  <c r="FJ25" i="3"/>
  <c r="FI25" i="3"/>
  <c r="FH25" i="3"/>
  <c r="FG25" i="3"/>
  <c r="FF25" i="3"/>
  <c r="FE25" i="3"/>
  <c r="FD25" i="3"/>
  <c r="FC25" i="3"/>
  <c r="FB25" i="3"/>
  <c r="FA25" i="3"/>
  <c r="EZ25" i="3"/>
  <c r="EY25" i="3"/>
  <c r="EX25" i="3"/>
  <c r="EW25" i="3"/>
  <c r="EV25" i="3"/>
  <c r="EU25" i="3"/>
  <c r="ET25" i="3"/>
  <c r="ES25" i="3"/>
  <c r="ER25" i="3"/>
  <c r="EQ25" i="3"/>
  <c r="EP25" i="3"/>
  <c r="EO25" i="3"/>
  <c r="EN25" i="3"/>
  <c r="EM25" i="3"/>
  <c r="EL25" i="3"/>
  <c r="EK25" i="3"/>
  <c r="EJ25" i="3"/>
  <c r="EI25" i="3"/>
  <c r="EH25" i="3"/>
  <c r="EG25" i="3"/>
  <c r="EF25" i="3"/>
  <c r="EE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YF23" i="3"/>
  <c r="YE23" i="3"/>
  <c r="YD23" i="3"/>
  <c r="YB23" i="3"/>
  <c r="YA23" i="3"/>
  <c r="XZ23" i="3"/>
  <c r="XY23" i="3"/>
  <c r="XX23" i="3"/>
  <c r="XW23" i="3"/>
  <c r="XV23" i="3"/>
  <c r="XU23" i="3"/>
  <c r="XT23" i="3"/>
  <c r="XS23" i="3"/>
  <c r="XR23" i="3"/>
  <c r="XQ23" i="3"/>
  <c r="XP23" i="3"/>
  <c r="XO23" i="3"/>
  <c r="XN23" i="3"/>
  <c r="XM23" i="3"/>
  <c r="XL23" i="3"/>
  <c r="XK23" i="3"/>
  <c r="XJ23" i="3"/>
  <c r="XI23" i="3"/>
  <c r="XH23" i="3"/>
  <c r="XG23" i="3"/>
  <c r="XF23" i="3"/>
  <c r="XE23" i="3"/>
  <c r="XD23" i="3"/>
  <c r="XC23" i="3"/>
  <c r="XB23" i="3"/>
  <c r="XA23" i="3"/>
  <c r="WZ23" i="3"/>
  <c r="WY23" i="3"/>
  <c r="WX23" i="3"/>
  <c r="WW23" i="3"/>
  <c r="WV23" i="3"/>
  <c r="WU23" i="3"/>
  <c r="WT23" i="3"/>
  <c r="WS23" i="3"/>
  <c r="WR23" i="3"/>
  <c r="WQ23" i="3"/>
  <c r="WO23" i="3"/>
  <c r="WN23" i="3"/>
  <c r="WM23" i="3"/>
  <c r="WL23" i="3"/>
  <c r="WK23" i="3"/>
  <c r="WJ23" i="3"/>
  <c r="WH23" i="3"/>
  <c r="WG23" i="3"/>
  <c r="WF23" i="3"/>
  <c r="WE23" i="3"/>
  <c r="WD23" i="3"/>
  <c r="WC23" i="3"/>
  <c r="WB23" i="3"/>
  <c r="WA23" i="3"/>
  <c r="VZ23" i="3"/>
  <c r="VY23" i="3"/>
  <c r="VX23" i="3"/>
  <c r="VW23" i="3"/>
  <c r="VV23" i="3"/>
  <c r="VU23" i="3"/>
  <c r="VT23" i="3"/>
  <c r="VR23" i="3"/>
  <c r="VQ23" i="3"/>
  <c r="VP23" i="3"/>
  <c r="VO23" i="3"/>
  <c r="VN23" i="3"/>
  <c r="VM23" i="3"/>
  <c r="VL23" i="3"/>
  <c r="VK23" i="3"/>
  <c r="VJ23" i="3"/>
  <c r="VI23" i="3"/>
  <c r="VH23" i="3"/>
  <c r="VG23" i="3"/>
  <c r="VF23" i="3"/>
  <c r="VE23" i="3"/>
  <c r="VD23" i="3"/>
  <c r="VC23" i="3"/>
  <c r="VB23" i="3"/>
  <c r="VA23" i="3"/>
  <c r="UZ23" i="3"/>
  <c r="UY23" i="3"/>
  <c r="UX23" i="3"/>
  <c r="UW23" i="3"/>
  <c r="UV23" i="3"/>
  <c r="UU23" i="3"/>
  <c r="UT23" i="3"/>
  <c r="US23" i="3"/>
  <c r="UR23" i="3"/>
  <c r="UQ23" i="3"/>
  <c r="UP23" i="3"/>
  <c r="UO23" i="3"/>
  <c r="UN23" i="3"/>
  <c r="UM23" i="3"/>
  <c r="UL23" i="3"/>
  <c r="UK23" i="3"/>
  <c r="UJ23" i="3"/>
  <c r="UI23" i="3"/>
  <c r="UH23" i="3"/>
  <c r="UG23" i="3"/>
  <c r="UF23" i="3"/>
  <c r="UE23" i="3"/>
  <c r="UD23" i="3"/>
  <c r="UC23" i="3"/>
  <c r="UB23" i="3"/>
  <c r="UA23" i="3"/>
  <c r="TZ23" i="3"/>
  <c r="TY23" i="3"/>
  <c r="TX23" i="3"/>
  <c r="TW23" i="3"/>
  <c r="TV23" i="3"/>
  <c r="TU23" i="3"/>
  <c r="TT23" i="3"/>
  <c r="TS23" i="3"/>
  <c r="TR23" i="3"/>
  <c r="TQ23" i="3"/>
  <c r="TP23" i="3"/>
  <c r="TO23" i="3"/>
  <c r="TN23" i="3"/>
  <c r="TM23" i="3"/>
  <c r="TL23" i="3"/>
  <c r="TK23" i="3"/>
  <c r="TJ23" i="3"/>
  <c r="TI23" i="3"/>
  <c r="TH23" i="3"/>
  <c r="TG23" i="3"/>
  <c r="TF23" i="3"/>
  <c r="TE23" i="3"/>
  <c r="TD23" i="3"/>
  <c r="TC23" i="3"/>
  <c r="TB23" i="3"/>
  <c r="TA23" i="3"/>
  <c r="SZ23" i="3"/>
  <c r="SY23" i="3"/>
  <c r="SX23" i="3"/>
  <c r="SW23" i="3"/>
  <c r="SV23" i="3"/>
  <c r="SU23" i="3"/>
  <c r="ST23" i="3"/>
  <c r="SS23" i="3"/>
  <c r="SR23" i="3"/>
  <c r="SQ23" i="3"/>
  <c r="SP23" i="3"/>
  <c r="SO23" i="3"/>
  <c r="SN23" i="3"/>
  <c r="SM23" i="3"/>
  <c r="SL23" i="3"/>
  <c r="SK23" i="3"/>
  <c r="SJ23" i="3"/>
  <c r="SI23" i="3"/>
  <c r="SH23" i="3"/>
  <c r="SG23" i="3"/>
  <c r="SF23" i="3"/>
  <c r="SE23" i="3"/>
  <c r="SD23" i="3"/>
  <c r="SC23" i="3"/>
  <c r="SB23" i="3"/>
  <c r="SA23" i="3"/>
  <c r="RZ23" i="3"/>
  <c r="RY23" i="3"/>
  <c r="RX23" i="3"/>
  <c r="RW23" i="3"/>
  <c r="RV23" i="3"/>
  <c r="RU23" i="3"/>
  <c r="RT23" i="3"/>
  <c r="RS23" i="3"/>
  <c r="RR23" i="3"/>
  <c r="RQ23" i="3"/>
  <c r="RP23" i="3"/>
  <c r="RO23" i="3"/>
  <c r="RN23" i="3"/>
  <c r="RM23" i="3"/>
  <c r="RL23" i="3"/>
  <c r="RK23" i="3"/>
  <c r="RJ23" i="3"/>
  <c r="RI23" i="3"/>
  <c r="RH23" i="3"/>
  <c r="RG23" i="3"/>
  <c r="RF23" i="3"/>
  <c r="RE23" i="3"/>
  <c r="RD23" i="3"/>
  <c r="RC23" i="3"/>
  <c r="RB23" i="3"/>
  <c r="RA23" i="3"/>
  <c r="QZ23" i="3"/>
  <c r="QY23" i="3"/>
  <c r="QX23" i="3"/>
  <c r="QW23" i="3"/>
  <c r="QV23" i="3"/>
  <c r="QU23" i="3"/>
  <c r="QT23" i="3"/>
  <c r="QS23" i="3"/>
  <c r="QR23" i="3"/>
  <c r="QQ23" i="3"/>
  <c r="QP23" i="3"/>
  <c r="QO23" i="3"/>
  <c r="QN23" i="3"/>
  <c r="QM23" i="3"/>
  <c r="QL23" i="3"/>
  <c r="QK23" i="3"/>
  <c r="QJ23" i="3"/>
  <c r="QI23" i="3"/>
  <c r="QH23" i="3"/>
  <c r="QG23" i="3"/>
  <c r="QF23" i="3"/>
  <c r="QE23" i="3"/>
  <c r="QD23" i="3"/>
  <c r="QC23" i="3"/>
  <c r="QB23" i="3"/>
  <c r="QA23" i="3"/>
  <c r="PZ23" i="3"/>
  <c r="PY23" i="3"/>
  <c r="PX23" i="3"/>
  <c r="PW23" i="3"/>
  <c r="PV23" i="3"/>
  <c r="PU23" i="3"/>
  <c r="PT23" i="3"/>
  <c r="PS23" i="3"/>
  <c r="PR23" i="3"/>
  <c r="PQ23" i="3"/>
  <c r="PP23" i="3"/>
  <c r="PO23" i="3"/>
  <c r="PN23" i="3"/>
  <c r="PM23" i="3"/>
  <c r="PL23" i="3"/>
  <c r="PK23" i="3"/>
  <c r="PJ23" i="3"/>
  <c r="PI23" i="3"/>
  <c r="PH23" i="3"/>
  <c r="PG23" i="3"/>
  <c r="PF23" i="3"/>
  <c r="PE23" i="3"/>
  <c r="PD23" i="3"/>
  <c r="PC23" i="3"/>
  <c r="PB23" i="3"/>
  <c r="PA23" i="3"/>
  <c r="OZ23" i="3"/>
  <c r="OY23" i="3"/>
  <c r="OX23" i="3"/>
  <c r="OW23" i="3"/>
  <c r="OV23" i="3"/>
  <c r="OU23" i="3"/>
  <c r="OT23" i="3"/>
  <c r="OS23" i="3"/>
  <c r="OR23" i="3"/>
  <c r="OQ23" i="3"/>
  <c r="OP23" i="3"/>
  <c r="OO23" i="3"/>
  <c r="ON23" i="3"/>
  <c r="OM23" i="3"/>
  <c r="OL23" i="3"/>
  <c r="OK23" i="3"/>
  <c r="OJ23" i="3"/>
  <c r="OI23" i="3"/>
  <c r="OH23" i="3"/>
  <c r="OG23" i="3"/>
  <c r="OF23" i="3"/>
  <c r="OE23" i="3"/>
  <c r="OD23" i="3"/>
  <c r="OC23" i="3"/>
  <c r="OB23" i="3"/>
  <c r="OA23" i="3"/>
  <c r="NZ23" i="3"/>
  <c r="NY23" i="3"/>
  <c r="NX23" i="3"/>
  <c r="NW23" i="3"/>
  <c r="NV23" i="3"/>
  <c r="NU23" i="3"/>
  <c r="NT23" i="3"/>
  <c r="NS23" i="3"/>
  <c r="NR23" i="3"/>
  <c r="NQ23" i="3"/>
  <c r="NP23" i="3"/>
  <c r="NO23" i="3"/>
  <c r="NN23" i="3"/>
  <c r="NM23" i="3"/>
  <c r="NL23" i="3"/>
  <c r="NK23" i="3"/>
  <c r="NJ23" i="3"/>
  <c r="NI23" i="3"/>
  <c r="NH23" i="3"/>
  <c r="NG23" i="3"/>
  <c r="NF23" i="3"/>
  <c r="NE23" i="3"/>
  <c r="ND23" i="3"/>
  <c r="NC23" i="3"/>
  <c r="NB23" i="3"/>
  <c r="NA23" i="3"/>
  <c r="MZ23" i="3"/>
  <c r="MY23" i="3"/>
  <c r="MX23" i="3"/>
  <c r="MW23" i="3"/>
  <c r="MV23" i="3"/>
  <c r="MU23" i="3"/>
  <c r="MT23" i="3"/>
  <c r="MS23" i="3"/>
  <c r="MR23" i="3"/>
  <c r="MQ23" i="3"/>
  <c r="MP23" i="3"/>
  <c r="MO23" i="3"/>
  <c r="MN23" i="3"/>
  <c r="MM23" i="3"/>
  <c r="ML23" i="3"/>
  <c r="MK23" i="3"/>
  <c r="MJ23" i="3"/>
  <c r="MI23" i="3"/>
  <c r="MH23" i="3"/>
  <c r="MG23" i="3"/>
  <c r="MF23" i="3"/>
  <c r="ME23" i="3"/>
  <c r="MD23" i="3"/>
  <c r="MC23" i="3"/>
  <c r="MB23" i="3"/>
  <c r="MA23" i="3"/>
  <c r="LZ23" i="3"/>
  <c r="LY23" i="3"/>
  <c r="LX23" i="3"/>
  <c r="LW23" i="3"/>
  <c r="LV23" i="3"/>
  <c r="LU23" i="3"/>
  <c r="LT23" i="3"/>
  <c r="LS23" i="3"/>
  <c r="LR23" i="3"/>
  <c r="LQ23" i="3"/>
  <c r="LP23" i="3"/>
  <c r="LO23" i="3"/>
  <c r="LN23" i="3"/>
  <c r="LM23" i="3"/>
  <c r="LL23" i="3"/>
  <c r="LK23" i="3"/>
  <c r="LJ23" i="3"/>
  <c r="LI23" i="3"/>
  <c r="LH23" i="3"/>
  <c r="LG23" i="3"/>
  <c r="LF23" i="3"/>
  <c r="LE23" i="3"/>
  <c r="LD23" i="3"/>
  <c r="LC23" i="3"/>
  <c r="LB23" i="3"/>
  <c r="LA23" i="3"/>
  <c r="KZ23" i="3"/>
  <c r="KY23" i="3"/>
  <c r="KX23" i="3"/>
  <c r="KW23" i="3"/>
  <c r="KV23" i="3"/>
  <c r="KU23" i="3"/>
  <c r="KT23" i="3"/>
  <c r="KS23" i="3"/>
  <c r="KR23" i="3"/>
  <c r="KQ23" i="3"/>
  <c r="KP23" i="3"/>
  <c r="KO23" i="3"/>
  <c r="KN23" i="3"/>
  <c r="KM23" i="3"/>
  <c r="KL23" i="3"/>
  <c r="KK23" i="3"/>
  <c r="KJ23" i="3"/>
  <c r="KI23" i="3"/>
  <c r="KH23" i="3"/>
  <c r="KG23" i="3"/>
  <c r="KF23" i="3"/>
  <c r="KE23" i="3"/>
  <c r="KD23" i="3"/>
  <c r="KC23" i="3"/>
  <c r="KB23" i="3"/>
  <c r="KA23" i="3"/>
  <c r="JZ23" i="3"/>
  <c r="JY23" i="3"/>
  <c r="JX23" i="3"/>
  <c r="JW23" i="3"/>
  <c r="JV23" i="3"/>
  <c r="JU23" i="3"/>
  <c r="JT23" i="3"/>
  <c r="JS23" i="3"/>
  <c r="JR23" i="3"/>
  <c r="JQ23" i="3"/>
  <c r="JP23" i="3"/>
  <c r="JO23" i="3"/>
  <c r="JN23" i="3"/>
  <c r="JM23" i="3"/>
  <c r="JL23" i="3"/>
  <c r="JK23" i="3"/>
  <c r="JJ23" i="3"/>
  <c r="JI23" i="3"/>
  <c r="JH23" i="3"/>
  <c r="JG23" i="3"/>
  <c r="JF23" i="3"/>
  <c r="JE23" i="3"/>
  <c r="JD23" i="3"/>
  <c r="JC23" i="3"/>
  <c r="JB23" i="3"/>
  <c r="JA23" i="3"/>
  <c r="IZ23" i="3"/>
  <c r="IY23" i="3"/>
  <c r="IX23" i="3"/>
  <c r="IW23" i="3"/>
  <c r="IV23" i="3"/>
  <c r="IU23" i="3"/>
  <c r="IT23" i="3"/>
  <c r="IS23" i="3"/>
  <c r="IR23" i="3"/>
  <c r="IQ23" i="3"/>
  <c r="IP23" i="3"/>
  <c r="IO23" i="3"/>
  <c r="IN23" i="3"/>
  <c r="IM23" i="3"/>
  <c r="IL23" i="3"/>
  <c r="IK23" i="3"/>
  <c r="IJ23" i="3"/>
  <c r="II23" i="3"/>
  <c r="IH23" i="3"/>
  <c r="IG23" i="3"/>
  <c r="IF23" i="3"/>
  <c r="IE23" i="3"/>
  <c r="ID23" i="3"/>
  <c r="IC23" i="3"/>
  <c r="IB23" i="3"/>
  <c r="IA23" i="3"/>
  <c r="HZ23" i="3"/>
  <c r="HY23" i="3"/>
  <c r="HX23" i="3"/>
  <c r="HW23" i="3"/>
  <c r="HV23" i="3"/>
  <c r="HU23" i="3"/>
  <c r="HT23" i="3"/>
  <c r="HS23" i="3"/>
  <c r="HR23" i="3"/>
  <c r="HQ23" i="3"/>
  <c r="HP23" i="3"/>
  <c r="HO23" i="3"/>
  <c r="HN23" i="3"/>
  <c r="HM23" i="3"/>
  <c r="HL23" i="3"/>
  <c r="HK23" i="3"/>
  <c r="HJ23" i="3"/>
  <c r="HI23" i="3"/>
  <c r="HH23" i="3"/>
  <c r="HG23" i="3"/>
  <c r="HF23" i="3"/>
  <c r="HE23" i="3"/>
  <c r="HD23" i="3"/>
  <c r="HC23" i="3"/>
  <c r="HB23" i="3"/>
  <c r="HA23" i="3"/>
  <c r="GZ23" i="3"/>
  <c r="GY23" i="3"/>
  <c r="GX23" i="3"/>
  <c r="GW23" i="3"/>
  <c r="GV23" i="3"/>
  <c r="GU23" i="3"/>
  <c r="GT23" i="3"/>
  <c r="GS23" i="3"/>
  <c r="GR23" i="3"/>
  <c r="GQ23" i="3"/>
  <c r="GP23" i="3"/>
  <c r="GO23" i="3"/>
  <c r="GN23" i="3"/>
  <c r="GM23" i="3"/>
  <c r="GL23" i="3"/>
  <c r="GK23" i="3"/>
  <c r="GJ23" i="3"/>
  <c r="GI23" i="3"/>
  <c r="GH23" i="3"/>
  <c r="GG23" i="3"/>
  <c r="GF23" i="3"/>
  <c r="GE23" i="3"/>
  <c r="GD23" i="3"/>
  <c r="GC23" i="3"/>
  <c r="GB23" i="3"/>
  <c r="GA23" i="3"/>
  <c r="FZ23" i="3"/>
  <c r="FY23" i="3"/>
  <c r="FX23" i="3"/>
  <c r="FW23" i="3"/>
  <c r="FV23" i="3"/>
  <c r="FU23" i="3"/>
  <c r="FT23" i="3"/>
  <c r="FS23" i="3"/>
  <c r="FR23" i="3"/>
  <c r="FQ23" i="3"/>
  <c r="FP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YF20" i="3"/>
  <c r="YE20" i="3"/>
  <c r="YD20" i="3"/>
  <c r="YB20" i="3"/>
  <c r="YA20" i="3"/>
  <c r="XZ20" i="3"/>
  <c r="XY20" i="3"/>
  <c r="XX20" i="3"/>
  <c r="XW20" i="3"/>
  <c r="XV20" i="3"/>
  <c r="XU20" i="3"/>
  <c r="XT20" i="3"/>
  <c r="XS20" i="3"/>
  <c r="XR20" i="3"/>
  <c r="XQ20" i="3"/>
  <c r="XP20" i="3"/>
  <c r="XO20" i="3"/>
  <c r="XN20" i="3"/>
  <c r="XM20" i="3"/>
  <c r="XL20" i="3"/>
  <c r="XK20" i="3"/>
  <c r="XJ20" i="3"/>
  <c r="XI20" i="3"/>
  <c r="XH20" i="3"/>
  <c r="XG20" i="3"/>
  <c r="XF20" i="3"/>
  <c r="XE20" i="3"/>
  <c r="XD20" i="3"/>
  <c r="XC20" i="3"/>
  <c r="XB20" i="3"/>
  <c r="XA20" i="3"/>
  <c r="WZ20" i="3"/>
  <c r="WY20" i="3"/>
  <c r="WX20" i="3"/>
  <c r="WW20" i="3"/>
  <c r="WV20" i="3"/>
  <c r="WU20" i="3"/>
  <c r="WT20" i="3"/>
  <c r="WS20" i="3"/>
  <c r="WR20" i="3"/>
  <c r="WQ20" i="3"/>
  <c r="WO20" i="3"/>
  <c r="WN20" i="3"/>
  <c r="WM20" i="3"/>
  <c r="WL20" i="3"/>
  <c r="WK20" i="3"/>
  <c r="WJ20" i="3"/>
  <c r="WH20" i="3"/>
  <c r="WG20" i="3"/>
  <c r="WF20" i="3"/>
  <c r="WE20" i="3"/>
  <c r="WD20" i="3"/>
  <c r="WC20" i="3"/>
  <c r="WB20" i="3"/>
  <c r="WA20" i="3"/>
  <c r="VZ20" i="3"/>
  <c r="VY20" i="3"/>
  <c r="VX20" i="3"/>
  <c r="VW20" i="3"/>
  <c r="VV20" i="3"/>
  <c r="VU20" i="3"/>
  <c r="VT20" i="3"/>
  <c r="VR20" i="3"/>
  <c r="VQ20" i="3"/>
  <c r="VP20" i="3"/>
  <c r="VO20" i="3"/>
  <c r="VN20" i="3"/>
  <c r="VM20" i="3"/>
  <c r="VL20" i="3"/>
  <c r="VK20" i="3"/>
  <c r="VJ20" i="3"/>
  <c r="VI20" i="3"/>
  <c r="VH20" i="3"/>
  <c r="VG20" i="3"/>
  <c r="VF20" i="3"/>
  <c r="VE20" i="3"/>
  <c r="VD20" i="3"/>
  <c r="VC20" i="3"/>
  <c r="VB20" i="3"/>
  <c r="VA20" i="3"/>
  <c r="UZ20" i="3"/>
  <c r="UY20" i="3"/>
  <c r="UX20" i="3"/>
  <c r="UW20" i="3"/>
  <c r="UV20" i="3"/>
  <c r="UU20" i="3"/>
  <c r="UT20" i="3"/>
  <c r="US20" i="3"/>
  <c r="UR20" i="3"/>
  <c r="UQ20" i="3"/>
  <c r="UP20" i="3"/>
  <c r="UO20" i="3"/>
  <c r="UN20" i="3"/>
  <c r="UM20" i="3"/>
  <c r="UL20" i="3"/>
  <c r="UK20" i="3"/>
  <c r="UJ20" i="3"/>
  <c r="UI20" i="3"/>
  <c r="UH20" i="3"/>
  <c r="UG20" i="3"/>
  <c r="UF20" i="3"/>
  <c r="UE20" i="3"/>
  <c r="UD20" i="3"/>
  <c r="UC20" i="3"/>
  <c r="UB20" i="3"/>
  <c r="UA20" i="3"/>
  <c r="TZ20" i="3"/>
  <c r="TY20" i="3"/>
  <c r="TX20" i="3"/>
  <c r="TW20" i="3"/>
  <c r="TV20" i="3"/>
  <c r="TU20" i="3"/>
  <c r="TT20" i="3"/>
  <c r="TS20" i="3"/>
  <c r="TR20" i="3"/>
  <c r="TQ20" i="3"/>
  <c r="TP20" i="3"/>
  <c r="TO20" i="3"/>
  <c r="TN20" i="3"/>
  <c r="TM20" i="3"/>
  <c r="TL20" i="3"/>
  <c r="TK20" i="3"/>
  <c r="TJ20" i="3"/>
  <c r="TI20" i="3"/>
  <c r="TH20" i="3"/>
  <c r="TG20" i="3"/>
  <c r="TF20" i="3"/>
  <c r="TE20" i="3"/>
  <c r="TD20" i="3"/>
  <c r="TC20" i="3"/>
  <c r="TB20" i="3"/>
  <c r="TA20" i="3"/>
  <c r="SZ20" i="3"/>
  <c r="SY20" i="3"/>
  <c r="SX20" i="3"/>
  <c r="SW20" i="3"/>
  <c r="SV20" i="3"/>
  <c r="SU20" i="3"/>
  <c r="ST20" i="3"/>
  <c r="SS20" i="3"/>
  <c r="SR20" i="3"/>
  <c r="SQ20" i="3"/>
  <c r="SP20" i="3"/>
  <c r="SO20" i="3"/>
  <c r="SN20" i="3"/>
  <c r="SM20" i="3"/>
  <c r="SL20" i="3"/>
  <c r="SK20" i="3"/>
  <c r="SJ20" i="3"/>
  <c r="SI20" i="3"/>
  <c r="SH20" i="3"/>
  <c r="SG20" i="3"/>
  <c r="SF20" i="3"/>
  <c r="SE20" i="3"/>
  <c r="SD20" i="3"/>
  <c r="SC20" i="3"/>
  <c r="SB20" i="3"/>
  <c r="SA20" i="3"/>
  <c r="RZ20" i="3"/>
  <c r="RY20" i="3"/>
  <c r="RX20" i="3"/>
  <c r="RW20" i="3"/>
  <c r="RV20" i="3"/>
  <c r="RU20" i="3"/>
  <c r="RT20" i="3"/>
  <c r="RS20" i="3"/>
  <c r="RR20" i="3"/>
  <c r="RQ20" i="3"/>
  <c r="RP20" i="3"/>
  <c r="RO20" i="3"/>
  <c r="RN20" i="3"/>
  <c r="RM20" i="3"/>
  <c r="RL20" i="3"/>
  <c r="RK20" i="3"/>
  <c r="RJ20" i="3"/>
  <c r="RI20" i="3"/>
  <c r="RH20" i="3"/>
  <c r="RG20" i="3"/>
  <c r="RF20" i="3"/>
  <c r="RE20" i="3"/>
  <c r="RD20" i="3"/>
  <c r="RC20" i="3"/>
  <c r="RB20" i="3"/>
  <c r="RA20" i="3"/>
  <c r="QZ20" i="3"/>
  <c r="QY20" i="3"/>
  <c r="QX20" i="3"/>
  <c r="QW20" i="3"/>
  <c r="QV20" i="3"/>
  <c r="QU20" i="3"/>
  <c r="QT20" i="3"/>
  <c r="QS20" i="3"/>
  <c r="QR20" i="3"/>
  <c r="QQ20" i="3"/>
  <c r="QP20" i="3"/>
  <c r="QO20" i="3"/>
  <c r="QN20" i="3"/>
  <c r="QM20" i="3"/>
  <c r="QL20" i="3"/>
  <c r="QK20" i="3"/>
  <c r="QJ20" i="3"/>
  <c r="QI20" i="3"/>
  <c r="QH20" i="3"/>
  <c r="QG20" i="3"/>
  <c r="QF20" i="3"/>
  <c r="QE20" i="3"/>
  <c r="QD20" i="3"/>
  <c r="QC20" i="3"/>
  <c r="QB20" i="3"/>
  <c r="QA20" i="3"/>
  <c r="PZ20" i="3"/>
  <c r="PY20" i="3"/>
  <c r="PX20" i="3"/>
  <c r="PW20" i="3"/>
  <c r="PV20" i="3"/>
  <c r="PU20" i="3"/>
  <c r="PT20" i="3"/>
  <c r="PS20" i="3"/>
  <c r="PR20" i="3"/>
  <c r="PQ20" i="3"/>
  <c r="PP20" i="3"/>
  <c r="PO20" i="3"/>
  <c r="PN20" i="3"/>
  <c r="PM20" i="3"/>
  <c r="PL20" i="3"/>
  <c r="PK20" i="3"/>
  <c r="PJ20" i="3"/>
  <c r="PI20" i="3"/>
  <c r="PH20" i="3"/>
  <c r="PG20" i="3"/>
  <c r="PF20" i="3"/>
  <c r="PE20" i="3"/>
  <c r="PD20" i="3"/>
  <c r="PC20" i="3"/>
  <c r="PB20" i="3"/>
  <c r="PA20" i="3"/>
  <c r="OZ20" i="3"/>
  <c r="OY20" i="3"/>
  <c r="OX20" i="3"/>
  <c r="OW20" i="3"/>
  <c r="OV20" i="3"/>
  <c r="OU20" i="3"/>
  <c r="OT20" i="3"/>
  <c r="OS20" i="3"/>
  <c r="OR20" i="3"/>
  <c r="OQ20" i="3"/>
  <c r="OP20" i="3"/>
  <c r="OO20" i="3"/>
  <c r="ON20" i="3"/>
  <c r="OM20" i="3"/>
  <c r="OL20" i="3"/>
  <c r="OK20" i="3"/>
  <c r="OJ20" i="3"/>
  <c r="OG20" i="3"/>
  <c r="OF20" i="3"/>
  <c r="OE20" i="3"/>
  <c r="OD20" i="3"/>
  <c r="OC20" i="3"/>
  <c r="OB20" i="3"/>
  <c r="OA20" i="3"/>
  <c r="NZ20" i="3"/>
  <c r="NY20" i="3"/>
  <c r="NX20" i="3"/>
  <c r="NW20" i="3"/>
  <c r="NV20" i="3"/>
  <c r="NU20" i="3"/>
  <c r="NT20" i="3"/>
  <c r="NS20" i="3"/>
  <c r="NR20" i="3"/>
  <c r="NQ20" i="3"/>
  <c r="NP20" i="3"/>
  <c r="NO20" i="3"/>
  <c r="NN20" i="3"/>
  <c r="NM20" i="3"/>
  <c r="NL20" i="3"/>
  <c r="NK20" i="3"/>
  <c r="NJ20" i="3"/>
  <c r="NI20" i="3"/>
  <c r="NH20" i="3"/>
  <c r="NG20" i="3"/>
  <c r="NF20" i="3"/>
  <c r="NE20" i="3"/>
  <c r="ND20" i="3"/>
  <c r="NC20" i="3"/>
  <c r="NB20" i="3"/>
  <c r="NA20" i="3"/>
  <c r="MZ20" i="3"/>
  <c r="MY20" i="3"/>
  <c r="MX20" i="3"/>
  <c r="MW20" i="3"/>
  <c r="MV20" i="3"/>
  <c r="MU20" i="3"/>
  <c r="MT20" i="3"/>
  <c r="MS20" i="3"/>
  <c r="MR20" i="3"/>
  <c r="MQ20" i="3"/>
  <c r="MP20" i="3"/>
  <c r="MO20" i="3"/>
  <c r="MN20" i="3"/>
  <c r="MM20" i="3"/>
  <c r="ML20" i="3"/>
  <c r="MK20" i="3"/>
  <c r="MJ20" i="3"/>
  <c r="MI20" i="3"/>
  <c r="MH20" i="3"/>
  <c r="MG20" i="3"/>
  <c r="MF20" i="3"/>
  <c r="ME20" i="3"/>
  <c r="MD20" i="3"/>
  <c r="MC20" i="3"/>
  <c r="MB20" i="3"/>
  <c r="MA20" i="3"/>
  <c r="LZ20" i="3"/>
  <c r="LY20" i="3"/>
  <c r="LX20" i="3"/>
  <c r="LW20" i="3"/>
  <c r="LV20" i="3"/>
  <c r="LU20" i="3"/>
  <c r="LT20" i="3"/>
  <c r="LS20" i="3"/>
  <c r="LR20" i="3"/>
  <c r="LQ20" i="3"/>
  <c r="LP20" i="3"/>
  <c r="LO20" i="3"/>
  <c r="LN20" i="3"/>
  <c r="LM20" i="3"/>
  <c r="LL20" i="3"/>
  <c r="LK20" i="3"/>
  <c r="LJ20" i="3"/>
  <c r="LI20" i="3"/>
  <c r="LH20" i="3"/>
  <c r="LG20" i="3"/>
  <c r="LF20" i="3"/>
  <c r="LE20" i="3"/>
  <c r="LD20" i="3"/>
  <c r="LC20" i="3"/>
  <c r="LB20" i="3"/>
  <c r="LA20" i="3"/>
  <c r="KZ20" i="3"/>
  <c r="KY20" i="3"/>
  <c r="KX20" i="3"/>
  <c r="KW20" i="3"/>
  <c r="KV20" i="3"/>
  <c r="KU20" i="3"/>
  <c r="KT20" i="3"/>
  <c r="KS20" i="3"/>
  <c r="KR20" i="3"/>
  <c r="KQ20" i="3"/>
  <c r="KP20" i="3"/>
  <c r="KO20" i="3"/>
  <c r="KN20" i="3"/>
  <c r="KM20" i="3"/>
  <c r="KL20" i="3"/>
  <c r="KK20" i="3"/>
  <c r="KJ20" i="3"/>
  <c r="KI20" i="3"/>
  <c r="KH20" i="3"/>
  <c r="KG20" i="3"/>
  <c r="KF20" i="3"/>
  <c r="KE20" i="3"/>
  <c r="KD20" i="3"/>
  <c r="KC20" i="3"/>
  <c r="KB20" i="3"/>
  <c r="KA20" i="3"/>
  <c r="JZ20" i="3"/>
  <c r="JY20" i="3"/>
  <c r="JX20" i="3"/>
  <c r="JW20" i="3"/>
  <c r="JV20" i="3"/>
  <c r="JU20" i="3"/>
  <c r="JT20" i="3"/>
  <c r="JS20" i="3"/>
  <c r="JR20" i="3"/>
  <c r="JQ20" i="3"/>
  <c r="JP20" i="3"/>
  <c r="JO20" i="3"/>
  <c r="JN20" i="3"/>
  <c r="JM20" i="3"/>
  <c r="JL20" i="3"/>
  <c r="JK20" i="3"/>
  <c r="JJ20" i="3"/>
  <c r="JI20" i="3"/>
  <c r="JH20" i="3"/>
  <c r="JG20" i="3"/>
  <c r="JF20" i="3"/>
  <c r="JE20" i="3"/>
  <c r="JD20" i="3"/>
  <c r="JC20" i="3"/>
  <c r="JB20" i="3"/>
  <c r="JA20" i="3"/>
  <c r="IZ20" i="3"/>
  <c r="IY20" i="3"/>
  <c r="IX20" i="3"/>
  <c r="IW20" i="3"/>
  <c r="IV20" i="3"/>
  <c r="IU20" i="3"/>
  <c r="IT20" i="3"/>
  <c r="IS20" i="3"/>
  <c r="IR20" i="3"/>
  <c r="IQ20" i="3"/>
  <c r="IP20" i="3"/>
  <c r="IO20" i="3"/>
  <c r="IN20" i="3"/>
  <c r="IM20" i="3"/>
  <c r="IL20" i="3"/>
  <c r="IK20" i="3"/>
  <c r="IJ20" i="3"/>
  <c r="II20" i="3"/>
  <c r="IH20" i="3"/>
  <c r="IG20" i="3"/>
  <c r="IF20" i="3"/>
  <c r="IE20" i="3"/>
  <c r="ID20" i="3"/>
  <c r="IC20" i="3"/>
  <c r="IB20" i="3"/>
  <c r="IA20" i="3"/>
  <c r="HZ20" i="3"/>
  <c r="HY20" i="3"/>
  <c r="HX20" i="3"/>
  <c r="HW20" i="3"/>
  <c r="HV20" i="3"/>
  <c r="HU20" i="3"/>
  <c r="HT20" i="3"/>
  <c r="HS20" i="3"/>
  <c r="HR20" i="3"/>
  <c r="HQ20" i="3"/>
  <c r="HP20" i="3"/>
  <c r="HO20" i="3"/>
  <c r="HN20" i="3"/>
  <c r="HM20" i="3"/>
  <c r="HL20" i="3"/>
  <c r="HK20" i="3"/>
  <c r="HJ20" i="3"/>
  <c r="HI20" i="3"/>
  <c r="HH20" i="3"/>
  <c r="HG20" i="3"/>
  <c r="HF20" i="3"/>
  <c r="HE20" i="3"/>
  <c r="HD20" i="3"/>
  <c r="HC20" i="3"/>
  <c r="HB20" i="3"/>
  <c r="HA20" i="3"/>
  <c r="GZ20" i="3"/>
  <c r="GY20" i="3"/>
  <c r="GX20" i="3"/>
  <c r="GW20" i="3"/>
  <c r="GV20" i="3"/>
  <c r="GU20" i="3"/>
  <c r="GT20" i="3"/>
  <c r="GS20" i="3"/>
  <c r="GR20" i="3"/>
  <c r="GQ20" i="3"/>
  <c r="GP20" i="3"/>
  <c r="GO20" i="3"/>
  <c r="GN20" i="3"/>
  <c r="GM20" i="3"/>
  <c r="GL20" i="3"/>
  <c r="GK20" i="3"/>
  <c r="GJ20" i="3"/>
  <c r="GI20" i="3"/>
  <c r="GH20" i="3"/>
  <c r="GG20" i="3"/>
  <c r="GF20" i="3"/>
  <c r="GE20" i="3"/>
  <c r="GD20" i="3"/>
  <c r="GC20" i="3"/>
  <c r="GB20" i="3"/>
  <c r="GA20" i="3"/>
  <c r="FZ20" i="3"/>
  <c r="FY20" i="3"/>
  <c r="FX20" i="3"/>
  <c r="FW20" i="3"/>
  <c r="FV20" i="3"/>
  <c r="FU20" i="3"/>
  <c r="FT20" i="3"/>
  <c r="FS20" i="3"/>
  <c r="FR20" i="3"/>
  <c r="FQ20" i="3"/>
  <c r="FP20" i="3"/>
  <c r="FO20" i="3"/>
  <c r="FN20" i="3"/>
  <c r="FM20" i="3"/>
  <c r="FL20" i="3"/>
  <c r="FK20" i="3"/>
  <c r="FJ20" i="3"/>
  <c r="FI20" i="3"/>
  <c r="FH20" i="3"/>
  <c r="FG20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OH19" i="3"/>
  <c r="YF15" i="3"/>
  <c r="YE15" i="3"/>
  <c r="YD15" i="3"/>
  <c r="YB15" i="3"/>
  <c r="YA15" i="3"/>
  <c r="XZ15" i="3"/>
  <c r="XY15" i="3"/>
  <c r="XX15" i="3"/>
  <c r="XW15" i="3"/>
  <c r="XV15" i="3"/>
  <c r="XU15" i="3"/>
  <c r="XT15" i="3"/>
  <c r="XS15" i="3"/>
  <c r="XR15" i="3"/>
  <c r="XQ15" i="3"/>
  <c r="XP15" i="3"/>
  <c r="XO15" i="3"/>
  <c r="XN15" i="3"/>
  <c r="XM15" i="3"/>
  <c r="XL15" i="3"/>
  <c r="XK15" i="3"/>
  <c r="XJ15" i="3"/>
  <c r="XI15" i="3"/>
  <c r="XH15" i="3"/>
  <c r="XG15" i="3"/>
  <c r="XF15" i="3"/>
  <c r="XE15" i="3"/>
  <c r="XD15" i="3"/>
  <c r="XC15" i="3"/>
  <c r="XB15" i="3"/>
  <c r="XA15" i="3"/>
  <c r="WZ15" i="3"/>
  <c r="WY15" i="3"/>
  <c r="WX15" i="3"/>
  <c r="WW15" i="3"/>
  <c r="WV15" i="3"/>
  <c r="WU15" i="3"/>
  <c r="WT15" i="3"/>
  <c r="WS15" i="3"/>
  <c r="WR15" i="3"/>
  <c r="WQ15" i="3"/>
  <c r="WO15" i="3"/>
  <c r="WN15" i="3"/>
  <c r="WM15" i="3"/>
  <c r="WL15" i="3"/>
  <c r="WK15" i="3"/>
  <c r="WJ15" i="3"/>
  <c r="WH15" i="3"/>
  <c r="WG15" i="3"/>
  <c r="WF15" i="3"/>
  <c r="WE15" i="3"/>
  <c r="WD15" i="3"/>
  <c r="WC15" i="3"/>
  <c r="WB15" i="3"/>
  <c r="WA15" i="3"/>
  <c r="VZ15" i="3"/>
  <c r="VY15" i="3"/>
  <c r="VX15" i="3"/>
  <c r="VW15" i="3"/>
  <c r="VV15" i="3"/>
  <c r="VU15" i="3"/>
  <c r="VT15" i="3"/>
  <c r="VS15" i="3"/>
  <c r="VR15" i="3"/>
  <c r="VQ15" i="3"/>
  <c r="VP15" i="3"/>
  <c r="VO15" i="3"/>
  <c r="VN15" i="3"/>
  <c r="VM15" i="3"/>
  <c r="VL15" i="3"/>
  <c r="VK15" i="3"/>
  <c r="VJ15" i="3"/>
  <c r="VI15" i="3"/>
  <c r="VH15" i="3"/>
  <c r="VG15" i="3"/>
  <c r="VF15" i="3"/>
  <c r="VE15" i="3"/>
  <c r="VD15" i="3"/>
  <c r="VC15" i="3"/>
  <c r="VB15" i="3"/>
  <c r="VA15" i="3"/>
  <c r="UZ15" i="3"/>
  <c r="UY15" i="3"/>
  <c r="UX15" i="3"/>
  <c r="UW15" i="3"/>
  <c r="UV15" i="3"/>
  <c r="UU15" i="3"/>
  <c r="UT15" i="3"/>
  <c r="US15" i="3"/>
  <c r="UR15" i="3"/>
  <c r="UQ15" i="3"/>
  <c r="UP15" i="3"/>
  <c r="UO15" i="3"/>
  <c r="UN15" i="3"/>
  <c r="UM15" i="3"/>
  <c r="UL15" i="3"/>
  <c r="UK15" i="3"/>
  <c r="UJ15" i="3"/>
  <c r="UI15" i="3"/>
  <c r="UH15" i="3"/>
  <c r="UG15" i="3"/>
  <c r="UF15" i="3"/>
  <c r="UE15" i="3"/>
  <c r="UD15" i="3"/>
  <c r="UC15" i="3"/>
  <c r="UB15" i="3"/>
  <c r="UA15" i="3"/>
  <c r="TZ15" i="3"/>
  <c r="TY15" i="3"/>
  <c r="TX15" i="3"/>
  <c r="TW15" i="3"/>
  <c r="TV15" i="3"/>
  <c r="TU15" i="3"/>
  <c r="TT15" i="3"/>
  <c r="TS15" i="3"/>
  <c r="TR15" i="3"/>
  <c r="TQ15" i="3"/>
  <c r="TP15" i="3"/>
  <c r="TO15" i="3"/>
  <c r="TN15" i="3"/>
  <c r="TM15" i="3"/>
  <c r="TL15" i="3"/>
  <c r="TK15" i="3"/>
  <c r="TJ15" i="3"/>
  <c r="TI15" i="3"/>
  <c r="TH15" i="3"/>
  <c r="TG15" i="3"/>
  <c r="TF15" i="3"/>
  <c r="TE15" i="3"/>
  <c r="TD15" i="3"/>
  <c r="TC15" i="3"/>
  <c r="TB15" i="3"/>
  <c r="TA15" i="3"/>
  <c r="SZ15" i="3"/>
  <c r="SY15" i="3"/>
  <c r="SX15" i="3"/>
  <c r="SW15" i="3"/>
  <c r="SV15" i="3"/>
  <c r="SU15" i="3"/>
  <c r="ST15" i="3"/>
  <c r="SS15" i="3"/>
  <c r="SR15" i="3"/>
  <c r="SQ15" i="3"/>
  <c r="SP15" i="3"/>
  <c r="SO15" i="3"/>
  <c r="SN15" i="3"/>
  <c r="SM15" i="3"/>
  <c r="SL15" i="3"/>
  <c r="SK15" i="3"/>
  <c r="SJ15" i="3"/>
  <c r="SI15" i="3"/>
  <c r="SH15" i="3"/>
  <c r="SG15" i="3"/>
  <c r="SF15" i="3"/>
  <c r="SE15" i="3"/>
  <c r="SD15" i="3"/>
  <c r="SC15" i="3"/>
  <c r="SB15" i="3"/>
  <c r="SA15" i="3"/>
  <c r="RZ15" i="3"/>
  <c r="RY15" i="3"/>
  <c r="RX15" i="3"/>
  <c r="RW15" i="3"/>
  <c r="RV15" i="3"/>
  <c r="RU15" i="3"/>
  <c r="RT15" i="3"/>
  <c r="RS15" i="3"/>
  <c r="RR15" i="3"/>
  <c r="RQ15" i="3"/>
  <c r="RP15" i="3"/>
  <c r="RO15" i="3"/>
  <c r="RN15" i="3"/>
  <c r="RM15" i="3"/>
  <c r="RL15" i="3"/>
  <c r="RK15" i="3"/>
  <c r="RJ15" i="3"/>
  <c r="RI15" i="3"/>
  <c r="RH15" i="3"/>
  <c r="RG15" i="3"/>
  <c r="RF15" i="3"/>
  <c r="RE15" i="3"/>
  <c r="RD15" i="3"/>
  <c r="RC15" i="3"/>
  <c r="RB15" i="3"/>
  <c r="RA15" i="3"/>
  <c r="QZ15" i="3"/>
  <c r="QY15" i="3"/>
  <c r="QX15" i="3"/>
  <c r="QW15" i="3"/>
  <c r="QV15" i="3"/>
  <c r="QU15" i="3"/>
  <c r="QT15" i="3"/>
  <c r="QS15" i="3"/>
  <c r="QR15" i="3"/>
  <c r="QQ15" i="3"/>
  <c r="QP15" i="3"/>
  <c r="QO15" i="3"/>
  <c r="QN15" i="3"/>
  <c r="QM15" i="3"/>
  <c r="QL15" i="3"/>
  <c r="QK15" i="3"/>
  <c r="QJ15" i="3"/>
  <c r="QI15" i="3"/>
  <c r="QH15" i="3"/>
  <c r="QG15" i="3"/>
  <c r="QF15" i="3"/>
  <c r="QE15" i="3"/>
  <c r="QD15" i="3"/>
  <c r="QC15" i="3"/>
  <c r="QB15" i="3"/>
  <c r="QA15" i="3"/>
  <c r="PZ15" i="3"/>
  <c r="PY15" i="3"/>
  <c r="PX15" i="3"/>
  <c r="PW15" i="3"/>
  <c r="PV15" i="3"/>
  <c r="PU15" i="3"/>
  <c r="PT15" i="3"/>
  <c r="PS15" i="3"/>
  <c r="PR15" i="3"/>
  <c r="PQ15" i="3"/>
  <c r="PP15" i="3"/>
  <c r="PO15" i="3"/>
  <c r="PN15" i="3"/>
  <c r="PM15" i="3"/>
  <c r="PL15" i="3"/>
  <c r="PK15" i="3"/>
  <c r="PJ15" i="3"/>
  <c r="PI15" i="3"/>
  <c r="PH15" i="3"/>
  <c r="PG15" i="3"/>
  <c r="PF15" i="3"/>
  <c r="PE15" i="3"/>
  <c r="PD15" i="3"/>
  <c r="PC15" i="3"/>
  <c r="PB15" i="3"/>
  <c r="PA15" i="3"/>
  <c r="OZ15" i="3"/>
  <c r="OY15" i="3"/>
  <c r="OX15" i="3"/>
  <c r="OW15" i="3"/>
  <c r="OV15" i="3"/>
  <c r="OU15" i="3"/>
  <c r="OT15" i="3"/>
  <c r="OS15" i="3"/>
  <c r="OR15" i="3"/>
  <c r="OQ15" i="3"/>
  <c r="OP15" i="3"/>
  <c r="OO15" i="3"/>
  <c r="ON15" i="3"/>
  <c r="OM15" i="3"/>
  <c r="OL15" i="3"/>
  <c r="OK15" i="3"/>
  <c r="OJ15" i="3"/>
  <c r="OI15" i="3"/>
  <c r="OH15" i="3"/>
  <c r="OG15" i="3"/>
  <c r="OF15" i="3"/>
  <c r="OE15" i="3"/>
  <c r="OD15" i="3"/>
  <c r="OC15" i="3"/>
  <c r="OB15" i="3"/>
  <c r="OA15" i="3"/>
  <c r="NZ15" i="3"/>
  <c r="NY15" i="3"/>
  <c r="NX15" i="3"/>
  <c r="NW15" i="3"/>
  <c r="NV15" i="3"/>
  <c r="NU15" i="3"/>
  <c r="NT15" i="3"/>
  <c r="NS15" i="3"/>
  <c r="NR15" i="3"/>
  <c r="NQ15" i="3"/>
  <c r="NP15" i="3"/>
  <c r="NO15" i="3"/>
  <c r="NN15" i="3"/>
  <c r="NM15" i="3"/>
  <c r="NL15" i="3"/>
  <c r="NK15" i="3"/>
  <c r="NJ15" i="3"/>
  <c r="NI15" i="3"/>
  <c r="NH15" i="3"/>
  <c r="NG15" i="3"/>
  <c r="NF15" i="3"/>
  <c r="NE15" i="3"/>
  <c r="ND15" i="3"/>
  <c r="NC15" i="3"/>
  <c r="NB15" i="3"/>
  <c r="NA15" i="3"/>
  <c r="MZ15" i="3"/>
  <c r="MY15" i="3"/>
  <c r="MX15" i="3"/>
  <c r="MW15" i="3"/>
  <c r="MV15" i="3"/>
  <c r="MU15" i="3"/>
  <c r="MT15" i="3"/>
  <c r="MS15" i="3"/>
  <c r="MR15" i="3"/>
  <c r="MQ15" i="3"/>
  <c r="MP15" i="3"/>
  <c r="MO15" i="3"/>
  <c r="MN15" i="3"/>
  <c r="MM15" i="3"/>
  <c r="ML15" i="3"/>
  <c r="MK15" i="3"/>
  <c r="MJ15" i="3"/>
  <c r="MI15" i="3"/>
  <c r="MH15" i="3"/>
  <c r="MG15" i="3"/>
  <c r="MF15" i="3"/>
  <c r="ME15" i="3"/>
  <c r="MD15" i="3"/>
  <c r="MC15" i="3"/>
  <c r="MB15" i="3"/>
  <c r="MA15" i="3"/>
  <c r="LZ15" i="3"/>
  <c r="LY15" i="3"/>
  <c r="LX15" i="3"/>
  <c r="LW15" i="3"/>
  <c r="LV15" i="3"/>
  <c r="LU15" i="3"/>
  <c r="LT15" i="3"/>
  <c r="LS15" i="3"/>
  <c r="LR15" i="3"/>
  <c r="LQ15" i="3"/>
  <c r="LP15" i="3"/>
  <c r="LO15" i="3"/>
  <c r="LN15" i="3"/>
  <c r="LM15" i="3"/>
  <c r="LL15" i="3"/>
  <c r="LK15" i="3"/>
  <c r="LJ15" i="3"/>
  <c r="LI15" i="3"/>
  <c r="LH15" i="3"/>
  <c r="LG15" i="3"/>
  <c r="LF15" i="3"/>
  <c r="LE15" i="3"/>
  <c r="LD15" i="3"/>
  <c r="LC15" i="3"/>
  <c r="LB15" i="3"/>
  <c r="LA15" i="3"/>
  <c r="KZ15" i="3"/>
  <c r="KY15" i="3"/>
  <c r="KX15" i="3"/>
  <c r="KW15" i="3"/>
  <c r="KV15" i="3"/>
  <c r="KU15" i="3"/>
  <c r="KT15" i="3"/>
  <c r="KS15" i="3"/>
  <c r="KR15" i="3"/>
  <c r="KQ15" i="3"/>
  <c r="KP15" i="3"/>
  <c r="KO15" i="3"/>
  <c r="KN15" i="3"/>
  <c r="KM15" i="3"/>
  <c r="KL15" i="3"/>
  <c r="KK15" i="3"/>
  <c r="KJ15" i="3"/>
  <c r="KI15" i="3"/>
  <c r="KH15" i="3"/>
  <c r="KG15" i="3"/>
  <c r="KF15" i="3"/>
  <c r="KE15" i="3"/>
  <c r="KD15" i="3"/>
  <c r="KC15" i="3"/>
  <c r="KB15" i="3"/>
  <c r="KA15" i="3"/>
  <c r="JZ15" i="3"/>
  <c r="JY15" i="3"/>
  <c r="JX15" i="3"/>
  <c r="JW15" i="3"/>
  <c r="JV15" i="3"/>
  <c r="JU15" i="3"/>
  <c r="JT15" i="3"/>
  <c r="JS15" i="3"/>
  <c r="JR15" i="3"/>
  <c r="JQ15" i="3"/>
  <c r="JP15" i="3"/>
  <c r="JO15" i="3"/>
  <c r="JN15" i="3"/>
  <c r="JM15" i="3"/>
  <c r="JL15" i="3"/>
  <c r="JK15" i="3"/>
  <c r="JJ15" i="3"/>
  <c r="JI15" i="3"/>
  <c r="JH15" i="3"/>
  <c r="JG15" i="3"/>
  <c r="JF15" i="3"/>
  <c r="JE15" i="3"/>
  <c r="JD15" i="3"/>
  <c r="JC15" i="3"/>
  <c r="JB15" i="3"/>
  <c r="JA15" i="3"/>
  <c r="IZ15" i="3"/>
  <c r="IY15" i="3"/>
  <c r="IX15" i="3"/>
  <c r="IW15" i="3"/>
  <c r="IV15" i="3"/>
  <c r="IU15" i="3"/>
  <c r="IT15" i="3"/>
  <c r="IS15" i="3"/>
  <c r="IR15" i="3"/>
  <c r="IQ15" i="3"/>
  <c r="IP15" i="3"/>
  <c r="IO15" i="3"/>
  <c r="IN15" i="3"/>
  <c r="IM15" i="3"/>
  <c r="IL15" i="3"/>
  <c r="IK15" i="3"/>
  <c r="IJ15" i="3"/>
  <c r="II15" i="3"/>
  <c r="IH15" i="3"/>
  <c r="IG15" i="3"/>
  <c r="IF15" i="3"/>
  <c r="IE15" i="3"/>
  <c r="ID15" i="3"/>
  <c r="IC15" i="3"/>
  <c r="IB15" i="3"/>
  <c r="IA15" i="3"/>
  <c r="HZ15" i="3"/>
  <c r="HY15" i="3"/>
  <c r="HX15" i="3"/>
  <c r="HW15" i="3"/>
  <c r="HV15" i="3"/>
  <c r="HU15" i="3"/>
  <c r="HT15" i="3"/>
  <c r="HS15" i="3"/>
  <c r="HR15" i="3"/>
  <c r="HQ15" i="3"/>
  <c r="HP15" i="3"/>
  <c r="HO15" i="3"/>
  <c r="HN15" i="3"/>
  <c r="HM15" i="3"/>
  <c r="HL15" i="3"/>
  <c r="HK15" i="3"/>
  <c r="HJ15" i="3"/>
  <c r="HI15" i="3"/>
  <c r="HH15" i="3"/>
  <c r="HG15" i="3"/>
  <c r="HF15" i="3"/>
  <c r="HE15" i="3"/>
  <c r="HD15" i="3"/>
  <c r="HC15" i="3"/>
  <c r="HB15" i="3"/>
  <c r="HA15" i="3"/>
  <c r="GZ15" i="3"/>
  <c r="GY15" i="3"/>
  <c r="GX15" i="3"/>
  <c r="GW15" i="3"/>
  <c r="GV15" i="3"/>
  <c r="GU15" i="3"/>
  <c r="GT15" i="3"/>
  <c r="GS15" i="3"/>
  <c r="GR15" i="3"/>
  <c r="GQ15" i="3"/>
  <c r="GP15" i="3"/>
  <c r="GO15" i="3"/>
  <c r="GN15" i="3"/>
  <c r="GM15" i="3"/>
  <c r="GL15" i="3"/>
  <c r="GK15" i="3"/>
  <c r="GJ15" i="3"/>
  <c r="GI15" i="3"/>
  <c r="GH15" i="3"/>
  <c r="GG15" i="3"/>
  <c r="GF15" i="3"/>
  <c r="GE15" i="3"/>
  <c r="GD15" i="3"/>
  <c r="GC15" i="3"/>
  <c r="GB15" i="3"/>
  <c r="GA15" i="3"/>
  <c r="FZ15" i="3"/>
  <c r="FY15" i="3"/>
  <c r="FX15" i="3"/>
  <c r="FW15" i="3"/>
  <c r="FV15" i="3"/>
  <c r="FU15" i="3"/>
  <c r="FT15" i="3"/>
  <c r="FS15" i="3"/>
  <c r="FR15" i="3"/>
  <c r="FQ15" i="3"/>
  <c r="FP15" i="3"/>
  <c r="FO15" i="3"/>
  <c r="FN15" i="3"/>
  <c r="FM15" i="3"/>
  <c r="FL15" i="3"/>
  <c r="FK15" i="3"/>
  <c r="FJ15" i="3"/>
  <c r="FI15" i="3"/>
  <c r="FH15" i="3"/>
  <c r="FG15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EN15" i="3"/>
  <c r="EM15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YF13" i="3"/>
  <c r="YE13" i="3"/>
  <c r="YD13" i="3"/>
  <c r="YB13" i="3"/>
  <c r="YA13" i="3"/>
  <c r="XZ13" i="3"/>
  <c r="XY13" i="3"/>
  <c r="XX13" i="3"/>
  <c r="XW13" i="3"/>
  <c r="XV13" i="3"/>
  <c r="XU13" i="3"/>
  <c r="XT13" i="3"/>
  <c r="XS13" i="3"/>
  <c r="XR13" i="3"/>
  <c r="XQ13" i="3"/>
  <c r="XP13" i="3"/>
  <c r="XO13" i="3"/>
  <c r="XN13" i="3"/>
  <c r="XM13" i="3"/>
  <c r="XL13" i="3"/>
  <c r="XK13" i="3"/>
  <c r="XJ13" i="3"/>
  <c r="XI13" i="3"/>
  <c r="XH13" i="3"/>
  <c r="XG13" i="3"/>
  <c r="XF13" i="3"/>
  <c r="XE13" i="3"/>
  <c r="XD13" i="3"/>
  <c r="XC13" i="3"/>
  <c r="XB13" i="3"/>
  <c r="XA13" i="3"/>
  <c r="WZ13" i="3"/>
  <c r="WY13" i="3"/>
  <c r="WX13" i="3"/>
  <c r="WW13" i="3"/>
  <c r="WV13" i="3"/>
  <c r="WU13" i="3"/>
  <c r="WT13" i="3"/>
  <c r="WS13" i="3"/>
  <c r="WR13" i="3"/>
  <c r="WQ13" i="3"/>
  <c r="WO13" i="3"/>
  <c r="WN13" i="3"/>
  <c r="WM13" i="3"/>
  <c r="WL13" i="3"/>
  <c r="WK13" i="3"/>
  <c r="WJ13" i="3"/>
  <c r="WH13" i="3"/>
  <c r="WG13" i="3"/>
  <c r="WF13" i="3"/>
  <c r="WE13" i="3"/>
  <c r="WD13" i="3"/>
  <c r="WC13" i="3"/>
  <c r="WB13" i="3"/>
  <c r="WA13" i="3"/>
  <c r="VZ13" i="3"/>
  <c r="VY13" i="3"/>
  <c r="VX13" i="3"/>
  <c r="VW13" i="3"/>
  <c r="VV13" i="3"/>
  <c r="VU13" i="3"/>
  <c r="VT13" i="3"/>
  <c r="VR13" i="3"/>
  <c r="VQ13" i="3"/>
  <c r="VP13" i="3"/>
  <c r="VO13" i="3"/>
  <c r="VN13" i="3"/>
  <c r="VM13" i="3"/>
  <c r="VL13" i="3"/>
  <c r="VK13" i="3"/>
  <c r="VJ13" i="3"/>
  <c r="VI13" i="3"/>
  <c r="VH13" i="3"/>
  <c r="VG13" i="3"/>
  <c r="VF13" i="3"/>
  <c r="VE13" i="3"/>
  <c r="VD13" i="3"/>
  <c r="VC13" i="3"/>
  <c r="VB13" i="3"/>
  <c r="VA13" i="3"/>
  <c r="UZ13" i="3"/>
  <c r="UY13" i="3"/>
  <c r="UX13" i="3"/>
  <c r="UW13" i="3"/>
  <c r="UV13" i="3"/>
  <c r="UU13" i="3"/>
  <c r="UT13" i="3"/>
  <c r="US13" i="3"/>
  <c r="UR13" i="3"/>
  <c r="UQ13" i="3"/>
  <c r="UP13" i="3"/>
  <c r="UO13" i="3"/>
  <c r="UN13" i="3"/>
  <c r="UM13" i="3"/>
  <c r="UL13" i="3"/>
  <c r="UK13" i="3"/>
  <c r="UJ13" i="3"/>
  <c r="UI13" i="3"/>
  <c r="UH13" i="3"/>
  <c r="UG13" i="3"/>
  <c r="UF13" i="3"/>
  <c r="UE13" i="3"/>
  <c r="UD13" i="3"/>
  <c r="UC13" i="3"/>
  <c r="UB13" i="3"/>
  <c r="UA13" i="3"/>
  <c r="TZ13" i="3"/>
  <c r="TY13" i="3"/>
  <c r="TX13" i="3"/>
  <c r="TW13" i="3"/>
  <c r="TV13" i="3"/>
  <c r="TU13" i="3"/>
  <c r="TT13" i="3"/>
  <c r="TS13" i="3"/>
  <c r="TR13" i="3"/>
  <c r="TQ13" i="3"/>
  <c r="TP13" i="3"/>
  <c r="TO13" i="3"/>
  <c r="TN13" i="3"/>
  <c r="TM13" i="3"/>
  <c r="TL13" i="3"/>
  <c r="TK13" i="3"/>
  <c r="TJ13" i="3"/>
  <c r="TI13" i="3"/>
  <c r="TH13" i="3"/>
  <c r="TG13" i="3"/>
  <c r="TF13" i="3"/>
  <c r="TE13" i="3"/>
  <c r="TD13" i="3"/>
  <c r="TC13" i="3"/>
  <c r="TB13" i="3"/>
  <c r="TA13" i="3"/>
  <c r="SZ13" i="3"/>
  <c r="SY13" i="3"/>
  <c r="SX13" i="3"/>
  <c r="SW13" i="3"/>
  <c r="SV13" i="3"/>
  <c r="SU13" i="3"/>
  <c r="ST13" i="3"/>
  <c r="SS13" i="3"/>
  <c r="SR13" i="3"/>
  <c r="SQ13" i="3"/>
  <c r="SP13" i="3"/>
  <c r="SO13" i="3"/>
  <c r="SN13" i="3"/>
  <c r="SM13" i="3"/>
  <c r="SL13" i="3"/>
  <c r="SK13" i="3"/>
  <c r="SJ13" i="3"/>
  <c r="SI13" i="3"/>
  <c r="SH13" i="3"/>
  <c r="SG13" i="3"/>
  <c r="SF13" i="3"/>
  <c r="SE13" i="3"/>
  <c r="SD13" i="3"/>
  <c r="SC13" i="3"/>
  <c r="SB13" i="3"/>
  <c r="SA13" i="3"/>
  <c r="RZ13" i="3"/>
  <c r="RY13" i="3"/>
  <c r="RX13" i="3"/>
  <c r="RW13" i="3"/>
  <c r="RV13" i="3"/>
  <c r="RU13" i="3"/>
  <c r="RT13" i="3"/>
  <c r="RS13" i="3"/>
  <c r="RR13" i="3"/>
  <c r="RQ13" i="3"/>
  <c r="RP13" i="3"/>
  <c r="RO13" i="3"/>
  <c r="RN13" i="3"/>
  <c r="RM13" i="3"/>
  <c r="RL13" i="3"/>
  <c r="RK13" i="3"/>
  <c r="RJ13" i="3"/>
  <c r="RI13" i="3"/>
  <c r="RH13" i="3"/>
  <c r="RG13" i="3"/>
  <c r="RF13" i="3"/>
  <c r="RE13" i="3"/>
  <c r="RD13" i="3"/>
  <c r="RC13" i="3"/>
  <c r="RB13" i="3"/>
  <c r="RA13" i="3"/>
  <c r="QZ13" i="3"/>
  <c r="QY13" i="3"/>
  <c r="QX13" i="3"/>
  <c r="QW13" i="3"/>
  <c r="QV13" i="3"/>
  <c r="QU13" i="3"/>
  <c r="QT13" i="3"/>
  <c r="QS13" i="3"/>
  <c r="QR13" i="3"/>
  <c r="QQ13" i="3"/>
  <c r="QP13" i="3"/>
  <c r="QO13" i="3"/>
  <c r="QN13" i="3"/>
  <c r="QM13" i="3"/>
  <c r="QL13" i="3"/>
  <c r="QK13" i="3"/>
  <c r="QJ13" i="3"/>
  <c r="QI13" i="3"/>
  <c r="QH13" i="3"/>
  <c r="QG13" i="3"/>
  <c r="QF13" i="3"/>
  <c r="QE13" i="3"/>
  <c r="QD13" i="3"/>
  <c r="QC13" i="3"/>
  <c r="QB13" i="3"/>
  <c r="QA13" i="3"/>
  <c r="PZ13" i="3"/>
  <c r="PY13" i="3"/>
  <c r="PX13" i="3"/>
  <c r="PW13" i="3"/>
  <c r="PV13" i="3"/>
  <c r="PU13" i="3"/>
  <c r="PT13" i="3"/>
  <c r="PS13" i="3"/>
  <c r="PR13" i="3"/>
  <c r="PQ13" i="3"/>
  <c r="PP13" i="3"/>
  <c r="PO13" i="3"/>
  <c r="PN13" i="3"/>
  <c r="PM13" i="3"/>
  <c r="PL13" i="3"/>
  <c r="PK13" i="3"/>
  <c r="PJ13" i="3"/>
  <c r="PI13" i="3"/>
  <c r="PH13" i="3"/>
  <c r="PG13" i="3"/>
  <c r="PF13" i="3"/>
  <c r="PE13" i="3"/>
  <c r="PD13" i="3"/>
  <c r="PC13" i="3"/>
  <c r="PB13" i="3"/>
  <c r="PA13" i="3"/>
  <c r="OZ13" i="3"/>
  <c r="OY13" i="3"/>
  <c r="OX13" i="3"/>
  <c r="OW13" i="3"/>
  <c r="OV13" i="3"/>
  <c r="OU13" i="3"/>
  <c r="OT13" i="3"/>
  <c r="OS13" i="3"/>
  <c r="OR13" i="3"/>
  <c r="OQ13" i="3"/>
  <c r="OP13" i="3"/>
  <c r="OO13" i="3"/>
  <c r="ON13" i="3"/>
  <c r="OM13" i="3"/>
  <c r="OL13" i="3"/>
  <c r="OK13" i="3"/>
  <c r="OJ13" i="3"/>
  <c r="OI13" i="3"/>
  <c r="OH13" i="3"/>
  <c r="OG13" i="3"/>
  <c r="OF13" i="3"/>
  <c r="OE13" i="3"/>
  <c r="OD13" i="3"/>
  <c r="OC13" i="3"/>
  <c r="OB13" i="3"/>
  <c r="OA13" i="3"/>
  <c r="NZ13" i="3"/>
  <c r="NY13" i="3"/>
  <c r="NX13" i="3"/>
  <c r="NW13" i="3"/>
  <c r="NV13" i="3"/>
  <c r="NU13" i="3"/>
  <c r="NT13" i="3"/>
  <c r="NS13" i="3"/>
  <c r="NR13" i="3"/>
  <c r="NQ13" i="3"/>
  <c r="NP13" i="3"/>
  <c r="NO13" i="3"/>
  <c r="NN13" i="3"/>
  <c r="NM13" i="3"/>
  <c r="NL13" i="3"/>
  <c r="NK13" i="3"/>
  <c r="NJ13" i="3"/>
  <c r="NI13" i="3"/>
  <c r="NH13" i="3"/>
  <c r="NG13" i="3"/>
  <c r="NF13" i="3"/>
  <c r="NE13" i="3"/>
  <c r="ND13" i="3"/>
  <c r="NC13" i="3"/>
  <c r="NB13" i="3"/>
  <c r="NA13" i="3"/>
  <c r="MZ13" i="3"/>
  <c r="MY13" i="3"/>
  <c r="MX13" i="3"/>
  <c r="MW13" i="3"/>
  <c r="MV13" i="3"/>
  <c r="MU13" i="3"/>
  <c r="MT13" i="3"/>
  <c r="MS13" i="3"/>
  <c r="MR13" i="3"/>
  <c r="MQ13" i="3"/>
  <c r="MP13" i="3"/>
  <c r="MO13" i="3"/>
  <c r="MN13" i="3"/>
  <c r="MM13" i="3"/>
  <c r="ML13" i="3"/>
  <c r="MK13" i="3"/>
  <c r="MJ13" i="3"/>
  <c r="MI13" i="3"/>
  <c r="MH13" i="3"/>
  <c r="MG13" i="3"/>
  <c r="MF13" i="3"/>
  <c r="ME13" i="3"/>
  <c r="MD13" i="3"/>
  <c r="MC13" i="3"/>
  <c r="MB13" i="3"/>
  <c r="MA13" i="3"/>
  <c r="LZ13" i="3"/>
  <c r="LY13" i="3"/>
  <c r="LX13" i="3"/>
  <c r="LW13" i="3"/>
  <c r="LV13" i="3"/>
  <c r="LU13" i="3"/>
  <c r="LT13" i="3"/>
  <c r="LS13" i="3"/>
  <c r="LR13" i="3"/>
  <c r="LQ13" i="3"/>
  <c r="LP13" i="3"/>
  <c r="LO13" i="3"/>
  <c r="LN13" i="3"/>
  <c r="LM13" i="3"/>
  <c r="LL13" i="3"/>
  <c r="LK13" i="3"/>
  <c r="LJ13" i="3"/>
  <c r="LI13" i="3"/>
  <c r="LH13" i="3"/>
  <c r="LG13" i="3"/>
  <c r="LF13" i="3"/>
  <c r="LE13" i="3"/>
  <c r="LD13" i="3"/>
  <c r="LC13" i="3"/>
  <c r="LB13" i="3"/>
  <c r="LA13" i="3"/>
  <c r="KZ13" i="3"/>
  <c r="KY13" i="3"/>
  <c r="KX13" i="3"/>
  <c r="KW13" i="3"/>
  <c r="KV13" i="3"/>
  <c r="KU13" i="3"/>
  <c r="KT13" i="3"/>
  <c r="KS13" i="3"/>
  <c r="KR13" i="3"/>
  <c r="KQ13" i="3"/>
  <c r="KP13" i="3"/>
  <c r="KO13" i="3"/>
  <c r="KN13" i="3"/>
  <c r="KM13" i="3"/>
  <c r="KL13" i="3"/>
  <c r="KK13" i="3"/>
  <c r="KJ13" i="3"/>
  <c r="KI13" i="3"/>
  <c r="KH13" i="3"/>
  <c r="KG13" i="3"/>
  <c r="KF13" i="3"/>
  <c r="KE13" i="3"/>
  <c r="KD13" i="3"/>
  <c r="KC13" i="3"/>
  <c r="KB13" i="3"/>
  <c r="KA13" i="3"/>
  <c r="JZ13" i="3"/>
  <c r="JY13" i="3"/>
  <c r="JX13" i="3"/>
  <c r="JW13" i="3"/>
  <c r="JV13" i="3"/>
  <c r="JU13" i="3"/>
  <c r="JT13" i="3"/>
  <c r="JS13" i="3"/>
  <c r="JR13" i="3"/>
  <c r="JQ13" i="3"/>
  <c r="JP13" i="3"/>
  <c r="JO13" i="3"/>
  <c r="JN13" i="3"/>
  <c r="JM13" i="3"/>
  <c r="JL13" i="3"/>
  <c r="JK13" i="3"/>
  <c r="JJ13" i="3"/>
  <c r="JI13" i="3"/>
  <c r="JH13" i="3"/>
  <c r="JG13" i="3"/>
  <c r="JF13" i="3"/>
  <c r="JE13" i="3"/>
  <c r="JD13" i="3"/>
  <c r="JC13" i="3"/>
  <c r="JB13" i="3"/>
  <c r="JA13" i="3"/>
  <c r="IZ13" i="3"/>
  <c r="IY13" i="3"/>
  <c r="IX13" i="3"/>
  <c r="IW13" i="3"/>
  <c r="IV13" i="3"/>
  <c r="IU13" i="3"/>
  <c r="IT13" i="3"/>
  <c r="IS13" i="3"/>
  <c r="IR13" i="3"/>
  <c r="IQ13" i="3"/>
  <c r="IP13" i="3"/>
  <c r="IO13" i="3"/>
  <c r="IN13" i="3"/>
  <c r="IM13" i="3"/>
  <c r="IL13" i="3"/>
  <c r="IK13" i="3"/>
  <c r="IJ13" i="3"/>
  <c r="II13" i="3"/>
  <c r="IH13" i="3"/>
  <c r="IG13" i="3"/>
  <c r="IF13" i="3"/>
  <c r="IE13" i="3"/>
  <c r="ID13" i="3"/>
  <c r="IC13" i="3"/>
  <c r="IB13" i="3"/>
  <c r="IA13" i="3"/>
  <c r="HZ13" i="3"/>
  <c r="HY13" i="3"/>
  <c r="HX13" i="3"/>
  <c r="HW13" i="3"/>
  <c r="HV13" i="3"/>
  <c r="HU13" i="3"/>
  <c r="HT13" i="3"/>
  <c r="HS13" i="3"/>
  <c r="HR13" i="3"/>
  <c r="HQ13" i="3"/>
  <c r="HP13" i="3"/>
  <c r="HO13" i="3"/>
  <c r="HN13" i="3"/>
  <c r="HM13" i="3"/>
  <c r="HL13" i="3"/>
  <c r="HK13" i="3"/>
  <c r="HJ13" i="3"/>
  <c r="HI13" i="3"/>
  <c r="HH13" i="3"/>
  <c r="HG13" i="3"/>
  <c r="HF13" i="3"/>
  <c r="HE13" i="3"/>
  <c r="HD13" i="3"/>
  <c r="HC13" i="3"/>
  <c r="HB13" i="3"/>
  <c r="HA13" i="3"/>
  <c r="GZ13" i="3"/>
  <c r="GY13" i="3"/>
  <c r="GX13" i="3"/>
  <c r="GW13" i="3"/>
  <c r="GV13" i="3"/>
  <c r="GU13" i="3"/>
  <c r="GT13" i="3"/>
  <c r="GS13" i="3"/>
  <c r="GR13" i="3"/>
  <c r="GQ13" i="3"/>
  <c r="GP13" i="3"/>
  <c r="GO13" i="3"/>
  <c r="GN13" i="3"/>
  <c r="GM13" i="3"/>
  <c r="GL13" i="3"/>
  <c r="GK13" i="3"/>
  <c r="GJ13" i="3"/>
  <c r="GI13" i="3"/>
  <c r="GH13" i="3"/>
  <c r="GG13" i="3"/>
  <c r="GF13" i="3"/>
  <c r="GE13" i="3"/>
  <c r="GD13" i="3"/>
  <c r="GC13" i="3"/>
  <c r="GB13" i="3"/>
  <c r="GA13" i="3"/>
  <c r="FZ13" i="3"/>
  <c r="FY13" i="3"/>
  <c r="FX13" i="3"/>
  <c r="FW13" i="3"/>
  <c r="FV13" i="3"/>
  <c r="FU13" i="3"/>
  <c r="FT13" i="3"/>
  <c r="FS13" i="3"/>
  <c r="FR13" i="3"/>
  <c r="FQ13" i="3"/>
  <c r="FP13" i="3"/>
  <c r="FO13" i="3"/>
  <c r="FN13" i="3"/>
  <c r="FM13" i="3"/>
  <c r="FL13" i="3"/>
  <c r="FK13" i="3"/>
  <c r="FJ13" i="3"/>
  <c r="FI13" i="3"/>
  <c r="FH13" i="3"/>
  <c r="FG13" i="3"/>
  <c r="FF13" i="3"/>
  <c r="FE13" i="3"/>
  <c r="FD13" i="3"/>
  <c r="FC13" i="3"/>
  <c r="FB13" i="3"/>
  <c r="FA13" i="3"/>
  <c r="EZ13" i="3"/>
  <c r="EY13" i="3"/>
  <c r="EX13" i="3"/>
  <c r="EW13" i="3"/>
  <c r="EV13" i="3"/>
  <c r="EU13" i="3"/>
  <c r="ET13" i="3"/>
  <c r="ES13" i="3"/>
  <c r="ER13" i="3"/>
  <c r="EQ13" i="3"/>
  <c r="EP13" i="3"/>
  <c r="EO13" i="3"/>
  <c r="EN13" i="3"/>
  <c r="EM13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YF10" i="3"/>
  <c r="YE10" i="3"/>
  <c r="YD10" i="3"/>
  <c r="YB10" i="3"/>
  <c r="YA10" i="3"/>
  <c r="XZ10" i="3"/>
  <c r="XY10" i="3"/>
  <c r="XX10" i="3"/>
  <c r="XW10" i="3"/>
  <c r="XV10" i="3"/>
  <c r="XU10" i="3"/>
  <c r="XT10" i="3"/>
  <c r="XS10" i="3"/>
  <c r="XR10" i="3"/>
  <c r="XQ10" i="3"/>
  <c r="XP10" i="3"/>
  <c r="XO10" i="3"/>
  <c r="XN10" i="3"/>
  <c r="XM10" i="3"/>
  <c r="XL10" i="3"/>
  <c r="XK10" i="3"/>
  <c r="XJ10" i="3"/>
  <c r="XI10" i="3"/>
  <c r="XH10" i="3"/>
  <c r="XG10" i="3"/>
  <c r="XF10" i="3"/>
  <c r="XE10" i="3"/>
  <c r="XD10" i="3"/>
  <c r="XC10" i="3"/>
  <c r="XB10" i="3"/>
  <c r="XA10" i="3"/>
  <c r="WZ10" i="3"/>
  <c r="WY10" i="3"/>
  <c r="WX10" i="3"/>
  <c r="WW10" i="3"/>
  <c r="WV10" i="3"/>
  <c r="WU10" i="3"/>
  <c r="WT10" i="3"/>
  <c r="WS10" i="3"/>
  <c r="WR10" i="3"/>
  <c r="WQ10" i="3"/>
  <c r="WO10" i="3"/>
  <c r="WN10" i="3"/>
  <c r="WM10" i="3"/>
  <c r="WL10" i="3"/>
  <c r="WK10" i="3"/>
  <c r="WJ10" i="3"/>
  <c r="WH10" i="3"/>
  <c r="WG10" i="3"/>
  <c r="WF10" i="3"/>
  <c r="WE10" i="3"/>
  <c r="WD10" i="3"/>
  <c r="WC10" i="3"/>
  <c r="WB10" i="3"/>
  <c r="WA10" i="3"/>
  <c r="VZ10" i="3"/>
  <c r="VY10" i="3"/>
  <c r="VX10" i="3"/>
  <c r="VW10" i="3"/>
  <c r="VV10" i="3"/>
  <c r="VU10" i="3"/>
  <c r="VT10" i="3"/>
  <c r="VR10" i="3"/>
  <c r="VQ10" i="3"/>
  <c r="VP10" i="3"/>
  <c r="VO10" i="3"/>
  <c r="VN10" i="3"/>
  <c r="VM10" i="3"/>
  <c r="VL10" i="3"/>
  <c r="VK10" i="3"/>
  <c r="VJ10" i="3"/>
  <c r="VI10" i="3"/>
  <c r="VH10" i="3"/>
  <c r="VG10" i="3"/>
  <c r="VF10" i="3"/>
  <c r="VE10" i="3"/>
  <c r="VD10" i="3"/>
  <c r="VC10" i="3"/>
  <c r="VB10" i="3"/>
  <c r="VA10" i="3"/>
  <c r="UZ10" i="3"/>
  <c r="UY10" i="3"/>
  <c r="UX10" i="3"/>
  <c r="UW10" i="3"/>
  <c r="UV10" i="3"/>
  <c r="UU10" i="3"/>
  <c r="UT10" i="3"/>
  <c r="US10" i="3"/>
  <c r="UR10" i="3"/>
  <c r="UQ10" i="3"/>
  <c r="UP10" i="3"/>
  <c r="UO10" i="3"/>
  <c r="UN10" i="3"/>
  <c r="UM10" i="3"/>
  <c r="UL10" i="3"/>
  <c r="UK10" i="3"/>
  <c r="UJ10" i="3"/>
  <c r="UI10" i="3"/>
  <c r="UH10" i="3"/>
  <c r="UG10" i="3"/>
  <c r="UF10" i="3"/>
  <c r="UE10" i="3"/>
  <c r="UD10" i="3"/>
  <c r="UC10" i="3"/>
  <c r="UB10" i="3"/>
  <c r="UA10" i="3"/>
  <c r="TZ10" i="3"/>
  <c r="TY10" i="3"/>
  <c r="TX10" i="3"/>
  <c r="TW10" i="3"/>
  <c r="TV10" i="3"/>
  <c r="TU10" i="3"/>
  <c r="TT10" i="3"/>
  <c r="TS10" i="3"/>
  <c r="TR10" i="3"/>
  <c r="TQ10" i="3"/>
  <c r="TP10" i="3"/>
  <c r="TO10" i="3"/>
  <c r="TN10" i="3"/>
  <c r="TM10" i="3"/>
  <c r="TL10" i="3"/>
  <c r="TK10" i="3"/>
  <c r="TJ10" i="3"/>
  <c r="TI10" i="3"/>
  <c r="TH10" i="3"/>
  <c r="TG10" i="3"/>
  <c r="TF10" i="3"/>
  <c r="TE10" i="3"/>
  <c r="TD10" i="3"/>
  <c r="TC10" i="3"/>
  <c r="TB10" i="3"/>
  <c r="TA10" i="3"/>
  <c r="SZ10" i="3"/>
  <c r="SY10" i="3"/>
  <c r="SX10" i="3"/>
  <c r="SW10" i="3"/>
  <c r="SV10" i="3"/>
  <c r="SU10" i="3"/>
  <c r="ST10" i="3"/>
  <c r="SS10" i="3"/>
  <c r="SR10" i="3"/>
  <c r="SQ10" i="3"/>
  <c r="SP10" i="3"/>
  <c r="SO10" i="3"/>
  <c r="SN10" i="3"/>
  <c r="SM10" i="3"/>
  <c r="SL10" i="3"/>
  <c r="SK10" i="3"/>
  <c r="SJ10" i="3"/>
  <c r="SI10" i="3"/>
  <c r="SH10" i="3"/>
  <c r="SG10" i="3"/>
  <c r="SF10" i="3"/>
  <c r="SE10" i="3"/>
  <c r="SD10" i="3"/>
  <c r="SC10" i="3"/>
  <c r="SB10" i="3"/>
  <c r="SA10" i="3"/>
  <c r="RZ10" i="3"/>
  <c r="RY10" i="3"/>
  <c r="RX10" i="3"/>
  <c r="RW10" i="3"/>
  <c r="RV10" i="3"/>
  <c r="RU10" i="3"/>
  <c r="RT10" i="3"/>
  <c r="RS10" i="3"/>
  <c r="RR10" i="3"/>
  <c r="RQ10" i="3"/>
  <c r="RP10" i="3"/>
  <c r="RO10" i="3"/>
  <c r="RN10" i="3"/>
  <c r="RM10" i="3"/>
  <c r="RL10" i="3"/>
  <c r="RK10" i="3"/>
  <c r="RJ10" i="3"/>
  <c r="RI10" i="3"/>
  <c r="RH10" i="3"/>
  <c r="RG10" i="3"/>
  <c r="RF10" i="3"/>
  <c r="RE10" i="3"/>
  <c r="RD10" i="3"/>
  <c r="RC10" i="3"/>
  <c r="RB10" i="3"/>
  <c r="RA10" i="3"/>
  <c r="QZ10" i="3"/>
  <c r="QY10" i="3"/>
  <c r="QX10" i="3"/>
  <c r="QW10" i="3"/>
  <c r="QV10" i="3"/>
  <c r="QU10" i="3"/>
  <c r="QT10" i="3"/>
  <c r="QS10" i="3"/>
  <c r="QR10" i="3"/>
  <c r="QQ10" i="3"/>
  <c r="QP10" i="3"/>
  <c r="QO10" i="3"/>
  <c r="QN10" i="3"/>
  <c r="QM10" i="3"/>
  <c r="QL10" i="3"/>
  <c r="QK10" i="3"/>
  <c r="QJ10" i="3"/>
  <c r="QI10" i="3"/>
  <c r="QH10" i="3"/>
  <c r="QG10" i="3"/>
  <c r="QF10" i="3"/>
  <c r="QE10" i="3"/>
  <c r="QD10" i="3"/>
  <c r="QC10" i="3"/>
  <c r="QB10" i="3"/>
  <c r="QA10" i="3"/>
  <c r="PZ10" i="3"/>
  <c r="PY10" i="3"/>
  <c r="PX10" i="3"/>
  <c r="PW10" i="3"/>
  <c r="PV10" i="3"/>
  <c r="PU10" i="3"/>
  <c r="PT10" i="3"/>
  <c r="PS10" i="3"/>
  <c r="PR10" i="3"/>
  <c r="PQ10" i="3"/>
  <c r="PP10" i="3"/>
  <c r="PO10" i="3"/>
  <c r="PN10" i="3"/>
  <c r="PM10" i="3"/>
  <c r="PL10" i="3"/>
  <c r="PK10" i="3"/>
  <c r="PJ10" i="3"/>
  <c r="PI10" i="3"/>
  <c r="PH10" i="3"/>
  <c r="PG10" i="3"/>
  <c r="PF10" i="3"/>
  <c r="PE10" i="3"/>
  <c r="PD10" i="3"/>
  <c r="PC10" i="3"/>
  <c r="PB10" i="3"/>
  <c r="PA10" i="3"/>
  <c r="OZ10" i="3"/>
  <c r="OY10" i="3"/>
  <c r="OX10" i="3"/>
  <c r="OW10" i="3"/>
  <c r="OV10" i="3"/>
  <c r="OU10" i="3"/>
  <c r="OT10" i="3"/>
  <c r="OS10" i="3"/>
  <c r="OR10" i="3"/>
  <c r="OQ10" i="3"/>
  <c r="OP10" i="3"/>
  <c r="OO10" i="3"/>
  <c r="ON10" i="3"/>
  <c r="OM10" i="3"/>
  <c r="OL10" i="3"/>
  <c r="OK10" i="3"/>
  <c r="OJ10" i="3"/>
  <c r="OI10" i="3"/>
  <c r="OH10" i="3"/>
  <c r="OG10" i="3"/>
  <c r="OF10" i="3"/>
  <c r="OE10" i="3"/>
  <c r="OD10" i="3"/>
  <c r="OC10" i="3"/>
  <c r="OB10" i="3"/>
  <c r="OA10" i="3"/>
  <c r="NZ10" i="3"/>
  <c r="NY10" i="3"/>
  <c r="NX10" i="3"/>
  <c r="NW10" i="3"/>
  <c r="NV10" i="3"/>
  <c r="NU10" i="3"/>
  <c r="NT10" i="3"/>
  <c r="NS10" i="3"/>
  <c r="NR10" i="3"/>
  <c r="NQ10" i="3"/>
  <c r="NP10" i="3"/>
  <c r="NO10" i="3"/>
  <c r="NN10" i="3"/>
  <c r="NM10" i="3"/>
  <c r="NL10" i="3"/>
  <c r="NK10" i="3"/>
  <c r="NJ10" i="3"/>
  <c r="NI10" i="3"/>
  <c r="NH10" i="3"/>
  <c r="NG10" i="3"/>
  <c r="NF10" i="3"/>
  <c r="NE10" i="3"/>
  <c r="ND10" i="3"/>
  <c r="NC10" i="3"/>
  <c r="NB10" i="3"/>
  <c r="NA10" i="3"/>
  <c r="MZ10" i="3"/>
  <c r="MY10" i="3"/>
  <c r="MX10" i="3"/>
  <c r="MW10" i="3"/>
  <c r="MV10" i="3"/>
  <c r="MU10" i="3"/>
  <c r="MT10" i="3"/>
  <c r="MS10" i="3"/>
  <c r="MR10" i="3"/>
  <c r="MQ10" i="3"/>
  <c r="MP10" i="3"/>
  <c r="MO10" i="3"/>
  <c r="MN10" i="3"/>
  <c r="MM10" i="3"/>
  <c r="ML10" i="3"/>
  <c r="MK10" i="3"/>
  <c r="MJ10" i="3"/>
  <c r="MI10" i="3"/>
  <c r="MH10" i="3"/>
  <c r="MG10" i="3"/>
  <c r="MF10" i="3"/>
  <c r="ME10" i="3"/>
  <c r="MD10" i="3"/>
  <c r="MC10" i="3"/>
  <c r="MB10" i="3"/>
  <c r="MA10" i="3"/>
  <c r="LZ10" i="3"/>
  <c r="LY10" i="3"/>
  <c r="LX10" i="3"/>
  <c r="LW10" i="3"/>
  <c r="LV10" i="3"/>
  <c r="LU10" i="3"/>
  <c r="LT10" i="3"/>
  <c r="LS10" i="3"/>
  <c r="LR10" i="3"/>
  <c r="LQ10" i="3"/>
  <c r="LP10" i="3"/>
  <c r="LO10" i="3"/>
  <c r="LN10" i="3"/>
  <c r="LM10" i="3"/>
  <c r="LL10" i="3"/>
  <c r="LK10" i="3"/>
  <c r="LJ10" i="3"/>
  <c r="LI10" i="3"/>
  <c r="LH10" i="3"/>
  <c r="LG10" i="3"/>
  <c r="LF10" i="3"/>
  <c r="LE10" i="3"/>
  <c r="LD10" i="3"/>
  <c r="LC10" i="3"/>
  <c r="LB10" i="3"/>
  <c r="LA10" i="3"/>
  <c r="KZ10" i="3"/>
  <c r="KY10" i="3"/>
  <c r="KX10" i="3"/>
  <c r="KW10" i="3"/>
  <c r="KV10" i="3"/>
  <c r="KU10" i="3"/>
  <c r="KT10" i="3"/>
  <c r="KS10" i="3"/>
  <c r="KR10" i="3"/>
  <c r="KQ10" i="3"/>
  <c r="KP10" i="3"/>
  <c r="KO10" i="3"/>
  <c r="KN10" i="3"/>
  <c r="KM10" i="3"/>
  <c r="KL10" i="3"/>
  <c r="KK10" i="3"/>
  <c r="KJ10" i="3"/>
  <c r="KI10" i="3"/>
  <c r="KH10" i="3"/>
  <c r="KG10" i="3"/>
  <c r="KF10" i="3"/>
  <c r="KE10" i="3"/>
  <c r="KD10" i="3"/>
  <c r="KC10" i="3"/>
  <c r="KB10" i="3"/>
  <c r="KA10" i="3"/>
  <c r="JZ10" i="3"/>
  <c r="JY10" i="3"/>
  <c r="JX10" i="3"/>
  <c r="JW10" i="3"/>
  <c r="JV10" i="3"/>
  <c r="JU10" i="3"/>
  <c r="JT10" i="3"/>
  <c r="JS10" i="3"/>
  <c r="JR10" i="3"/>
  <c r="JQ10" i="3"/>
  <c r="JP10" i="3"/>
  <c r="JO10" i="3"/>
  <c r="JN10" i="3"/>
  <c r="JM10" i="3"/>
  <c r="JL10" i="3"/>
  <c r="JK10" i="3"/>
  <c r="JJ10" i="3"/>
  <c r="JI10" i="3"/>
  <c r="JH10" i="3"/>
  <c r="JG10" i="3"/>
  <c r="JF10" i="3"/>
  <c r="JE10" i="3"/>
  <c r="JD10" i="3"/>
  <c r="JC10" i="3"/>
  <c r="JB10" i="3"/>
  <c r="JA10" i="3"/>
  <c r="IZ10" i="3"/>
  <c r="IY10" i="3"/>
  <c r="IX10" i="3"/>
  <c r="IW10" i="3"/>
  <c r="IV10" i="3"/>
  <c r="IU10" i="3"/>
  <c r="IT10" i="3"/>
  <c r="IS10" i="3"/>
  <c r="IR10" i="3"/>
  <c r="IQ10" i="3"/>
  <c r="IP10" i="3"/>
  <c r="IO10" i="3"/>
  <c r="IN10" i="3"/>
  <c r="IM10" i="3"/>
  <c r="IL10" i="3"/>
  <c r="IK10" i="3"/>
  <c r="IJ10" i="3"/>
  <c r="II10" i="3"/>
  <c r="IH10" i="3"/>
  <c r="IG10" i="3"/>
  <c r="IF10" i="3"/>
  <c r="IE10" i="3"/>
  <c r="ID10" i="3"/>
  <c r="IC10" i="3"/>
  <c r="IB10" i="3"/>
  <c r="IA10" i="3"/>
  <c r="HZ10" i="3"/>
  <c r="HY10" i="3"/>
  <c r="HX10" i="3"/>
  <c r="HW10" i="3"/>
  <c r="HV10" i="3"/>
  <c r="HU10" i="3"/>
  <c r="HT10" i="3"/>
  <c r="HS10" i="3"/>
  <c r="HR10" i="3"/>
  <c r="HQ10" i="3"/>
  <c r="HP10" i="3"/>
  <c r="HO10" i="3"/>
  <c r="HN10" i="3"/>
  <c r="HM10" i="3"/>
  <c r="HL10" i="3"/>
  <c r="HK10" i="3"/>
  <c r="HJ10" i="3"/>
  <c r="HI10" i="3"/>
  <c r="HH10" i="3"/>
  <c r="HG10" i="3"/>
  <c r="HF10" i="3"/>
  <c r="HE10" i="3"/>
  <c r="HD10" i="3"/>
  <c r="HC10" i="3"/>
  <c r="HB10" i="3"/>
  <c r="HA10" i="3"/>
  <c r="GZ10" i="3"/>
  <c r="GY10" i="3"/>
  <c r="GX10" i="3"/>
  <c r="GW10" i="3"/>
  <c r="GV10" i="3"/>
  <c r="GU10" i="3"/>
  <c r="GT10" i="3"/>
  <c r="GS10" i="3"/>
  <c r="GR10" i="3"/>
  <c r="GQ10" i="3"/>
  <c r="GP10" i="3"/>
  <c r="GO10" i="3"/>
  <c r="GN10" i="3"/>
  <c r="GM10" i="3"/>
  <c r="GL10" i="3"/>
  <c r="GK10" i="3"/>
  <c r="GJ10" i="3"/>
  <c r="GI10" i="3"/>
  <c r="GH10" i="3"/>
  <c r="GG10" i="3"/>
  <c r="GF10" i="3"/>
  <c r="GE10" i="3"/>
  <c r="GD10" i="3"/>
  <c r="GC10" i="3"/>
  <c r="GB10" i="3"/>
  <c r="GA10" i="3"/>
  <c r="FZ10" i="3"/>
  <c r="FY10" i="3"/>
  <c r="FX10" i="3"/>
  <c r="FW10" i="3"/>
  <c r="FV10" i="3"/>
  <c r="FU10" i="3"/>
  <c r="FT10" i="3"/>
  <c r="FS10" i="3"/>
  <c r="FR10" i="3"/>
  <c r="FQ10" i="3"/>
  <c r="FP10" i="3"/>
  <c r="FO10" i="3"/>
  <c r="FN10" i="3"/>
  <c r="FM10" i="3"/>
  <c r="FL10" i="3"/>
  <c r="FK10" i="3"/>
  <c r="FJ10" i="3"/>
  <c r="FI10" i="3"/>
  <c r="FH10" i="3"/>
  <c r="FG10" i="3"/>
  <c r="FF10" i="3"/>
  <c r="FE10" i="3"/>
  <c r="FD10" i="3"/>
  <c r="FC10" i="3"/>
  <c r="FB10" i="3"/>
  <c r="FA10" i="3"/>
  <c r="EZ10" i="3"/>
  <c r="EY10" i="3"/>
  <c r="EX10" i="3"/>
  <c r="EW10" i="3"/>
  <c r="EV10" i="3"/>
  <c r="EU10" i="3"/>
  <c r="ET10" i="3"/>
  <c r="ES10" i="3"/>
  <c r="ER10" i="3"/>
  <c r="EQ10" i="3"/>
  <c r="EP10" i="3"/>
  <c r="EO10" i="3"/>
  <c r="EN10" i="3"/>
  <c r="EM10" i="3"/>
  <c r="EL10" i="3"/>
  <c r="EK10" i="3"/>
  <c r="EJ10" i="3"/>
  <c r="EI10" i="3"/>
  <c r="EH10" i="3"/>
  <c r="EG10" i="3"/>
  <c r="EF10" i="3"/>
  <c r="EE10" i="3"/>
  <c r="ED10" i="3"/>
  <c r="EC10" i="3"/>
  <c r="EB10" i="3"/>
  <c r="EA10" i="3"/>
  <c r="DZ10" i="3"/>
  <c r="DY10" i="3"/>
  <c r="DX10" i="3"/>
  <c r="DW10" i="3"/>
  <c r="DV10" i="3"/>
  <c r="DU10" i="3"/>
  <c r="DT10" i="3"/>
  <c r="DS10" i="3"/>
  <c r="DR10" i="3"/>
  <c r="DQ10" i="3"/>
  <c r="DP10" i="3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YF9" i="3"/>
  <c r="YE9" i="3"/>
  <c r="YD9" i="3"/>
  <c r="YB9" i="3"/>
  <c r="YA9" i="3"/>
  <c r="XZ9" i="3"/>
  <c r="XY9" i="3"/>
  <c r="XX9" i="3"/>
  <c r="XW9" i="3"/>
  <c r="XV9" i="3"/>
  <c r="XU9" i="3"/>
  <c r="XT9" i="3"/>
  <c r="XS9" i="3"/>
  <c r="XR9" i="3"/>
  <c r="XQ9" i="3"/>
  <c r="XP9" i="3"/>
  <c r="XO9" i="3"/>
  <c r="XN9" i="3"/>
  <c r="XM9" i="3"/>
  <c r="XL9" i="3"/>
  <c r="XK9" i="3"/>
  <c r="XJ9" i="3"/>
  <c r="XI9" i="3"/>
  <c r="XH9" i="3"/>
  <c r="XG9" i="3"/>
  <c r="XF9" i="3"/>
  <c r="XE9" i="3"/>
  <c r="XD9" i="3"/>
  <c r="XC9" i="3"/>
  <c r="XB9" i="3"/>
  <c r="XA9" i="3"/>
  <c r="WZ9" i="3"/>
  <c r="WY9" i="3"/>
  <c r="WX9" i="3"/>
  <c r="WW9" i="3"/>
  <c r="WV9" i="3"/>
  <c r="WU9" i="3"/>
  <c r="WT9" i="3"/>
  <c r="WS9" i="3"/>
  <c r="WR9" i="3"/>
  <c r="WQ9" i="3"/>
  <c r="WO9" i="3"/>
  <c r="WN9" i="3"/>
  <c r="WM9" i="3"/>
  <c r="WL9" i="3"/>
  <c r="WK9" i="3"/>
  <c r="WJ9" i="3"/>
  <c r="WH9" i="3"/>
  <c r="WG9" i="3"/>
  <c r="WF9" i="3"/>
  <c r="WE9" i="3"/>
  <c r="WD9" i="3"/>
  <c r="WC9" i="3"/>
  <c r="WB9" i="3"/>
  <c r="WA9" i="3"/>
  <c r="VZ9" i="3"/>
  <c r="VY9" i="3"/>
  <c r="VX9" i="3"/>
  <c r="VW9" i="3"/>
  <c r="VV9" i="3"/>
  <c r="VU9" i="3"/>
  <c r="VT9" i="3"/>
  <c r="VR9" i="3"/>
  <c r="VQ9" i="3"/>
  <c r="VP9" i="3"/>
  <c r="VO9" i="3"/>
  <c r="VN9" i="3"/>
  <c r="VM9" i="3"/>
  <c r="VL9" i="3"/>
  <c r="VK9" i="3"/>
  <c r="VJ9" i="3"/>
  <c r="VI9" i="3"/>
  <c r="VH9" i="3"/>
  <c r="VG9" i="3"/>
  <c r="VF9" i="3"/>
  <c r="VE9" i="3"/>
  <c r="VD9" i="3"/>
  <c r="VC9" i="3"/>
  <c r="VB9" i="3"/>
  <c r="VA9" i="3"/>
  <c r="UZ9" i="3"/>
  <c r="UY9" i="3"/>
  <c r="UX9" i="3"/>
  <c r="UW9" i="3"/>
  <c r="UV9" i="3"/>
  <c r="UU9" i="3"/>
  <c r="UT9" i="3"/>
  <c r="US9" i="3"/>
  <c r="UR9" i="3"/>
  <c r="UQ9" i="3"/>
  <c r="UP9" i="3"/>
  <c r="UO9" i="3"/>
  <c r="UN9" i="3"/>
  <c r="UM9" i="3"/>
  <c r="UL9" i="3"/>
  <c r="UK9" i="3"/>
  <c r="UJ9" i="3"/>
  <c r="UI9" i="3"/>
  <c r="UH9" i="3"/>
  <c r="UG9" i="3"/>
  <c r="UF9" i="3"/>
  <c r="UE9" i="3"/>
  <c r="UD9" i="3"/>
  <c r="UC9" i="3"/>
  <c r="UB9" i="3"/>
  <c r="UA9" i="3"/>
  <c r="TZ9" i="3"/>
  <c r="TY9" i="3"/>
  <c r="TX9" i="3"/>
  <c r="TW9" i="3"/>
  <c r="TV9" i="3"/>
  <c r="TU9" i="3"/>
  <c r="TT9" i="3"/>
  <c r="TS9" i="3"/>
  <c r="TR9" i="3"/>
  <c r="TQ9" i="3"/>
  <c r="TP9" i="3"/>
  <c r="TO9" i="3"/>
  <c r="TN9" i="3"/>
  <c r="TM9" i="3"/>
  <c r="TL9" i="3"/>
  <c r="TK9" i="3"/>
  <c r="TJ9" i="3"/>
  <c r="TI9" i="3"/>
  <c r="TH9" i="3"/>
  <c r="TG9" i="3"/>
  <c r="TF9" i="3"/>
  <c r="TE9" i="3"/>
  <c r="TD9" i="3"/>
  <c r="TC9" i="3"/>
  <c r="TB9" i="3"/>
  <c r="TA9" i="3"/>
  <c r="SZ9" i="3"/>
  <c r="SY9" i="3"/>
  <c r="SX9" i="3"/>
  <c r="SW9" i="3"/>
  <c r="SV9" i="3"/>
  <c r="SU9" i="3"/>
  <c r="ST9" i="3"/>
  <c r="SS9" i="3"/>
  <c r="SR9" i="3"/>
  <c r="SQ9" i="3"/>
  <c r="SP9" i="3"/>
  <c r="SO9" i="3"/>
  <c r="SN9" i="3"/>
  <c r="SM9" i="3"/>
  <c r="SL9" i="3"/>
  <c r="SK9" i="3"/>
  <c r="SJ9" i="3"/>
  <c r="SI9" i="3"/>
  <c r="SH9" i="3"/>
  <c r="SG9" i="3"/>
  <c r="SF9" i="3"/>
  <c r="SE9" i="3"/>
  <c r="SD9" i="3"/>
  <c r="SC9" i="3"/>
  <c r="SB9" i="3"/>
  <c r="SA9" i="3"/>
  <c r="RZ9" i="3"/>
  <c r="RY9" i="3"/>
  <c r="RX9" i="3"/>
  <c r="RW9" i="3"/>
  <c r="RV9" i="3"/>
  <c r="RU9" i="3"/>
  <c r="RT9" i="3"/>
  <c r="RS9" i="3"/>
  <c r="RR9" i="3"/>
  <c r="RQ9" i="3"/>
  <c r="RP9" i="3"/>
  <c r="RO9" i="3"/>
  <c r="RN9" i="3"/>
  <c r="RM9" i="3"/>
  <c r="RL9" i="3"/>
  <c r="RK9" i="3"/>
  <c r="RJ9" i="3"/>
  <c r="RI9" i="3"/>
  <c r="RH9" i="3"/>
  <c r="RG9" i="3"/>
  <c r="RF9" i="3"/>
  <c r="RE9" i="3"/>
  <c r="RD9" i="3"/>
  <c r="RC9" i="3"/>
  <c r="RB9" i="3"/>
  <c r="RA9" i="3"/>
  <c r="QZ9" i="3"/>
  <c r="QY9" i="3"/>
  <c r="QX9" i="3"/>
  <c r="QW9" i="3"/>
  <c r="QV9" i="3"/>
  <c r="QU9" i="3"/>
  <c r="QT9" i="3"/>
  <c r="QS9" i="3"/>
  <c r="QR9" i="3"/>
  <c r="QQ9" i="3"/>
  <c r="QP9" i="3"/>
  <c r="QO9" i="3"/>
  <c r="QN9" i="3"/>
  <c r="QM9" i="3"/>
  <c r="QL9" i="3"/>
  <c r="QK9" i="3"/>
  <c r="QJ9" i="3"/>
  <c r="QI9" i="3"/>
  <c r="QH9" i="3"/>
  <c r="QG9" i="3"/>
  <c r="QF9" i="3"/>
  <c r="QE9" i="3"/>
  <c r="QD9" i="3"/>
  <c r="QC9" i="3"/>
  <c r="QB9" i="3"/>
  <c r="QA9" i="3"/>
  <c r="PZ9" i="3"/>
  <c r="PY9" i="3"/>
  <c r="PX9" i="3"/>
  <c r="PW9" i="3"/>
  <c r="PV9" i="3"/>
  <c r="PU9" i="3"/>
  <c r="PT9" i="3"/>
  <c r="PS9" i="3"/>
  <c r="PR9" i="3"/>
  <c r="PQ9" i="3"/>
  <c r="PP9" i="3"/>
  <c r="PO9" i="3"/>
  <c r="PN9" i="3"/>
  <c r="PM9" i="3"/>
  <c r="PL9" i="3"/>
  <c r="PK9" i="3"/>
  <c r="PJ9" i="3"/>
  <c r="PI9" i="3"/>
  <c r="PH9" i="3"/>
  <c r="PG9" i="3"/>
  <c r="PF9" i="3"/>
  <c r="PE9" i="3"/>
  <c r="PD9" i="3"/>
  <c r="PC9" i="3"/>
  <c r="PB9" i="3"/>
  <c r="PA9" i="3"/>
  <c r="OZ9" i="3"/>
  <c r="OY9" i="3"/>
  <c r="OX9" i="3"/>
  <c r="OW9" i="3"/>
  <c r="OV9" i="3"/>
  <c r="OU9" i="3"/>
  <c r="OT9" i="3"/>
  <c r="OS9" i="3"/>
  <c r="OR9" i="3"/>
  <c r="OQ9" i="3"/>
  <c r="OP9" i="3"/>
  <c r="OO9" i="3"/>
  <c r="ON9" i="3"/>
  <c r="OM9" i="3"/>
  <c r="OL9" i="3"/>
  <c r="OK9" i="3"/>
  <c r="OJ9" i="3"/>
  <c r="OI9" i="3"/>
  <c r="OH9" i="3"/>
  <c r="OG9" i="3"/>
  <c r="OF9" i="3"/>
  <c r="OE9" i="3"/>
  <c r="OD9" i="3"/>
  <c r="OC9" i="3"/>
  <c r="OB9" i="3"/>
  <c r="OA9" i="3"/>
  <c r="NZ9" i="3"/>
  <c r="NY9" i="3"/>
  <c r="NX9" i="3"/>
  <c r="NW9" i="3"/>
  <c r="NV9" i="3"/>
  <c r="NU9" i="3"/>
  <c r="NT9" i="3"/>
  <c r="NS9" i="3"/>
  <c r="NR9" i="3"/>
  <c r="NQ9" i="3"/>
  <c r="NP9" i="3"/>
  <c r="NO9" i="3"/>
  <c r="NN9" i="3"/>
  <c r="NM9" i="3"/>
  <c r="NL9" i="3"/>
  <c r="NK9" i="3"/>
  <c r="NJ9" i="3"/>
  <c r="NI9" i="3"/>
  <c r="NH9" i="3"/>
  <c r="NG9" i="3"/>
  <c r="NF9" i="3"/>
  <c r="NE9" i="3"/>
  <c r="ND9" i="3"/>
  <c r="NC9" i="3"/>
  <c r="NB9" i="3"/>
  <c r="NA9" i="3"/>
  <c r="MZ9" i="3"/>
  <c r="MY9" i="3"/>
  <c r="MX9" i="3"/>
  <c r="MW9" i="3"/>
  <c r="MV9" i="3"/>
  <c r="MU9" i="3"/>
  <c r="MT9" i="3"/>
  <c r="MS9" i="3"/>
  <c r="MR9" i="3"/>
  <c r="MQ9" i="3"/>
  <c r="MP9" i="3"/>
  <c r="MO9" i="3"/>
  <c r="MN9" i="3"/>
  <c r="MM9" i="3"/>
  <c r="ML9" i="3"/>
  <c r="MK9" i="3"/>
  <c r="MJ9" i="3"/>
  <c r="MI9" i="3"/>
  <c r="MH9" i="3"/>
  <c r="MG9" i="3"/>
  <c r="MF9" i="3"/>
  <c r="ME9" i="3"/>
  <c r="MD9" i="3"/>
  <c r="MC9" i="3"/>
  <c r="MB9" i="3"/>
  <c r="MA9" i="3"/>
  <c r="LZ9" i="3"/>
  <c r="LY9" i="3"/>
  <c r="LX9" i="3"/>
  <c r="LW9" i="3"/>
  <c r="LV9" i="3"/>
  <c r="LU9" i="3"/>
  <c r="LT9" i="3"/>
  <c r="LS9" i="3"/>
  <c r="LR9" i="3"/>
  <c r="LQ9" i="3"/>
  <c r="LP9" i="3"/>
  <c r="LO9" i="3"/>
  <c r="LN9" i="3"/>
  <c r="LM9" i="3"/>
  <c r="LL9" i="3"/>
  <c r="LK9" i="3"/>
  <c r="LJ9" i="3"/>
  <c r="LI9" i="3"/>
  <c r="LH9" i="3"/>
  <c r="LG9" i="3"/>
  <c r="LF9" i="3"/>
  <c r="LE9" i="3"/>
  <c r="LD9" i="3"/>
  <c r="LC9" i="3"/>
  <c r="LB9" i="3"/>
  <c r="LA9" i="3"/>
  <c r="KZ9" i="3"/>
  <c r="KY9" i="3"/>
  <c r="KX9" i="3"/>
  <c r="KW9" i="3"/>
  <c r="KV9" i="3"/>
  <c r="KU9" i="3"/>
  <c r="KT9" i="3"/>
  <c r="KS9" i="3"/>
  <c r="KR9" i="3"/>
  <c r="KQ9" i="3"/>
  <c r="KP9" i="3"/>
  <c r="KO9" i="3"/>
  <c r="KN9" i="3"/>
  <c r="KM9" i="3"/>
  <c r="KL9" i="3"/>
  <c r="KK9" i="3"/>
  <c r="KJ9" i="3"/>
  <c r="KI9" i="3"/>
  <c r="KH9" i="3"/>
  <c r="KG9" i="3"/>
  <c r="KF9" i="3"/>
  <c r="KE9" i="3"/>
  <c r="KD9" i="3"/>
  <c r="KC9" i="3"/>
  <c r="KB9" i="3"/>
  <c r="KA9" i="3"/>
  <c r="JZ9" i="3"/>
  <c r="JY9" i="3"/>
  <c r="JX9" i="3"/>
  <c r="JW9" i="3"/>
  <c r="JV9" i="3"/>
  <c r="JU9" i="3"/>
  <c r="JT9" i="3"/>
  <c r="JS9" i="3"/>
  <c r="JR9" i="3"/>
  <c r="JQ9" i="3"/>
  <c r="JP9" i="3"/>
  <c r="JO9" i="3"/>
  <c r="JN9" i="3"/>
  <c r="JM9" i="3"/>
  <c r="JL9" i="3"/>
  <c r="JK9" i="3"/>
  <c r="JJ9" i="3"/>
  <c r="JI9" i="3"/>
  <c r="JH9" i="3"/>
  <c r="JG9" i="3"/>
  <c r="JF9" i="3"/>
  <c r="JE9" i="3"/>
  <c r="JD9" i="3"/>
  <c r="JC9" i="3"/>
  <c r="JB9" i="3"/>
  <c r="JA9" i="3"/>
  <c r="IZ9" i="3"/>
  <c r="IY9" i="3"/>
  <c r="IX9" i="3"/>
  <c r="IW9" i="3"/>
  <c r="IV9" i="3"/>
  <c r="IU9" i="3"/>
  <c r="IT9" i="3"/>
  <c r="IS9" i="3"/>
  <c r="IR9" i="3"/>
  <c r="IQ9" i="3"/>
  <c r="IP9" i="3"/>
  <c r="IO9" i="3"/>
  <c r="IN9" i="3"/>
  <c r="IM9" i="3"/>
  <c r="IL9" i="3"/>
  <c r="IK9" i="3"/>
  <c r="IJ9" i="3"/>
  <c r="II9" i="3"/>
  <c r="IH9" i="3"/>
  <c r="IG9" i="3"/>
  <c r="IF9" i="3"/>
  <c r="IE9" i="3"/>
  <c r="ID9" i="3"/>
  <c r="IC9" i="3"/>
  <c r="IB9" i="3"/>
  <c r="IA9" i="3"/>
  <c r="HZ9" i="3"/>
  <c r="HY9" i="3"/>
  <c r="HX9" i="3"/>
  <c r="HW9" i="3"/>
  <c r="HV9" i="3"/>
  <c r="HU9" i="3"/>
  <c r="HT9" i="3"/>
  <c r="HS9" i="3"/>
  <c r="HR9" i="3"/>
  <c r="HQ9" i="3"/>
  <c r="HP9" i="3"/>
  <c r="HO9" i="3"/>
  <c r="HN9" i="3"/>
  <c r="HM9" i="3"/>
  <c r="HL9" i="3"/>
  <c r="HK9" i="3"/>
  <c r="HJ9" i="3"/>
  <c r="HI9" i="3"/>
  <c r="HH9" i="3"/>
  <c r="HG9" i="3"/>
  <c r="HF9" i="3"/>
  <c r="HE9" i="3"/>
  <c r="HD9" i="3"/>
  <c r="HC9" i="3"/>
  <c r="HB9" i="3"/>
  <c r="HA9" i="3"/>
  <c r="GZ9" i="3"/>
  <c r="GY9" i="3"/>
  <c r="GX9" i="3"/>
  <c r="GW9" i="3"/>
  <c r="GV9" i="3"/>
  <c r="GU9" i="3"/>
  <c r="GT9" i="3"/>
  <c r="GS9" i="3"/>
  <c r="GR9" i="3"/>
  <c r="GQ9" i="3"/>
  <c r="GP9" i="3"/>
  <c r="GO9" i="3"/>
  <c r="GN9" i="3"/>
  <c r="GM9" i="3"/>
  <c r="GL9" i="3"/>
  <c r="GK9" i="3"/>
  <c r="GJ9" i="3"/>
  <c r="GI9" i="3"/>
  <c r="GH9" i="3"/>
  <c r="GG9" i="3"/>
  <c r="GF9" i="3"/>
  <c r="GE9" i="3"/>
  <c r="GD9" i="3"/>
  <c r="GC9" i="3"/>
  <c r="GB9" i="3"/>
  <c r="GA9" i="3"/>
  <c r="FZ9" i="3"/>
  <c r="FY9" i="3"/>
  <c r="FX9" i="3"/>
  <c r="FW9" i="3"/>
  <c r="FV9" i="3"/>
  <c r="FU9" i="3"/>
  <c r="FT9" i="3"/>
  <c r="FS9" i="3"/>
  <c r="FR9" i="3"/>
  <c r="FQ9" i="3"/>
  <c r="FP9" i="3"/>
  <c r="FO9" i="3"/>
  <c r="FN9" i="3"/>
  <c r="FM9" i="3"/>
  <c r="FL9" i="3"/>
  <c r="FK9" i="3"/>
  <c r="FJ9" i="3"/>
  <c r="FI9" i="3"/>
  <c r="FH9" i="3"/>
  <c r="FG9" i="3"/>
  <c r="FF9" i="3"/>
  <c r="FE9" i="3"/>
  <c r="FD9" i="3"/>
  <c r="FC9" i="3"/>
  <c r="FB9" i="3"/>
  <c r="FA9" i="3"/>
  <c r="EZ9" i="3"/>
  <c r="EY9" i="3"/>
  <c r="EX9" i="3"/>
  <c r="EW9" i="3"/>
  <c r="EV9" i="3"/>
  <c r="EU9" i="3"/>
  <c r="ET9" i="3"/>
  <c r="ES9" i="3"/>
  <c r="ER9" i="3"/>
  <c r="EQ9" i="3"/>
  <c r="EP9" i="3"/>
  <c r="EO9" i="3"/>
  <c r="EN9" i="3"/>
  <c r="EM9" i="3"/>
  <c r="EL9" i="3"/>
  <c r="EK9" i="3"/>
  <c r="EJ9" i="3"/>
  <c r="EI9" i="3"/>
  <c r="EH9" i="3"/>
  <c r="EG9" i="3"/>
  <c r="EF9" i="3"/>
  <c r="EE9" i="3"/>
  <c r="ED9" i="3"/>
  <c r="EC9" i="3"/>
  <c r="EB9" i="3"/>
  <c r="EA9" i="3"/>
  <c r="DZ9" i="3"/>
  <c r="DY9" i="3"/>
  <c r="DX9" i="3"/>
  <c r="DW9" i="3"/>
  <c r="DV9" i="3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VC7" i="3"/>
  <c r="WI4" i="3"/>
  <c r="WH2" i="3"/>
  <c r="WG2" i="3"/>
  <c r="UV2" i="3"/>
  <c r="WT1" i="3"/>
  <c r="WT2" i="3" s="1"/>
  <c r="WI1" i="3"/>
  <c r="WH1" i="3"/>
  <c r="WE1" i="3"/>
  <c r="W157" i="2"/>
  <c r="V157" i="2"/>
  <c r="U157" i="2"/>
  <c r="T157" i="2"/>
  <c r="S157" i="2"/>
  <c r="R157" i="2"/>
  <c r="Q157" i="2"/>
  <c r="P157" i="2"/>
  <c r="O157" i="2"/>
  <c r="W146" i="2"/>
  <c r="V146" i="2"/>
  <c r="U146" i="2"/>
  <c r="T146" i="2"/>
  <c r="S146" i="2"/>
  <c r="R146" i="2"/>
  <c r="Q146" i="2"/>
  <c r="P146" i="2"/>
  <c r="O146" i="2"/>
  <c r="L145" i="2"/>
  <c r="K145" i="2"/>
  <c r="J145" i="2"/>
  <c r="I145" i="2"/>
  <c r="H145" i="2"/>
  <c r="G145" i="2"/>
  <c r="F145" i="2"/>
  <c r="E145" i="2"/>
  <c r="D145" i="2"/>
  <c r="C145" i="2"/>
  <c r="W144" i="2"/>
  <c r="W145" i="2" s="1"/>
  <c r="V144" i="2"/>
  <c r="V145" i="2" s="1"/>
  <c r="U144" i="2"/>
  <c r="U145" i="2" s="1"/>
  <c r="T144" i="2"/>
  <c r="T145" i="2" s="1"/>
  <c r="S144" i="2"/>
  <c r="S145" i="2" s="1"/>
  <c r="R144" i="2"/>
  <c r="R145" i="2" s="1"/>
  <c r="Q144" i="2"/>
  <c r="Q145" i="2" s="1"/>
  <c r="P144" i="2"/>
  <c r="P145" i="2" s="1"/>
  <c r="O144" i="2"/>
  <c r="O145" i="2" s="1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K127" i="2" s="1"/>
  <c r="J131" i="2"/>
  <c r="I131" i="2"/>
  <c r="H131" i="2"/>
  <c r="G131" i="2"/>
  <c r="F131" i="2"/>
  <c r="E131" i="2"/>
  <c r="D131" i="2"/>
  <c r="C131" i="2"/>
  <c r="W128" i="2"/>
  <c r="W137" i="2" s="1"/>
  <c r="W127" i="2"/>
  <c r="V127" i="2"/>
  <c r="N127" i="2"/>
  <c r="M127" i="2"/>
  <c r="L127" i="2"/>
  <c r="J127" i="2"/>
  <c r="H127" i="2"/>
  <c r="E127" i="2"/>
  <c r="D127" i="2"/>
  <c r="C127" i="2"/>
  <c r="E126" i="2" s="1"/>
  <c r="W123" i="2"/>
  <c r="W122" i="2"/>
  <c r="W121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W115" i="2"/>
  <c r="W116" i="2" s="1"/>
  <c r="V115" i="2"/>
  <c r="V116" i="2" s="1"/>
  <c r="U115" i="2"/>
  <c r="U116" i="2" s="1"/>
  <c r="P115" i="2"/>
  <c r="P116" i="2" s="1"/>
  <c r="T113" i="2"/>
  <c r="S113" i="2"/>
  <c r="S115" i="2" s="1"/>
  <c r="S116" i="2" s="1"/>
  <c r="R113" i="2"/>
  <c r="Q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W110" i="2"/>
  <c r="W111" i="2" s="1"/>
  <c r="V110" i="2"/>
  <c r="V111" i="2" s="1"/>
  <c r="U110" i="2"/>
  <c r="U111" i="2" s="1"/>
  <c r="S110" i="2"/>
  <c r="S111" i="2" s="1"/>
  <c r="P110" i="2"/>
  <c r="P111" i="2" s="1"/>
  <c r="W107" i="2"/>
  <c r="V107" i="2"/>
  <c r="U107" i="2"/>
  <c r="S107" i="2"/>
  <c r="P107" i="2"/>
  <c r="T106" i="2"/>
  <c r="R106" i="2"/>
  <c r="Q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N105" i="2"/>
  <c r="K105" i="2"/>
  <c r="H105" i="2"/>
  <c r="E105" i="2"/>
  <c r="X97" i="2"/>
  <c r="X98" i="2" s="1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W74" i="2"/>
  <c r="W75" i="2" s="1"/>
  <c r="V74" i="2"/>
  <c r="V75" i="2" s="1"/>
  <c r="U74" i="2"/>
  <c r="U75" i="2" s="1"/>
  <c r="T74" i="2"/>
  <c r="T75" i="2" s="1"/>
  <c r="S74" i="2"/>
  <c r="S75" i="2" s="1"/>
  <c r="R74" i="2"/>
  <c r="R75" i="2" s="1"/>
  <c r="Q74" i="2"/>
  <c r="Q75" i="2" s="1"/>
  <c r="P74" i="2"/>
  <c r="P75" i="2" s="1"/>
  <c r="O74" i="2"/>
  <c r="O75" i="2" s="1"/>
  <c r="N74" i="2"/>
  <c r="N75" i="2" s="1"/>
  <c r="M74" i="2"/>
  <c r="M75" i="2" s="1"/>
  <c r="L74" i="2"/>
  <c r="L75" i="2" s="1"/>
  <c r="K74" i="2"/>
  <c r="K75" i="2" s="1"/>
  <c r="J74" i="2"/>
  <c r="J75" i="2" s="1"/>
  <c r="I74" i="2"/>
  <c r="I75" i="2" s="1"/>
  <c r="H74" i="2"/>
  <c r="H75" i="2" s="1"/>
  <c r="G74" i="2"/>
  <c r="G75" i="2" s="1"/>
  <c r="F74" i="2"/>
  <c r="F75" i="2" s="1"/>
  <c r="E74" i="2"/>
  <c r="E75" i="2" s="1"/>
  <c r="D74" i="2"/>
  <c r="D75" i="2" s="1"/>
  <c r="C74" i="2"/>
  <c r="C75" i="2" s="1"/>
  <c r="T71" i="2"/>
  <c r="S71" i="2"/>
  <c r="R71" i="2"/>
  <c r="P69" i="2"/>
  <c r="P70" i="2" s="1"/>
  <c r="L65" i="2"/>
  <c r="K65" i="2"/>
  <c r="L67" i="2" s="1"/>
  <c r="J65" i="2"/>
  <c r="K67" i="2" s="1"/>
  <c r="I65" i="2"/>
  <c r="J67" i="2" s="1"/>
  <c r="H65" i="2"/>
  <c r="I67" i="2" s="1"/>
  <c r="G65" i="2"/>
  <c r="H67" i="2" s="1"/>
  <c r="F65" i="2"/>
  <c r="G67" i="2" s="1"/>
  <c r="E65" i="2"/>
  <c r="F67" i="2" s="1"/>
  <c r="D65" i="2"/>
  <c r="E67" i="2" s="1"/>
  <c r="C65" i="2"/>
  <c r="D67" i="2" s="1"/>
  <c r="W64" i="2"/>
  <c r="V64" i="2"/>
  <c r="U64" i="2"/>
  <c r="T64" i="2"/>
  <c r="W63" i="2"/>
  <c r="V63" i="2"/>
  <c r="U63" i="2"/>
  <c r="T63" i="2"/>
  <c r="S63" i="2"/>
  <c r="R63" i="2"/>
  <c r="Q63" i="2"/>
  <c r="P63" i="2"/>
  <c r="O63" i="2"/>
  <c r="N63" i="2"/>
  <c r="M63" i="2"/>
  <c r="W59" i="2"/>
  <c r="V59" i="2"/>
  <c r="U59" i="2"/>
  <c r="T59" i="2"/>
  <c r="S59" i="2"/>
  <c r="R59" i="2"/>
  <c r="Q59" i="2"/>
  <c r="P59" i="2"/>
  <c r="M59" i="2"/>
  <c r="L59" i="2"/>
  <c r="K59" i="2"/>
  <c r="J59" i="2"/>
  <c r="I59" i="2"/>
  <c r="H59" i="2"/>
  <c r="G59" i="2"/>
  <c r="F59" i="2"/>
  <c r="E59" i="2"/>
  <c r="D59" i="2"/>
  <c r="C59" i="2"/>
  <c r="W55" i="2"/>
  <c r="V55" i="2"/>
  <c r="U55" i="2"/>
  <c r="W52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W47" i="2"/>
  <c r="V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O43" i="2"/>
  <c r="O59" i="2" s="1"/>
  <c r="N43" i="2"/>
  <c r="N59" i="2" s="1"/>
  <c r="W42" i="2"/>
  <c r="V42" i="2"/>
  <c r="V57" i="2" s="1"/>
  <c r="U42" i="2"/>
  <c r="T42" i="2"/>
  <c r="S42" i="2"/>
  <c r="R42" i="2"/>
  <c r="Q42" i="2"/>
  <c r="P42" i="2"/>
  <c r="O42" i="2"/>
  <c r="N42" i="2"/>
  <c r="M42" i="2"/>
  <c r="L42" i="2"/>
  <c r="L57" i="2" s="1"/>
  <c r="K42" i="2"/>
  <c r="J42" i="2"/>
  <c r="J57" i="2" s="1"/>
  <c r="I42" i="2"/>
  <c r="H42" i="2"/>
  <c r="G42" i="2"/>
  <c r="F42" i="2"/>
  <c r="E42" i="2"/>
  <c r="E57" i="2" s="1"/>
  <c r="D42" i="2"/>
  <c r="C42" i="2"/>
  <c r="W40" i="2"/>
  <c r="V40" i="2"/>
  <c r="V41" i="2" s="1"/>
  <c r="U40" i="2"/>
  <c r="U41" i="2" s="1"/>
  <c r="T40" i="2"/>
  <c r="T41" i="2" s="1"/>
  <c r="S40" i="2"/>
  <c r="S41" i="2" s="1"/>
  <c r="R40" i="2"/>
  <c r="R41" i="2" s="1"/>
  <c r="Q40" i="2"/>
  <c r="Q41" i="2" s="1"/>
  <c r="P40" i="2"/>
  <c r="P41" i="2" s="1"/>
  <c r="O40" i="2"/>
  <c r="O41" i="2" s="1"/>
  <c r="N40" i="2"/>
  <c r="N41" i="2" s="1"/>
  <c r="M40" i="2"/>
  <c r="M41" i="2" s="1"/>
  <c r="L40" i="2"/>
  <c r="L41" i="2" s="1"/>
  <c r="K40" i="2"/>
  <c r="K41" i="2" s="1"/>
  <c r="J40" i="2"/>
  <c r="J41" i="2" s="1"/>
  <c r="I40" i="2"/>
  <c r="I41" i="2" s="1"/>
  <c r="H40" i="2"/>
  <c r="H41" i="2" s="1"/>
  <c r="G40" i="2"/>
  <c r="G41" i="2" s="1"/>
  <c r="F40" i="2"/>
  <c r="F41" i="2" s="1"/>
  <c r="E40" i="2"/>
  <c r="E41" i="2" s="1"/>
  <c r="D40" i="2"/>
  <c r="D41" i="2" s="1"/>
  <c r="C40" i="2"/>
  <c r="C41" i="2" s="1"/>
  <c r="W38" i="2"/>
  <c r="X37" i="2" s="1"/>
  <c r="V38" i="2"/>
  <c r="U38" i="2"/>
  <c r="T38" i="2"/>
  <c r="W36" i="2"/>
  <c r="W34" i="2" s="1"/>
  <c r="V36" i="2"/>
  <c r="U36" i="2"/>
  <c r="T36" i="2"/>
  <c r="S36" i="2"/>
  <c r="S34" i="2" s="1"/>
  <c r="R36" i="2"/>
  <c r="Q36" i="2"/>
  <c r="P36" i="2"/>
  <c r="O36" i="2"/>
  <c r="W35" i="2"/>
  <c r="V35" i="2"/>
  <c r="V34" i="2" s="1"/>
  <c r="U35" i="2"/>
  <c r="T35" i="2"/>
  <c r="T34" i="2" s="1"/>
  <c r="S35" i="2"/>
  <c r="R35" i="2"/>
  <c r="R34" i="2" s="1"/>
  <c r="Q35" i="2"/>
  <c r="P35" i="2"/>
  <c r="O35" i="2"/>
  <c r="U34" i="2"/>
  <c r="Q34" i="2"/>
  <c r="Q27" i="2" s="1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W30" i="2"/>
  <c r="W58" i="2" s="1"/>
  <c r="V30" i="2"/>
  <c r="V58" i="2" s="1"/>
  <c r="U30" i="2"/>
  <c r="U58" i="2" s="1"/>
  <c r="T30" i="2"/>
  <c r="T58" i="2" s="1"/>
  <c r="S30" i="2"/>
  <c r="S58" i="2" s="1"/>
  <c r="R30" i="2"/>
  <c r="R58" i="2" s="1"/>
  <c r="Q30" i="2"/>
  <c r="Q58" i="2" s="1"/>
  <c r="P30" i="2"/>
  <c r="P58" i="2" s="1"/>
  <c r="O30" i="2"/>
  <c r="O58" i="2" s="1"/>
  <c r="N30" i="2"/>
  <c r="N58" i="2" s="1"/>
  <c r="M30" i="2"/>
  <c r="M58" i="2" s="1"/>
  <c r="L30" i="2"/>
  <c r="L58" i="2" s="1"/>
  <c r="K30" i="2"/>
  <c r="K58" i="2" s="1"/>
  <c r="J30" i="2"/>
  <c r="J58" i="2" s="1"/>
  <c r="I30" i="2"/>
  <c r="I58" i="2" s="1"/>
  <c r="H30" i="2"/>
  <c r="H58" i="2" s="1"/>
  <c r="G30" i="2"/>
  <c r="G58" i="2" s="1"/>
  <c r="F30" i="2"/>
  <c r="F58" i="2" s="1"/>
  <c r="E30" i="2"/>
  <c r="E58" i="2" s="1"/>
  <c r="D30" i="2"/>
  <c r="D58" i="2" s="1"/>
  <c r="C30" i="2"/>
  <c r="C58" i="2" s="1"/>
  <c r="W29" i="2"/>
  <c r="V29" i="2"/>
  <c r="V28" i="2" s="1"/>
  <c r="U29" i="2"/>
  <c r="T29" i="2"/>
  <c r="T28" i="2" s="1"/>
  <c r="S29" i="2"/>
  <c r="S28" i="2" s="1"/>
  <c r="R29" i="2"/>
  <c r="Q29" i="2"/>
  <c r="P29" i="2"/>
  <c r="O29" i="2"/>
  <c r="N29" i="2"/>
  <c r="N28" i="2" s="1"/>
  <c r="M29" i="2"/>
  <c r="L29" i="2"/>
  <c r="L28" i="2" s="1"/>
  <c r="K29" i="2"/>
  <c r="J29" i="2"/>
  <c r="J28" i="2" s="1"/>
  <c r="I29" i="2"/>
  <c r="I28" i="2" s="1"/>
  <c r="H29" i="2"/>
  <c r="G29" i="2"/>
  <c r="F29" i="2"/>
  <c r="E29" i="2"/>
  <c r="D29" i="2"/>
  <c r="D28" i="2" s="1"/>
  <c r="C29" i="2"/>
  <c r="U28" i="2"/>
  <c r="U141" i="2" s="1"/>
  <c r="Q28" i="2"/>
  <c r="Q141" i="2" s="1"/>
  <c r="P28" i="2"/>
  <c r="P141" i="2" s="1"/>
  <c r="O28" i="2"/>
  <c r="O141" i="2" s="1"/>
  <c r="K28" i="2"/>
  <c r="K141" i="2" s="1"/>
  <c r="G28" i="2"/>
  <c r="G141" i="2" s="1"/>
  <c r="F28" i="2"/>
  <c r="F141" i="2" s="1"/>
  <c r="E28" i="2"/>
  <c r="E141" i="2" s="1"/>
  <c r="P27" i="2"/>
  <c r="O27" i="2"/>
  <c r="O26" i="2" s="1"/>
  <c r="G27" i="2"/>
  <c r="F27" i="2"/>
  <c r="E27" i="2"/>
  <c r="L24" i="2"/>
  <c r="K24" i="2"/>
  <c r="J24" i="2"/>
  <c r="I24" i="2"/>
  <c r="H24" i="2"/>
  <c r="G24" i="2"/>
  <c r="F24" i="2"/>
  <c r="E24" i="2"/>
  <c r="D24" i="2"/>
  <c r="L23" i="2"/>
  <c r="L147" i="2" s="1"/>
  <c r="K23" i="2"/>
  <c r="K147" i="2" s="1"/>
  <c r="J23" i="2"/>
  <c r="J147" i="2" s="1"/>
  <c r="I23" i="2"/>
  <c r="I147" i="2" s="1"/>
  <c r="H23" i="2"/>
  <c r="H147" i="2" s="1"/>
  <c r="G23" i="2"/>
  <c r="G147" i="2" s="1"/>
  <c r="F23" i="2"/>
  <c r="F147" i="2" s="1"/>
  <c r="E23" i="2"/>
  <c r="E147" i="2" s="1"/>
  <c r="D23" i="2"/>
  <c r="D147" i="2" s="1"/>
  <c r="C23" i="2"/>
  <c r="C147" i="2" s="1"/>
  <c r="L22" i="2"/>
  <c r="K22" i="2"/>
  <c r="J22" i="2"/>
  <c r="I22" i="2"/>
  <c r="H22" i="2"/>
  <c r="G22" i="2"/>
  <c r="F22" i="2"/>
  <c r="E22" i="2"/>
  <c r="D22" i="2"/>
  <c r="C22" i="2"/>
  <c r="W21" i="2"/>
  <c r="V21" i="2"/>
  <c r="U21" i="2"/>
  <c r="S21" i="2"/>
  <c r="R21" i="2"/>
  <c r="Q21" i="2"/>
  <c r="P21" i="2"/>
  <c r="O21" i="2"/>
  <c r="N21" i="2"/>
  <c r="M21" i="2"/>
  <c r="L16" i="2"/>
  <c r="L17" i="2" s="1"/>
  <c r="K16" i="2"/>
  <c r="K17" i="2" s="1"/>
  <c r="J16" i="2"/>
  <c r="J17" i="2" s="1"/>
  <c r="I16" i="2"/>
  <c r="I17" i="2" s="1"/>
  <c r="H16" i="2"/>
  <c r="H17" i="2" s="1"/>
  <c r="G16" i="2"/>
  <c r="G17" i="2" s="1"/>
  <c r="F16" i="2"/>
  <c r="F17" i="2" s="1"/>
  <c r="E16" i="2"/>
  <c r="E17" i="2" s="1"/>
  <c r="D16" i="2"/>
  <c r="D17" i="2" s="1"/>
  <c r="C16" i="2"/>
  <c r="C17" i="2" s="1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L8" i="2"/>
  <c r="K8" i="2"/>
  <c r="J8" i="2"/>
  <c r="I8" i="2"/>
  <c r="H8" i="2"/>
  <c r="G8" i="2"/>
  <c r="F8" i="2"/>
  <c r="E8" i="2"/>
  <c r="D8" i="2"/>
  <c r="C8" i="2"/>
  <c r="L141" i="2" l="1"/>
  <c r="L27" i="2"/>
  <c r="V141" i="2"/>
  <c r="V27" i="2"/>
  <c r="N141" i="2"/>
  <c r="N27" i="2"/>
  <c r="D141" i="2"/>
  <c r="D27" i="2"/>
  <c r="I141" i="2"/>
  <c r="I27" i="2"/>
  <c r="S141" i="2"/>
  <c r="S27" i="2"/>
  <c r="X34" i="2"/>
  <c r="X33" i="2" s="1"/>
  <c r="J141" i="2"/>
  <c r="J27" i="2"/>
  <c r="T141" i="2"/>
  <c r="T27" i="2"/>
  <c r="H57" i="2"/>
  <c r="C138" i="2"/>
  <c r="M138" i="2"/>
  <c r="H28" i="2"/>
  <c r="R28" i="2"/>
  <c r="D138" i="2"/>
  <c r="N138" i="2"/>
  <c r="E138" i="2"/>
  <c r="I11" i="5"/>
  <c r="K27" i="2"/>
  <c r="U27" i="2"/>
  <c r="K57" i="2"/>
  <c r="J11" i="5"/>
  <c r="G138" i="2"/>
  <c r="C57" i="2"/>
  <c r="M57" i="2"/>
  <c r="P127" i="2"/>
  <c r="P137" i="2" s="1"/>
  <c r="H138" i="2"/>
  <c r="C28" i="2"/>
  <c r="M28" i="2"/>
  <c r="W28" i="2"/>
  <c r="D57" i="2"/>
  <c r="N57" i="2"/>
  <c r="F127" i="2"/>
  <c r="H126" i="2" s="1"/>
  <c r="Q127" i="2"/>
  <c r="R153" i="2" s="1"/>
  <c r="I138" i="2"/>
  <c r="W120" i="2"/>
  <c r="W119" i="2" s="1"/>
  <c r="X119" i="2" s="1"/>
  <c r="Y119" i="2" s="1"/>
  <c r="G127" i="2"/>
  <c r="G148" i="2" s="1"/>
  <c r="J138" i="2"/>
  <c r="K138" i="2"/>
  <c r="G57" i="2"/>
  <c r="I127" i="2"/>
  <c r="K126" i="2" s="1"/>
  <c r="L138" i="2"/>
  <c r="V138" i="2"/>
  <c r="F9" i="5"/>
  <c r="OH20" i="3"/>
  <c r="OH25" i="3"/>
  <c r="OI20" i="3"/>
  <c r="W135" i="2"/>
  <c r="W138" i="2"/>
  <c r="U127" i="2"/>
  <c r="U138" i="2"/>
  <c r="T127" i="2"/>
  <c r="T138" i="2"/>
  <c r="S127" i="2"/>
  <c r="S138" i="2" s="1"/>
  <c r="R127" i="2"/>
  <c r="R138" i="2" s="1"/>
  <c r="O127" i="2"/>
  <c r="O138" i="2" s="1"/>
  <c r="AC6" i="5"/>
  <c r="W148" i="2"/>
  <c r="AB6" i="5"/>
  <c r="V148" i="2"/>
  <c r="W153" i="2"/>
  <c r="V137" i="2"/>
  <c r="N137" i="2"/>
  <c r="N148" i="2"/>
  <c r="O153" i="2"/>
  <c r="T6" i="5"/>
  <c r="M137" i="2"/>
  <c r="M148" i="2"/>
  <c r="S6" i="5"/>
  <c r="N153" i="2"/>
  <c r="L150" i="2"/>
  <c r="L137" i="2"/>
  <c r="M153" i="2"/>
  <c r="R6" i="5"/>
  <c r="L148" i="2"/>
  <c r="K137" i="2"/>
  <c r="L153" i="2"/>
  <c r="Q6" i="5"/>
  <c r="K148" i="2"/>
  <c r="K150" i="2"/>
  <c r="J137" i="2"/>
  <c r="K153" i="2"/>
  <c r="P6" i="5"/>
  <c r="J148" i="2"/>
  <c r="J150" i="2"/>
  <c r="H137" i="2"/>
  <c r="I153" i="2"/>
  <c r="H148" i="2"/>
  <c r="H150" i="2"/>
  <c r="N6" i="5"/>
  <c r="G150" i="2"/>
  <c r="H153" i="2"/>
  <c r="G137" i="2"/>
  <c r="F137" i="2"/>
  <c r="F148" i="2"/>
  <c r="L6" i="5"/>
  <c r="G153" i="2"/>
  <c r="E150" i="2"/>
  <c r="K6" i="5"/>
  <c r="F153" i="2"/>
  <c r="E137" i="2"/>
  <c r="E148" i="2"/>
  <c r="E153" i="2"/>
  <c r="J6" i="5"/>
  <c r="D148" i="2"/>
  <c r="D150" i="2"/>
  <c r="D137" i="2"/>
  <c r="C150" i="2"/>
  <c r="D153" i="2"/>
  <c r="I6" i="5"/>
  <c r="C148" i="2"/>
  <c r="C137" i="2"/>
  <c r="T110" i="2"/>
  <c r="T111" i="2" s="1"/>
  <c r="T115" i="2"/>
  <c r="T116" i="2" s="1"/>
  <c r="T107" i="2"/>
  <c r="R115" i="2"/>
  <c r="R116" i="2" s="1"/>
  <c r="R107" i="2"/>
  <c r="R110" i="2"/>
  <c r="R111" i="2" s="1"/>
  <c r="Q110" i="2"/>
  <c r="Q111" i="2" s="1"/>
  <c r="Q107" i="2"/>
  <c r="Q115" i="2"/>
  <c r="Q116" i="2" s="1"/>
  <c r="O107" i="2"/>
  <c r="O115" i="2"/>
  <c r="O116" i="2" s="1"/>
  <c r="O110" i="2"/>
  <c r="O111" i="2" s="1"/>
  <c r="N115" i="2"/>
  <c r="N116" i="2" s="1"/>
  <c r="N110" i="2"/>
  <c r="N111" i="2" s="1"/>
  <c r="M115" i="2"/>
  <c r="M116" i="2" s="1"/>
  <c r="M110" i="2"/>
  <c r="M111" i="2" s="1"/>
  <c r="L109" i="2"/>
  <c r="L110" i="2"/>
  <c r="L111" i="2" s="1"/>
  <c r="L115" i="2"/>
  <c r="L116" i="2" s="1"/>
  <c r="K109" i="2"/>
  <c r="K110" i="2"/>
  <c r="K111" i="2" s="1"/>
  <c r="K115" i="2"/>
  <c r="K116" i="2" s="1"/>
  <c r="J115" i="2"/>
  <c r="J116" i="2" s="1"/>
  <c r="J109" i="2"/>
  <c r="J110" i="2"/>
  <c r="J111" i="2" s="1"/>
  <c r="I115" i="2"/>
  <c r="I116" i="2" s="1"/>
  <c r="I109" i="2"/>
  <c r="I110" i="2"/>
  <c r="I111" i="2" s="1"/>
  <c r="H115" i="2"/>
  <c r="H116" i="2" s="1"/>
  <c r="H109" i="2"/>
  <c r="H110" i="2"/>
  <c r="H111" i="2" s="1"/>
  <c r="G115" i="2"/>
  <c r="G116" i="2" s="1"/>
  <c r="G109" i="2"/>
  <c r="G110" i="2"/>
  <c r="G111" i="2" s="1"/>
  <c r="F110" i="2"/>
  <c r="F111" i="2" s="1"/>
  <c r="F115" i="2"/>
  <c r="F116" i="2" s="1"/>
  <c r="F109" i="2"/>
  <c r="E115" i="2"/>
  <c r="E116" i="2" s="1"/>
  <c r="E110" i="2"/>
  <c r="E111" i="2" s="1"/>
  <c r="E109" i="2"/>
  <c r="D109" i="2"/>
  <c r="D115" i="2"/>
  <c r="D116" i="2" s="1"/>
  <c r="D110" i="2"/>
  <c r="D111" i="2" s="1"/>
  <c r="C109" i="2"/>
  <c r="C115" i="2"/>
  <c r="C116" i="2" s="1"/>
  <c r="C110" i="2"/>
  <c r="C111" i="2" s="1"/>
  <c r="AC8" i="5"/>
  <c r="W88" i="2"/>
  <c r="AB8" i="5"/>
  <c r="V88" i="2"/>
  <c r="AA8" i="5"/>
  <c r="U88" i="2"/>
  <c r="T88" i="2"/>
  <c r="Z8" i="5"/>
  <c r="S88" i="2"/>
  <c r="Y8" i="5"/>
  <c r="X8" i="5"/>
  <c r="R88" i="2"/>
  <c r="W8" i="5"/>
  <c r="Q88" i="2"/>
  <c r="P88" i="2"/>
  <c r="V8" i="5"/>
  <c r="U8" i="5"/>
  <c r="O88" i="2"/>
  <c r="T8" i="5"/>
  <c r="N88" i="2"/>
  <c r="S8" i="5"/>
  <c r="M88" i="2"/>
  <c r="L88" i="2"/>
  <c r="R8" i="5"/>
  <c r="K88" i="2"/>
  <c r="Q8" i="5"/>
  <c r="P8" i="5"/>
  <c r="J88" i="2"/>
  <c r="I88" i="2"/>
  <c r="O8" i="5"/>
  <c r="H88" i="2"/>
  <c r="N8" i="5"/>
  <c r="G88" i="2"/>
  <c r="M8" i="5"/>
  <c r="F88" i="2"/>
  <c r="L8" i="5"/>
  <c r="E88" i="2"/>
  <c r="K8" i="5"/>
  <c r="K9" i="5" s="1"/>
  <c r="K12" i="5" s="1"/>
  <c r="J8" i="5"/>
  <c r="J9" i="5" s="1"/>
  <c r="J12" i="5" s="1"/>
  <c r="D88" i="2"/>
  <c r="I8" i="5"/>
  <c r="I9" i="5" s="1"/>
  <c r="C88" i="2"/>
  <c r="X83" i="2"/>
  <c r="AA84" i="2"/>
  <c r="W70" i="2"/>
  <c r="W65" i="2"/>
  <c r="W154" i="2"/>
  <c r="V65" i="2"/>
  <c r="V70" i="2"/>
  <c r="U70" i="2"/>
  <c r="V154" i="2"/>
  <c r="U65" i="2"/>
  <c r="T70" i="2"/>
  <c r="U154" i="2"/>
  <c r="T65" i="2"/>
  <c r="T154" i="2"/>
  <c r="S65" i="2"/>
  <c r="S70" i="2"/>
  <c r="R70" i="2"/>
  <c r="S154" i="2"/>
  <c r="R65" i="2"/>
  <c r="Q70" i="2"/>
  <c r="R154" i="2"/>
  <c r="Q65" i="2"/>
  <c r="Q154" i="2"/>
  <c r="P65" i="2"/>
  <c r="O70" i="2"/>
  <c r="O65" i="2"/>
  <c r="P154" i="2"/>
  <c r="N65" i="2"/>
  <c r="O67" i="2" s="1"/>
  <c r="O154" i="2"/>
  <c r="M65" i="2"/>
  <c r="N154" i="2"/>
  <c r="W57" i="2"/>
  <c r="X42" i="2"/>
  <c r="Y40" i="2"/>
  <c r="W41" i="2"/>
  <c r="AC3" i="5"/>
  <c r="W22" i="2"/>
  <c r="W24" i="2"/>
  <c r="AB3" i="5"/>
  <c r="V22" i="2"/>
  <c r="W23" i="2"/>
  <c r="V24" i="2"/>
  <c r="U23" i="2"/>
  <c r="U22" i="2"/>
  <c r="AA3" i="5"/>
  <c r="V23" i="2"/>
  <c r="U24" i="2"/>
  <c r="Y3" i="5"/>
  <c r="T22" i="2"/>
  <c r="S24" i="2"/>
  <c r="T23" i="2"/>
  <c r="T109" i="2" s="1"/>
  <c r="S22" i="2"/>
  <c r="T24" i="2"/>
  <c r="R22" i="2"/>
  <c r="S23" i="2"/>
  <c r="X3" i="5"/>
  <c r="R24" i="2"/>
  <c r="R23" i="2"/>
  <c r="R109" i="2" s="1"/>
  <c r="Q24" i="2"/>
  <c r="W3" i="5"/>
  <c r="Q22" i="2"/>
  <c r="P22" i="2"/>
  <c r="V3" i="5"/>
  <c r="Q23" i="2"/>
  <c r="Q109" i="2" s="1"/>
  <c r="P24" i="2"/>
  <c r="O22" i="2"/>
  <c r="O24" i="2"/>
  <c r="U3" i="5"/>
  <c r="P23" i="2"/>
  <c r="N145" i="2"/>
  <c r="N24" i="2"/>
  <c r="O23" i="2"/>
  <c r="O109" i="2" s="1"/>
  <c r="T3" i="5"/>
  <c r="N22" i="2"/>
  <c r="N23" i="2"/>
  <c r="N109" i="2" s="1"/>
  <c r="S3" i="5"/>
  <c r="M145" i="2"/>
  <c r="M24" i="2"/>
  <c r="M23" i="2"/>
  <c r="M109" i="2" s="1"/>
  <c r="M22" i="2"/>
  <c r="W12" i="2"/>
  <c r="W11" i="2"/>
  <c r="V11" i="2"/>
  <c r="V12" i="2"/>
  <c r="U11" i="2"/>
  <c r="U12" i="2"/>
  <c r="T12" i="2"/>
  <c r="T11" i="2"/>
  <c r="S11" i="2"/>
  <c r="S12" i="2"/>
  <c r="R11" i="2"/>
  <c r="R12" i="2"/>
  <c r="Q12" i="2"/>
  <c r="Q11" i="2"/>
  <c r="P12" i="2"/>
  <c r="P11" i="2"/>
  <c r="O12" i="2"/>
  <c r="O11" i="2"/>
  <c r="N11" i="2"/>
  <c r="N12" i="2"/>
  <c r="M11" i="2"/>
  <c r="M12" i="2"/>
  <c r="L12" i="2"/>
  <c r="L11" i="2"/>
  <c r="K11" i="2"/>
  <c r="K12" i="2"/>
  <c r="J11" i="2"/>
  <c r="J12" i="2"/>
  <c r="I11" i="2"/>
  <c r="I12" i="2"/>
  <c r="H11" i="2"/>
  <c r="H12" i="2"/>
  <c r="G11" i="2"/>
  <c r="G12" i="2"/>
  <c r="F12" i="2"/>
  <c r="F11" i="2"/>
  <c r="E11" i="2"/>
  <c r="E12" i="2"/>
  <c r="D11" i="2"/>
  <c r="D12" i="2"/>
  <c r="C11" i="2"/>
  <c r="C12" i="2"/>
  <c r="Q153" i="2" l="1"/>
  <c r="J153" i="2"/>
  <c r="W6" i="5"/>
  <c r="C141" i="2"/>
  <c r="C27" i="2"/>
  <c r="F150" i="2"/>
  <c r="Q148" i="2"/>
  <c r="P148" i="2"/>
  <c r="M6" i="5"/>
  <c r="S7" i="5" s="1"/>
  <c r="I148" i="2"/>
  <c r="Q137" i="2"/>
  <c r="P57" i="2"/>
  <c r="W141" i="2"/>
  <c r="W27" i="2"/>
  <c r="P138" i="2"/>
  <c r="R141" i="2"/>
  <c r="R27" i="2"/>
  <c r="V6" i="5"/>
  <c r="X7" i="5" s="1"/>
  <c r="AA9" i="5" s="1"/>
  <c r="Q57" i="2"/>
  <c r="Q138" i="2"/>
  <c r="I150" i="2"/>
  <c r="O6" i="5"/>
  <c r="I57" i="2"/>
  <c r="I12" i="5"/>
  <c r="I137" i="2"/>
  <c r="F57" i="2"/>
  <c r="M141" i="2"/>
  <c r="M27" i="2"/>
  <c r="F138" i="2"/>
  <c r="H141" i="2"/>
  <c r="H27" i="2"/>
  <c r="U57" i="2"/>
  <c r="AA6" i="5"/>
  <c r="U148" i="2"/>
  <c r="V153" i="2"/>
  <c r="U137" i="2"/>
  <c r="T57" i="2"/>
  <c r="T148" i="2"/>
  <c r="T150" i="2"/>
  <c r="U153" i="2"/>
  <c r="T137" i="2"/>
  <c r="Z6" i="5"/>
  <c r="S57" i="2"/>
  <c r="Y6" i="5"/>
  <c r="S148" i="2"/>
  <c r="S150" i="2"/>
  <c r="T153" i="2"/>
  <c r="S137" i="2"/>
  <c r="R57" i="2"/>
  <c r="R137" i="2"/>
  <c r="R148" i="2"/>
  <c r="R150" i="2"/>
  <c r="S153" i="2"/>
  <c r="X6" i="5"/>
  <c r="O57" i="2"/>
  <c r="U6" i="5"/>
  <c r="V7" i="5" s="1"/>
  <c r="Y9" i="5" s="1"/>
  <c r="AB11" i="5" s="1"/>
  <c r="O148" i="2"/>
  <c r="O150" i="2"/>
  <c r="P153" i="2"/>
  <c r="O137" i="2"/>
  <c r="I7" i="5"/>
  <c r="J7" i="5"/>
  <c r="K7" i="5"/>
  <c r="L7" i="5"/>
  <c r="M7" i="5"/>
  <c r="N7" i="5"/>
  <c r="O7" i="5"/>
  <c r="P7" i="5"/>
  <c r="Q7" i="5"/>
  <c r="R7" i="5"/>
  <c r="W7" i="5"/>
  <c r="Z9" i="5" s="1"/>
  <c r="AC11" i="5" s="1"/>
  <c r="Y7" i="5"/>
  <c r="AB9" i="5" s="1"/>
  <c r="Z7" i="5"/>
  <c r="AC9" i="5" s="1"/>
  <c r="Z83" i="2"/>
  <c r="Y84" i="2"/>
  <c r="X65" i="2"/>
  <c r="X84" i="2" s="1"/>
  <c r="W66" i="2"/>
  <c r="V66" i="2"/>
  <c r="W67" i="2"/>
  <c r="V67" i="2"/>
  <c r="U66" i="2"/>
  <c r="U67" i="2"/>
  <c r="T66" i="2"/>
  <c r="S66" i="2"/>
  <c r="T67" i="2"/>
  <c r="R66" i="2"/>
  <c r="S67" i="2"/>
  <c r="Q62" i="2"/>
  <c r="Q66" i="2"/>
  <c r="R67" i="2"/>
  <c r="Q67" i="2"/>
  <c r="P66" i="2"/>
  <c r="P67" i="2"/>
  <c r="Y66" i="2"/>
  <c r="M67" i="2"/>
  <c r="N67" i="2"/>
  <c r="W147" i="2"/>
  <c r="W150" i="2" s="1"/>
  <c r="W8" i="2"/>
  <c r="W16" i="2"/>
  <c r="W17" i="2" s="1"/>
  <c r="W109" i="2"/>
  <c r="U147" i="2"/>
  <c r="U150" i="2" s="1"/>
  <c r="U109" i="2"/>
  <c r="U8" i="2"/>
  <c r="U16" i="2"/>
  <c r="U17" i="2" s="1"/>
  <c r="V147" i="2"/>
  <c r="V150" i="2" s="1"/>
  <c r="V109" i="2"/>
  <c r="V8" i="2"/>
  <c r="V16" i="2"/>
  <c r="T147" i="2"/>
  <c r="T8" i="2"/>
  <c r="T16" i="2"/>
  <c r="S147" i="2"/>
  <c r="S8" i="2"/>
  <c r="S109" i="2"/>
  <c r="S16" i="2"/>
  <c r="R147" i="2"/>
  <c r="R16" i="2"/>
  <c r="R8" i="2"/>
  <c r="Q147" i="2"/>
  <c r="Q150" i="2" s="1"/>
  <c r="Q8" i="2"/>
  <c r="Q16" i="2"/>
  <c r="P147" i="2"/>
  <c r="P150" i="2" s="1"/>
  <c r="P109" i="2"/>
  <c r="P16" i="2"/>
  <c r="P17" i="2" s="1"/>
  <c r="P8" i="2"/>
  <c r="O147" i="2"/>
  <c r="O16" i="2"/>
  <c r="O8" i="2"/>
  <c r="N147" i="2"/>
  <c r="N150" i="2" s="1"/>
  <c r="N8" i="2"/>
  <c r="N16" i="2"/>
  <c r="M147" i="2"/>
  <c r="M150" i="2" s="1"/>
  <c r="M16" i="2"/>
  <c r="M17" i="2" s="1"/>
  <c r="M8" i="2"/>
  <c r="AB7" i="5" l="1"/>
  <c r="AA7" i="5"/>
  <c r="X27" i="2"/>
  <c r="W26" i="2"/>
  <c r="U7" i="5"/>
  <c r="X11" i="5" s="1"/>
  <c r="T7" i="5"/>
  <c r="W11" i="5" s="1"/>
  <c r="AC7" i="5"/>
  <c r="L9" i="5"/>
  <c r="L11" i="5"/>
  <c r="M9" i="5"/>
  <c r="M11" i="5"/>
  <c r="N9" i="5"/>
  <c r="N11" i="5"/>
  <c r="O9" i="5"/>
  <c r="O11" i="5"/>
  <c r="P9" i="5"/>
  <c r="P11" i="5"/>
  <c r="Q9" i="5"/>
  <c r="Q11" i="5"/>
  <c r="R9" i="5"/>
  <c r="R11" i="5"/>
  <c r="S9" i="5"/>
  <c r="S11" i="5"/>
  <c r="T9" i="5"/>
  <c r="T11" i="5"/>
  <c r="U9" i="5"/>
  <c r="U11" i="5"/>
  <c r="V9" i="5"/>
  <c r="V11" i="5"/>
  <c r="W9" i="5"/>
  <c r="X40" i="2"/>
  <c r="Y42" i="2"/>
  <c r="X67" i="2"/>
  <c r="X68" i="2" s="1"/>
  <c r="X11" i="2" s="1"/>
  <c r="V17" i="2"/>
  <c r="T17" i="2"/>
  <c r="S17" i="2"/>
  <c r="R17" i="2"/>
  <c r="Q17" i="2"/>
  <c r="O17" i="2"/>
  <c r="N17" i="2"/>
  <c r="X9" i="5" l="1"/>
  <c r="V12" i="5"/>
  <c r="Y11" i="5"/>
  <c r="W12" i="5"/>
  <c r="Z11" i="5"/>
  <c r="X12" i="5"/>
  <c r="AA11" i="5"/>
  <c r="T12" i="5"/>
  <c r="U12" i="5"/>
  <c r="L12" i="5"/>
  <c r="M12" i="5"/>
  <c r="N12" i="5"/>
  <c r="O12" i="5"/>
  <c r="P12" i="5"/>
  <c r="Q12" i="5"/>
  <c r="R12" i="5"/>
  <c r="S12" i="5"/>
  <c r="V17" i="5" l="1"/>
  <c r="V18" i="5"/>
  <c r="W17" i="5"/>
  <c r="W18" i="5"/>
  <c r="X17" i="5"/>
  <c r="X18" i="5"/>
  <c r="U17" i="5"/>
  <c r="U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06" authorId="0" shapeId="0" xr:uid="{00000000-0006-0000-0100-000001000000}">
      <text>
        <r>
          <rPr>
            <sz val="12"/>
            <color theme="1"/>
            <rFont val="Aptos Narrow"/>
            <scheme val="minor"/>
          </rPr>
          <t>======
ID#AAAB_2RLnak
Auvrey Reyes    (2026-03-03 03:23:47)
Hard code from monthly, need to go back to daily why it doesn't sum up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9aLo+I9nnf3wXbE3g8m3EVMOY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I8" authorId="0" shapeId="0" xr:uid="{00000000-0006-0000-0200-000003000000}">
      <text>
        <r>
          <rPr>
            <sz val="12"/>
            <color theme="1"/>
            <rFont val="Aptos Narrow"/>
            <scheme val="minor"/>
          </rPr>
          <t>======
ID#AAAB_bwUKgs
tc={D3E368D5-812D-43D1-85CA-9611AC584FD5}    (2026-07-09 03:32:30)
[Threaded comment]
Your version of Excel allows you to read this threaded comment; however, any edits to it will get removed if the file is opened in a newer version of Excel. Learn more: https://go.microsoft.com/fwlink/?linkid=870924
Comment:
    Same as I2C</t>
        </r>
      </text>
    </comment>
    <comment ref="UJ8" authorId="0" shapeId="0" xr:uid="{00000000-0006-0000-0200-000004000000}">
      <text>
        <r>
          <rPr>
            <sz val="12"/>
            <color theme="1"/>
            <rFont val="Aptos Narrow"/>
            <scheme val="minor"/>
          </rPr>
          <t>======
ID#AAAB_bwUKgo
tc={088B8DA9-16F2-411E-B716-CF7CA2FA31FA}    (2026-07-09 03:32:30)
[Threaded comment]
Your version of Excel allows you to read this threaded comment; however, any edits to it will get removed if the file is opened in a newer version of Excel. Learn more: https://go.microsoft.com/fwlink/?linkid=870924
Comment:
    Same as I2C</t>
        </r>
      </text>
    </comment>
    <comment ref="UK8" authorId="0" shapeId="0" xr:uid="{00000000-0006-0000-0200-000005000000}">
      <text>
        <r>
          <rPr>
            <sz val="12"/>
            <color theme="1"/>
            <rFont val="Aptos Narrow"/>
            <scheme val="minor"/>
          </rPr>
          <t>======
ID#AAAB_niTbO0
Donn Hernandez    (2026-07-10 09:31:17)
same as I2C</t>
        </r>
      </text>
    </comment>
    <comment ref="UL8" authorId="0" shapeId="0" xr:uid="{00000000-0006-0000-0200-000006000000}">
      <text>
        <r>
          <rPr>
            <sz val="12"/>
            <color theme="1"/>
            <rFont val="Aptos Narrow"/>
            <scheme val="minor"/>
          </rPr>
          <t>======
ID#AAAB_8nZlaI
Donn Hernandez    (2026-07-13 10:00:53)
same as I2C</t>
        </r>
      </text>
    </comment>
    <comment ref="UM8" authorId="0" shapeId="0" xr:uid="{00000000-0006-0000-0200-000007000000}">
      <text>
        <r>
          <rPr>
            <sz val="12"/>
            <color theme="1"/>
            <rFont val="Aptos Narrow"/>
            <scheme val="minor"/>
          </rPr>
          <t>======
ID#AAAB_8nZlaM
Donn Hernandez    (2026-07-13 10:00:53)
same</t>
        </r>
      </text>
    </comment>
    <comment ref="UN8" authorId="0" shapeId="0" xr:uid="{00000000-0006-0000-0200-000008000000}">
      <text>
        <r>
          <rPr>
            <sz val="12"/>
            <color theme="1"/>
            <rFont val="Aptos Narrow"/>
            <scheme val="minor"/>
          </rPr>
          <t>======
ID#AAAB_8nZlaE
Donn Hernandez    (2026-07-13 10:00:53)
same</t>
        </r>
      </text>
    </comment>
    <comment ref="UO8" authorId="0" shapeId="0" xr:uid="{00000000-0006-0000-0200-000009000000}">
      <text>
        <r>
          <rPr>
            <sz val="12"/>
            <color theme="1"/>
            <rFont val="Aptos Narrow"/>
            <scheme val="minor"/>
          </rPr>
          <t>======
ID#AAAB-3e85FY
Donn Hernandez    (2026-07-14 06:30:51)
11,541in i2c</t>
        </r>
      </text>
    </comment>
    <comment ref="UP8" authorId="0" shapeId="0" xr:uid="{00000000-0006-0000-0200-00000A000000}">
      <text>
        <r>
          <rPr>
            <sz val="12"/>
            <color theme="1"/>
            <rFont val="Aptos Narrow"/>
            <scheme val="minor"/>
          </rPr>
          <t>======
ID#AAACACZKNLE
Donn Hernandez    (2026-07-15 04:05:25)
11541 in i2c</t>
        </r>
      </text>
    </comment>
    <comment ref="UQ8" authorId="0" shapeId="0" xr:uid="{00000000-0006-0000-0200-00000B000000}">
      <text>
        <r>
          <rPr>
            <sz val="12"/>
            <color theme="1"/>
            <rFont val="Aptos Narrow"/>
            <scheme val="minor"/>
          </rPr>
          <t>======
ID#AAACAEEm5qo
Donn Hernandez    (2026-07-16 07:04:51)
11585 in i2c</t>
        </r>
      </text>
    </comment>
    <comment ref="UR8" authorId="0" shapeId="0" xr:uid="{00000000-0006-0000-0200-00000C000000}">
      <text>
        <r>
          <rPr>
            <sz val="12"/>
            <color theme="1"/>
            <rFont val="Aptos Narrow"/>
            <scheme val="minor"/>
          </rPr>
          <t>======
ID#AAACDksRNzA
Donn Hernandez    (2026-07-20 11:07:53)
11597</t>
        </r>
      </text>
    </comment>
    <comment ref="US8" authorId="0" shapeId="0" xr:uid="{00000000-0006-0000-0200-00000D000000}">
      <text>
        <r>
          <rPr>
            <sz val="12"/>
            <color theme="1"/>
            <rFont val="Aptos Narrow"/>
            <scheme val="minor"/>
          </rPr>
          <t>======
ID#AAACDn4Xyz0
Donn Hernandez    (2026-07-21 06:15:44)
11609</t>
        </r>
      </text>
    </comment>
    <comment ref="UT8" authorId="0" shapeId="0" xr:uid="{00000000-0006-0000-0200-00000E000000}">
      <text>
        <r>
          <rPr>
            <sz val="12"/>
            <color theme="1"/>
            <rFont val="Aptos Narrow"/>
            <scheme val="minor"/>
          </rPr>
          <t>======
ID#AAACDksRNzE
Donn Hernandez    (2026-07-20 11:07:53)
11609</t>
        </r>
      </text>
    </comment>
    <comment ref="UU8" authorId="0" shapeId="0" xr:uid="{00000000-0006-0000-0200-00000F000000}">
      <text>
        <r>
          <rPr>
            <sz val="12"/>
            <color theme="1"/>
            <rFont val="Aptos Narrow"/>
            <scheme val="minor"/>
          </rPr>
          <t>======
ID#AAACDksRNy8
Donn Hernandez    (2026-07-20 11:07:53)
11609</t>
        </r>
      </text>
    </comment>
    <comment ref="UV8" authorId="0" shapeId="0" xr:uid="{00000000-0006-0000-0200-000010000000}">
      <text>
        <r>
          <rPr>
            <sz val="12"/>
            <color theme="1"/>
            <rFont val="Aptos Narrow"/>
            <scheme val="minor"/>
          </rPr>
          <t>======
ID#AAACDksRNy4
Donn Hernandez    (2026-07-20 11:07:53)
11609</t>
        </r>
      </text>
    </comment>
    <comment ref="UW8" authorId="0" shapeId="0" xr:uid="{00000000-0006-0000-0200-000011000000}">
      <text>
        <r>
          <rPr>
            <sz val="12"/>
            <color theme="1"/>
            <rFont val="Aptos Narrow"/>
            <scheme val="minor"/>
          </rPr>
          <t>======
ID#AAAB_dERnH4
Donn Hernandez    (2026-07-23 03:30:46)
11913</t>
        </r>
      </text>
    </comment>
    <comment ref="UX8" authorId="0" shapeId="0" xr:uid="{00000000-0006-0000-0200-000012000000}">
      <text>
        <r>
          <rPr>
            <sz val="12"/>
            <color theme="1"/>
            <rFont val="Aptos Narrow"/>
            <scheme val="minor"/>
          </rPr>
          <t>======
ID#AAAB_dERnH0
    (2026-07-23 03:30:46)
11943 from i2c report</t>
        </r>
      </text>
    </comment>
    <comment ref="UY8" authorId="0" shapeId="0" xr:uid="{00000000-0006-0000-0200-000013000000}">
      <text>
        <r>
          <rPr>
            <sz val="12"/>
            <color theme="1"/>
            <rFont val="Aptos Narrow"/>
            <scheme val="minor"/>
          </rPr>
          <t>======
ID#AAACD6aHpoE
Donn Hernandez    (2026-07-24 07:21:19)
12026</t>
        </r>
      </text>
    </comment>
    <comment ref="UZ8" authorId="0" shapeId="0" xr:uid="{00000000-0006-0000-0200-000014000000}">
      <text>
        <r>
          <rPr>
            <sz val="12"/>
            <color theme="1"/>
            <rFont val="Aptos Narrow"/>
            <scheme val="minor"/>
          </rPr>
          <t>======
ID#AAACD9Z75kk
Donn Hernandez    (2026-07-24 07:21:19)
12026</t>
        </r>
      </text>
    </comment>
    <comment ref="VA8" authorId="0" shapeId="0" xr:uid="{00000000-0006-0000-0200-000015000000}">
      <text>
        <r>
          <rPr>
            <sz val="12"/>
            <color theme="1"/>
            <rFont val="Aptos Narrow"/>
            <scheme val="minor"/>
          </rPr>
          <t>======
ID#AAACD9bMBGI
Donn Hernandez    (2026-07-24 07:21:19)
12026</t>
        </r>
      </text>
    </comment>
    <comment ref="VB8" authorId="0" shapeId="0" xr:uid="{00000000-0006-0000-0200-000016000000}">
      <text>
        <r>
          <rPr>
            <sz val="12"/>
            <color theme="1"/>
            <rFont val="Aptos Narrow"/>
            <scheme val="minor"/>
          </rPr>
          <t>======
ID#AAACD9Z75ko
Donn Hernandez    (2026-07-24 07:21:19)
12026</t>
        </r>
      </text>
    </comment>
    <comment ref="VC8" authorId="0" shapeId="0" xr:uid="{00000000-0006-0000-0200-000017000000}">
      <text>
        <r>
          <rPr>
            <sz val="12"/>
            <color theme="1"/>
            <rFont val="Aptos Narrow"/>
            <scheme val="minor"/>
          </rPr>
          <t>======
ID#AAACEKanXQI
Donn Hernandez    (2026-07-28 03:20:44)
same</t>
        </r>
      </text>
    </comment>
    <comment ref="WQ8" authorId="0" shapeId="0" xr:uid="{00000000-0006-0000-0200-000018000000}">
      <text>
        <r>
          <rPr>
            <sz val="12"/>
            <color theme="1"/>
            <rFont val="Aptos Narrow"/>
            <scheme val="minor"/>
          </rPr>
          <t>======
ID#AAACGigKVxA
KPI Daily    (2026-09-07 08:08:44)
i2C DCSS NNB Active: same</t>
        </r>
      </text>
    </comment>
    <comment ref="WR8" authorId="0" shapeId="0" xr:uid="{00000000-0006-0000-0200-000001000000}">
      <text>
        <r>
          <rPr>
            <sz val="12"/>
            <color theme="1"/>
            <rFont val="Aptos Narrow"/>
            <scheme val="minor"/>
          </rPr>
          <t>======
ID#AAACGigKVxE
KPI Daily    (2026-09-07 08:08:44)
i2C DCSS NNB Active: same</t>
        </r>
      </text>
    </comment>
    <comment ref="WS8" authorId="0" shapeId="0" xr:uid="{00000000-0006-0000-0200-000002000000}">
      <text>
        <r>
          <rPr>
            <sz val="12"/>
            <color theme="1"/>
            <rFont val="Aptos Narrow"/>
            <scheme val="minor"/>
          </rPr>
          <t>======
ID#AAACGigKVw8
KPI Daily    (2026-09-07 08:08:44)
i2C DCSS NNB Active: same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HrsjHlKU74GoLy6R7xJc29joAR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300-000001000000}">
      <text>
        <r>
          <rPr>
            <sz val="12"/>
            <color theme="1"/>
            <rFont val="Aptos Narrow"/>
            <scheme val="minor"/>
          </rPr>
          <t>======
ID#AAABz2JlSJo
Auvrey Reyes    (2026-02-03 08:12:28)
Month first used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GoddZ+kjzpIGvTAMmMmQyNUJzg=="/>
    </ext>
  </extLst>
</comments>
</file>

<file path=xl/sharedStrings.xml><?xml version="1.0" encoding="utf-8"?>
<sst xmlns="http://schemas.openxmlformats.org/spreadsheetml/2006/main" count="286" uniqueCount="177">
  <si>
    <t>KPI</t>
  </si>
  <si>
    <t>Monthly KPIs</t>
  </si>
  <si>
    <t>Definition</t>
  </si>
  <si>
    <t>Data Source</t>
  </si>
  <si>
    <t>Monthly Active Users (MAU)</t>
  </si>
  <si>
    <t>Customers that have generated revenue in the last 30 calendar days</t>
  </si>
  <si>
    <t>1. i2cTransaction History Settlement Extract
2. Late Payment Fee Allocation
3. Wye Customer List (for user ID)
4. DFC file - date 01</t>
  </si>
  <si>
    <t>Monthly/Daily Transacting Users</t>
  </si>
  <si>
    <t>Monthly Active Rate</t>
  </si>
  <si>
    <t>Customers that have at least 1 transaction in the last 30 calendar days/24 hours</t>
  </si>
  <si>
    <t>BQ</t>
  </si>
  <si>
    <t>Forex</t>
  </si>
  <si>
    <t>Settlement Volume + Returns</t>
  </si>
  <si>
    <t>Gross  Settlements - Returns
Settlements in USD are translated to PHP using the actual average forex rate from Mastercard</t>
  </si>
  <si>
    <t>i2C, Network Settlement Summary</t>
  </si>
  <si>
    <t>Months after First Transaction</t>
  </si>
  <si>
    <t>Users</t>
  </si>
  <si>
    <t>Total number of cardholders in Open/Active status as of the end of the month. Does not include Closed accounts</t>
  </si>
  <si>
    <t>Wye Customer List</t>
  </si>
  <si>
    <t>Ready to ship</t>
  </si>
  <si>
    <t>Revolvers</t>
  </si>
  <si>
    <t>Number of accounts that have revolved the balance in the past 30 days</t>
  </si>
  <si>
    <t>i2C, SSRP_DFC File</t>
  </si>
  <si>
    <t>Interest-Earning Portfolio</t>
  </si>
  <si>
    <t>Total outstanding balance earning interest (including accounts that are past due)</t>
  </si>
  <si>
    <t>Interchange Fee Income</t>
  </si>
  <si>
    <t>Interchange fee revenue earned from the merchant's side of each card transaction.
Interchange fee revenue in USD is translated to PHP using the actual average forex rate from Mastercard</t>
  </si>
  <si>
    <t># of CH</t>
  </si>
  <si>
    <t>Late Payment Fee</t>
  </si>
  <si>
    <t>Late payment fees collected</t>
  </si>
  <si>
    <t>Late Payment Fee Allocation using Late Payment Fee and Payment Transactions from i2C</t>
  </si>
  <si>
    <t>Cohort</t>
  </si>
  <si>
    <t>Installments Revenue (Interest on Installments)</t>
  </si>
  <si>
    <t>Interests billed on outstanding installment principal including final interest charges upon termination</t>
  </si>
  <si>
    <t>i2C, Transaction History Settlement Extract</t>
  </si>
  <si>
    <t>Installments Revenue (Upfront Fee)</t>
  </si>
  <si>
    <t>One-time set-up fee billed on conversion of purchases into installment</t>
  </si>
  <si>
    <t>Finance Charge (Revolving)</t>
  </si>
  <si>
    <t>Accrued interests on revolving principal balance</t>
  </si>
  <si>
    <t>Credit Card Receivables Outstanding</t>
  </si>
  <si>
    <t>Billed &amp; Unbilled Purchase Balances + Billed Installment Principal + Billed Installment Interest &amp; Fees + Billed Revolving  Finance Charges + Billed Late Payment Fees</t>
  </si>
  <si>
    <t>i2C, Credit Card Program Balance Summary</t>
  </si>
  <si>
    <t>Installment Receivabes Outstanding</t>
  </si>
  <si>
    <t>Installment Principal Converted - Billed Principal Amount</t>
  </si>
  <si>
    <t>I2C, SSRP_NF File</t>
  </si>
  <si>
    <t>Installment Conversions</t>
  </si>
  <si>
    <t>Total principal amount of purchases converted into installments net of cancellations</t>
  </si>
  <si>
    <t>Delinquent Oustanding Balance</t>
  </si>
  <si>
    <t>Account balances that are more than 30 days past due</t>
  </si>
  <si>
    <t>i2C, Card Delinquency Detail</t>
  </si>
  <si>
    <t>Delinquent Accounts</t>
  </si>
  <si>
    <t>User accounts that are more than 30 days past due</t>
  </si>
  <si>
    <t>Gross Transaction Volume</t>
  </si>
  <si>
    <t>Total card usage in the past 30 days based on the transaction date</t>
  </si>
  <si>
    <t>i2C Pre-authorization Reports</t>
  </si>
  <si>
    <t>Credit Limit</t>
  </si>
  <si>
    <t>Total credit limit extended to all open accounts</t>
  </si>
  <si>
    <t>Balance Paymens Volume</t>
  </si>
  <si>
    <t>CORE METRICS</t>
  </si>
  <si>
    <t>Total customer payments received in the last 30 days</t>
  </si>
  <si>
    <t>Daily KPIs</t>
  </si>
  <si>
    <t>Monthly Active Users (Revenue)</t>
  </si>
  <si>
    <t>Monthly Average Revenue Per Active Cardholder
/ Active User</t>
  </si>
  <si>
    <t>Monthly Average Revenue Per Active Cardholder $
/ Active User</t>
  </si>
  <si>
    <t>MoM Growth</t>
  </si>
  <si>
    <t>Average</t>
  </si>
  <si>
    <t>Monthly Transacting Users</t>
  </si>
  <si>
    <t>Average Revenue Per Active Customer (ARPAC) - in USD @ 55.8 ForEx</t>
  </si>
  <si>
    <t>Months</t>
  </si>
  <si>
    <t>Monthly Transact Rate</t>
  </si>
  <si>
    <t>SUPPORTING METRICS (Financial/Revenue)</t>
  </si>
  <si>
    <t>CARDHOLDER ACCOUNTS</t>
  </si>
  <si>
    <t>Users (end of the month)</t>
  </si>
  <si>
    <t>Transaction Volume Per Active Customer - in USD @ 55.8 ForEx - Cohorts by Onboarding Date</t>
  </si>
  <si>
    <t>Users (average)</t>
  </si>
  <si>
    <t>New Users</t>
  </si>
  <si>
    <t>REVENUES</t>
  </si>
  <si>
    <t>Total Revenue (in USD)</t>
  </si>
  <si>
    <t>LOAN METRICS</t>
  </si>
  <si>
    <t>from PHP settlements</t>
  </si>
  <si>
    <t>Total Settlement Volume</t>
  </si>
  <si>
    <t>from USD settlements</t>
  </si>
  <si>
    <t>Cumulative Settlement Volume</t>
  </si>
  <si>
    <t>Delinquency (&gt;30 dpd)</t>
  </si>
  <si>
    <t>Installments Revenue</t>
  </si>
  <si>
    <t>Interest on Installments</t>
  </si>
  <si>
    <t>Delinquency Originated</t>
  </si>
  <si>
    <t>N/A</t>
  </si>
  <si>
    <t>Upfront-fee</t>
  </si>
  <si>
    <t>Past Due Originated (&gt;0 dpd)</t>
  </si>
  <si>
    <t>Finance Charge - Revolving</t>
  </si>
  <si>
    <t>Total Revenue (in PHP)</t>
  </si>
  <si>
    <t>Q2 Loan Performance Target</t>
  </si>
  <si>
    <t>Interchange Fee Revenue</t>
  </si>
  <si>
    <t>Forex (Revenue)</t>
  </si>
  <si>
    <t xml:space="preserve"> </t>
  </si>
  <si>
    <t>Late Payment Fee Revenue</t>
  </si>
  <si>
    <t>Interchange Fee Rate (Average)</t>
  </si>
  <si>
    <t>Interchange Fee Rate (USD Settlements)</t>
  </si>
  <si>
    <t>Interchange Fee Rate (PHP Settlements)</t>
  </si>
  <si>
    <t>LOANS OUTSTANDING</t>
  </si>
  <si>
    <t>Credit Card Receivables (end of month)</t>
  </si>
  <si>
    <t>Installment Receivables (end of month)</t>
  </si>
  <si>
    <t>Total Receivables Outstanding (end of the month)</t>
  </si>
  <si>
    <t>Total Loans Outstanding (average)</t>
  </si>
  <si>
    <t>Total Loans Outstanding (end of month)</t>
  </si>
  <si>
    <t>DELINQUENCIES (END OF MONTH)</t>
  </si>
  <si>
    <t>Total Delinquent (DPD30&gt;)</t>
  </si>
  <si>
    <t>Delinquency Rate</t>
  </si>
  <si>
    <t>Installment Conversions (Principal)</t>
  </si>
  <si>
    <t>% of Loans Outstanding</t>
  </si>
  <si>
    <t>Aging</t>
  </si>
  <si>
    <t>1-30 days</t>
  </si>
  <si>
    <t>31-60 days</t>
  </si>
  <si>
    <t>Installment Conversion (Transaction Count)</t>
  </si>
  <si>
    <t>61-89 days</t>
  </si>
  <si>
    <t>90-120 days</t>
  </si>
  <si>
    <t>121-150 days</t>
  </si>
  <si>
    <t>151-180 days</t>
  </si>
  <si>
    <t>181 days and over</t>
  </si>
  <si>
    <t>Charge off amount</t>
  </si>
  <si>
    <t>Delinquency (% of Outstanding Balance)</t>
  </si>
  <si>
    <t>Total Delinquent (DPD30&gt;, excluding payment plans)</t>
  </si>
  <si>
    <t>Payment Plan</t>
  </si>
  <si>
    <t>Accounts in payment plan</t>
  </si>
  <si>
    <t>Total outstanding balance</t>
  </si>
  <si>
    <t>OTHER METRICS</t>
  </si>
  <si>
    <t>GROSS TRANSACTION VOLUME (GTV)</t>
  </si>
  <si>
    <t>Total GTV</t>
  </si>
  <si>
    <t>Monthly GTV per User</t>
  </si>
  <si>
    <t>Monthly GTV per Active User</t>
  </si>
  <si>
    <t>Monthly GTV per Active User (USD)</t>
  </si>
  <si>
    <t>Transaction Count - GTV</t>
  </si>
  <si>
    <t>Average Ticket Size</t>
  </si>
  <si>
    <t>Average Ticket Size (USD)</t>
  </si>
  <si>
    <t>SETTLEMENT VOLUME</t>
  </si>
  <si>
    <t>Total Settlement Volume (inc. interchange fee) - in USD</t>
  </si>
  <si>
    <t>PHP settlements</t>
  </si>
  <si>
    <t>Cardholder Accounts</t>
  </si>
  <si>
    <t>Gross Settlement Volume</t>
  </si>
  <si>
    <t>Returns</t>
  </si>
  <si>
    <t>USD settlements</t>
  </si>
  <si>
    <t>Total Settlement Volume (inc. interchange fee) - in PHP</t>
  </si>
  <si>
    <t xml:space="preserve">PHP settlements </t>
  </si>
  <si>
    <t>Average Mastercard Forex</t>
  </si>
  <si>
    <t>Transaction Count - Settlements</t>
  </si>
  <si>
    <t>Interchange Fee Revenue/Transaction</t>
  </si>
  <si>
    <t>CREDIT LIMITS</t>
  </si>
  <si>
    <t>Total Credit Limit Extended (end of month)</t>
  </si>
  <si>
    <t>Average Credit Limit (end of month limit/end of month users)</t>
  </si>
  <si>
    <t>Total Credit Limit Extended (average)</t>
  </si>
  <si>
    <t>Average Credit Limit (average CL/avg # users)</t>
  </si>
  <si>
    <t>Average Credit Usage (settlement volume / active users)</t>
  </si>
  <si>
    <r>
      <rPr>
        <b/>
        <sz val="12"/>
        <color theme="1"/>
        <rFont val="Aptos Narrow"/>
      </rPr>
      <t xml:space="preserve">Average Credit Utilization
</t>
    </r>
    <r>
      <rPr>
        <i/>
        <sz val="12"/>
        <color theme="1"/>
        <rFont val="Aptos Narrow"/>
      </rPr>
      <t>(Settlement Volume / Active users / Average Credit Limit)</t>
    </r>
  </si>
  <si>
    <t>Balance Payments Volume</t>
  </si>
  <si>
    <t>Repayment Rate (average)</t>
  </si>
  <si>
    <t>Payment Transactions Count</t>
  </si>
  <si>
    <t>per active user</t>
  </si>
  <si>
    <t>New Users (Closures)</t>
  </si>
  <si>
    <t>Growth</t>
  </si>
  <si>
    <t>Daily Transacting Users</t>
  </si>
  <si>
    <t>Transact Rate</t>
  </si>
  <si>
    <t>Gross Transaction Volume (GTV)</t>
  </si>
  <si>
    <t>Transaction Value</t>
  </si>
  <si>
    <t>Transaction Count</t>
  </si>
  <si>
    <t>Total Outstanding Balance - Purchase Balance</t>
  </si>
  <si>
    <t>Total Remaining Principal Balance - Installments</t>
  </si>
  <si>
    <t>Total Outstanding Balance (PHP)</t>
  </si>
  <si>
    <t>Total Outstanding Balance (USD)</t>
  </si>
  <si>
    <t>Zed_Card_NNB - Zed Card - Zed Philippines NN (Installment Conversion)</t>
  </si>
  <si>
    <t>Transaction Amount</t>
  </si>
  <si>
    <t>Revenues</t>
  </si>
  <si>
    <t>x</t>
  </si>
  <si>
    <t>Delinquencies</t>
  </si>
  <si>
    <t>Number of Accounts Delinquent</t>
  </si>
  <si>
    <t>% of Users</t>
  </si>
  <si>
    <t>Average Credit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</si>
</sst>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mmm\ yy"/>
    <numFmt numFmtId="165" formatCode="_-[$₱-3409]* #,##0_-;\-[$₱-3409]* #,##0_-;_-[$₱-3409]* &quot;-&quot;??_-;_-@"/>
    <numFmt numFmtId="166" formatCode="_([$$-409]* #,##0.00_);_([$$-409]* \(#,##0.00\);_([$$-409]* &quot;-&quot;??_);_(@_)"/>
    <numFmt numFmtId="167" formatCode="_([$$-409]* #,##0_);_([$$-409]* \(#,##0\);_([$$-409]* &quot;-&quot;??_);_(@_)"/>
    <numFmt numFmtId="168" formatCode="&quot;$&quot;#,##0.00"/>
    <numFmt numFmtId="169" formatCode="&quot;$&quot;#,##0"/>
    <numFmt numFmtId="170" formatCode="_(* #,##0_);_(* \(#,##0\);_(* &quot;-&quot;??_);_(@_)"/>
    <numFmt numFmtId="171" formatCode="[$₱-3409]#,##0;\-[$₱-3409]#,##0"/>
    <numFmt numFmtId="172" formatCode="0.0%"/>
    <numFmt numFmtId="173" formatCode="_(* #,##0.0000_);_(* \(#,##0.0000\);_(* &quot;-&quot;??_);_(@_)"/>
    <numFmt numFmtId="174" formatCode="_-[$₱-3409]* #,##0.00_-;\-[$₱-3409]* #,##0.00_-;_-[$₱-3409]* &quot;-&quot;??_-;_-@_-"/>
  </numFmts>
  <fonts count="35" x14ac:knownFonts="1">
    <font>
      <sz val="12"/>
      <color theme="1"/>
      <name val="Aptos Narrow"/>
      <scheme val="minor"/>
    </font>
    <font>
      <sz val="12"/>
      <color theme="1"/>
      <name val="Aptos Narrow"/>
    </font>
    <font>
      <b/>
      <sz val="12"/>
      <color theme="1"/>
      <name val="Aptos Narrow"/>
    </font>
    <font>
      <b/>
      <sz val="12"/>
      <color theme="0"/>
      <name val="Aptos Narrow"/>
    </font>
    <font>
      <sz val="12"/>
      <color theme="0"/>
      <name val="Aptos Narrow"/>
    </font>
    <font>
      <sz val="12"/>
      <color rgb="FF0432FF"/>
      <name val="Aptos Narrow"/>
    </font>
    <font>
      <u/>
      <sz val="12"/>
      <color theme="10"/>
      <name val="Aptos Narrow"/>
    </font>
    <font>
      <i/>
      <sz val="12"/>
      <color theme="1"/>
      <name val="Aptos Narrow"/>
    </font>
    <font>
      <u/>
      <sz val="12"/>
      <color theme="1"/>
      <name val="Aptos Narrow"/>
    </font>
    <font>
      <b/>
      <u/>
      <sz val="12"/>
      <color theme="0"/>
      <name val="Aptos Narrow"/>
    </font>
    <font>
      <b/>
      <sz val="14"/>
      <color theme="1"/>
      <name val="Arial"/>
      <family val="2"/>
    </font>
    <font>
      <b/>
      <sz val="12"/>
      <color rgb="FF0432FF"/>
      <name val="Aptos Narrow"/>
    </font>
    <font>
      <b/>
      <sz val="12"/>
      <color rgb="FFFFFFFF"/>
      <name val="Aptos Narrow"/>
    </font>
    <font>
      <b/>
      <sz val="11"/>
      <color rgb="FFFFFFFF"/>
      <name val="Calibri"/>
      <family val="2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i/>
      <sz val="12"/>
      <color theme="4"/>
      <name val="Aptos Narrow"/>
    </font>
    <font>
      <i/>
      <sz val="12"/>
      <color rgb="FF0432FF"/>
      <name val="Aptos Narrow"/>
    </font>
    <font>
      <b/>
      <sz val="12"/>
      <color rgb="FF000000"/>
      <name val="Aptos Narrow"/>
    </font>
    <font>
      <b/>
      <u/>
      <sz val="12"/>
      <color theme="1"/>
      <name val="Aptos Narrow"/>
    </font>
    <font>
      <b/>
      <u/>
      <sz val="12"/>
      <color theme="1"/>
      <name val="Aptos Narrow"/>
    </font>
    <font>
      <sz val="12"/>
      <color theme="9"/>
      <name val="Aptos Narrow"/>
    </font>
    <font>
      <i/>
      <sz val="12"/>
      <color rgb="FF0432FF"/>
      <name val="Arial"/>
      <family val="2"/>
    </font>
    <font>
      <b/>
      <u/>
      <sz val="12"/>
      <color theme="1"/>
      <name val="Aptos Narrow"/>
    </font>
    <font>
      <sz val="12"/>
      <color rgb="FF000000"/>
      <name val="Aptos Narrow"/>
    </font>
    <font>
      <i/>
      <sz val="12"/>
      <color rgb="FF7F7F7F"/>
      <name val="Aptos Narrow"/>
    </font>
    <font>
      <sz val="12"/>
      <color rgb="FF3A7D22"/>
      <name val="Aptos Narrow"/>
    </font>
    <font>
      <sz val="12"/>
      <color theme="1"/>
      <name val="Arial"/>
      <family val="2"/>
    </font>
    <font>
      <b/>
      <sz val="12"/>
      <color rgb="FF3A7D22"/>
      <name val="Aptos Narrow"/>
    </font>
    <font>
      <b/>
      <sz val="12"/>
      <color rgb="FF0432FF"/>
      <name val="Arial"/>
      <family val="2"/>
    </font>
    <font>
      <sz val="12"/>
      <color theme="1"/>
      <name val="Aptos Narrow (Body)"/>
    </font>
    <font>
      <sz val="12"/>
      <color rgb="FF999999"/>
      <name val="Aptos Narrow"/>
    </font>
    <font>
      <i/>
      <sz val="12"/>
      <color rgb="FF156082"/>
      <name val="Aptos Narrow"/>
    </font>
    <font>
      <i/>
      <sz val="12"/>
      <color rgb="FF000000"/>
      <name val="Aptos Narrow"/>
    </font>
    <font>
      <b/>
      <i/>
      <sz val="12"/>
      <color theme="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0F4861"/>
        <bgColor rgb="FF0F4861"/>
      </patternFill>
    </fill>
    <fill>
      <patternFill patternType="solid">
        <fgColor rgb="FFC1E4F5"/>
        <bgColor rgb="FFC1E4F5"/>
      </patternFill>
    </fill>
    <fill>
      <patternFill patternType="solid">
        <fgColor rgb="FF000C3F"/>
        <bgColor rgb="FF000C3F"/>
      </patternFill>
    </fill>
    <fill>
      <patternFill patternType="solid">
        <fgColor rgb="FF3271D2"/>
        <bgColor rgb="FF3271D2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000C3F"/>
      </patternFill>
    </fill>
    <fill>
      <patternFill patternType="solid">
        <fgColor rgb="FF3271D2"/>
      </patternFill>
    </fill>
  </fills>
  <borders count="26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top"/>
    </xf>
    <xf numFmtId="0" fontId="3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4" fillId="2" borderId="4" xfId="0" applyFont="1" applyFill="1" applyBorder="1"/>
    <xf numFmtId="0" fontId="1" fillId="0" borderId="5" xfId="0" applyFont="1" applyBorder="1"/>
    <xf numFmtId="0" fontId="5" fillId="0" borderId="0" xfId="0" applyFont="1"/>
    <xf numFmtId="0" fontId="6" fillId="0" borderId="2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2" fillId="3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top"/>
    </xf>
    <xf numFmtId="0" fontId="1" fillId="3" borderId="4" xfId="0" applyFont="1" applyFill="1" applyBorder="1" applyAlignment="1">
      <alignment vertical="center"/>
    </xf>
    <xf numFmtId="14" fontId="1" fillId="0" borderId="5" xfId="0" applyNumberFormat="1" applyFont="1" applyBorder="1"/>
    <xf numFmtId="0" fontId="7" fillId="0" borderId="0" xfId="0" applyFont="1"/>
    <xf numFmtId="0" fontId="8" fillId="0" borderId="6" xfId="0" applyFont="1" applyBorder="1" applyAlignment="1">
      <alignment vertical="top"/>
    </xf>
    <xf numFmtId="0" fontId="2" fillId="3" borderId="8" xfId="0" applyFont="1" applyFill="1" applyBorder="1" applyAlignment="1">
      <alignment horizontal="center"/>
    </xf>
    <xf numFmtId="17" fontId="3" fillId="4" borderId="9" xfId="0" applyNumberFormat="1" applyFont="1" applyFill="1" applyBorder="1"/>
    <xf numFmtId="0" fontId="2" fillId="3" borderId="4" xfId="0" applyFont="1" applyFill="1" applyBorder="1" applyAlignment="1">
      <alignment horizontal="center"/>
    </xf>
    <xf numFmtId="0" fontId="4" fillId="0" borderId="0" xfId="0" applyFont="1"/>
    <xf numFmtId="0" fontId="9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10" fillId="0" borderId="0" xfId="0" applyFont="1"/>
    <xf numFmtId="0" fontId="1" fillId="0" borderId="10" xfId="0" applyFont="1" applyBorder="1"/>
    <xf numFmtId="3" fontId="11" fillId="0" borderId="10" xfId="0" applyNumberFormat="1" applyFont="1" applyBorder="1"/>
    <xf numFmtId="0" fontId="1" fillId="0" borderId="12" xfId="0" applyFont="1" applyBorder="1" applyAlignment="1">
      <alignment horizontal="center"/>
    </xf>
    <xf numFmtId="0" fontId="7" fillId="0" borderId="10" xfId="0" applyFont="1" applyBorder="1"/>
    <xf numFmtId="164" fontId="1" fillId="0" borderId="13" xfId="0" applyNumberFormat="1" applyFont="1" applyBorder="1" applyAlignment="1">
      <alignment horizontal="left"/>
    </xf>
    <xf numFmtId="9" fontId="1" fillId="0" borderId="14" xfId="0" applyNumberFormat="1" applyFont="1" applyBorder="1" applyAlignment="1">
      <alignment horizontal="center"/>
    </xf>
    <xf numFmtId="9" fontId="1" fillId="0" borderId="15" xfId="0" applyNumberFormat="1" applyFont="1" applyBorder="1" applyAlignment="1">
      <alignment horizontal="center"/>
    </xf>
    <xf numFmtId="9" fontId="7" fillId="0" borderId="10" xfId="0" applyNumberFormat="1" applyFont="1" applyBorder="1"/>
    <xf numFmtId="0" fontId="1" fillId="0" borderId="16" xfId="0" applyFont="1" applyBorder="1" applyAlignment="1">
      <alignment horizontal="center"/>
    </xf>
    <xf numFmtId="164" fontId="1" fillId="0" borderId="17" xfId="0" applyNumberFormat="1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164" fontId="1" fillId="0" borderId="17" xfId="0" applyNumberFormat="1" applyFont="1" applyBorder="1" applyAlignment="1">
      <alignment horizontal="left" vertical="center"/>
    </xf>
    <xf numFmtId="3" fontId="1" fillId="0" borderId="0" xfId="0" applyNumberFormat="1" applyFont="1"/>
    <xf numFmtId="165" fontId="1" fillId="0" borderId="10" xfId="0" applyNumberFormat="1" applyFont="1" applyBorder="1"/>
    <xf numFmtId="0" fontId="1" fillId="0" borderId="18" xfId="0" applyFont="1" applyBorder="1" applyAlignment="1">
      <alignment horizontal="center"/>
    </xf>
    <xf numFmtId="0" fontId="14" fillId="0" borderId="0" xfId="0" applyFont="1"/>
    <xf numFmtId="164" fontId="1" fillId="0" borderId="16" xfId="0" applyNumberFormat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166" fontId="7" fillId="0" borderId="10" xfId="0" applyNumberFormat="1" applyFont="1" applyBorder="1"/>
    <xf numFmtId="3" fontId="14" fillId="0" borderId="0" xfId="0" applyNumberFormat="1" applyFont="1"/>
    <xf numFmtId="10" fontId="15" fillId="0" borderId="0" xfId="0" applyNumberFormat="1" applyFont="1"/>
    <xf numFmtId="0" fontId="16" fillId="0" borderId="0" xfId="0" applyFont="1"/>
    <xf numFmtId="0" fontId="16" fillId="0" borderId="10" xfId="0" applyFont="1" applyBorder="1" applyAlignment="1">
      <alignment horizontal="right"/>
    </xf>
    <xf numFmtId="9" fontId="16" fillId="0" borderId="10" xfId="0" applyNumberFormat="1" applyFont="1" applyBorder="1"/>
    <xf numFmtId="0" fontId="17" fillId="0" borderId="0" xfId="0" applyFont="1"/>
    <xf numFmtId="9" fontId="1" fillId="0" borderId="0" xfId="0" applyNumberFormat="1" applyFont="1"/>
    <xf numFmtId="0" fontId="2" fillId="6" borderId="8" xfId="0" applyFont="1" applyFill="1" applyBorder="1" applyAlignment="1">
      <alignment horizontal="center"/>
    </xf>
    <xf numFmtId="0" fontId="18" fillId="3" borderId="11" xfId="0" applyFont="1" applyFill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166" fontId="1" fillId="0" borderId="15" xfId="0" applyNumberFormat="1" applyFont="1" applyBorder="1" applyAlignment="1">
      <alignment horizontal="center"/>
    </xf>
    <xf numFmtId="9" fontId="16" fillId="7" borderId="10" xfId="0" applyNumberFormat="1" applyFont="1" applyFill="1" applyBorder="1"/>
    <xf numFmtId="166" fontId="1" fillId="0" borderId="0" xfId="0" applyNumberFormat="1" applyFont="1"/>
    <xf numFmtId="0" fontId="19" fillId="0" borderId="10" xfId="0" applyFont="1" applyBorder="1"/>
    <xf numFmtId="3" fontId="1" fillId="0" borderId="10" xfId="0" applyNumberFormat="1" applyFont="1" applyBorder="1"/>
    <xf numFmtId="3" fontId="5" fillId="0" borderId="10" xfId="0" applyNumberFormat="1" applyFont="1" applyBorder="1"/>
    <xf numFmtId="0" fontId="2" fillId="0" borderId="0" xfId="0" applyFont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" fillId="2" borderId="19" xfId="0" applyFont="1" applyFill="1" applyBorder="1"/>
    <xf numFmtId="0" fontId="2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vertical="center"/>
    </xf>
    <xf numFmtId="0" fontId="1" fillId="0" borderId="22" xfId="0" applyFont="1" applyBorder="1"/>
    <xf numFmtId="167" fontId="1" fillId="0" borderId="14" xfId="0" applyNumberFormat="1" applyFont="1" applyBorder="1" applyAlignment="1">
      <alignment horizontal="center"/>
    </xf>
    <xf numFmtId="167" fontId="1" fillId="0" borderId="15" xfId="0" applyNumberFormat="1" applyFont="1" applyBorder="1" applyAlignment="1">
      <alignment horizontal="center"/>
    </xf>
    <xf numFmtId="167" fontId="1" fillId="0" borderId="0" xfId="0" applyNumberFormat="1" applyFont="1"/>
    <xf numFmtId="168" fontId="1" fillId="0" borderId="10" xfId="0" applyNumberFormat="1" applyFont="1" applyBorder="1"/>
    <xf numFmtId="169" fontId="1" fillId="0" borderId="10" xfId="0" applyNumberFormat="1" applyFont="1" applyBorder="1"/>
    <xf numFmtId="167" fontId="20" fillId="0" borderId="10" xfId="0" applyNumberFormat="1" applyFont="1" applyBorder="1"/>
    <xf numFmtId="3" fontId="21" fillId="0" borderId="0" xfId="0" applyNumberFormat="1" applyFont="1"/>
    <xf numFmtId="170" fontId="1" fillId="0" borderId="10" xfId="0" applyNumberFormat="1" applyFont="1" applyBorder="1"/>
    <xf numFmtId="0" fontId="1" fillId="0" borderId="10" xfId="0" applyFont="1" applyBorder="1" applyAlignment="1">
      <alignment horizontal="left"/>
    </xf>
    <xf numFmtId="171" fontId="21" fillId="0" borderId="10" xfId="0" applyNumberFormat="1" applyFont="1" applyBorder="1"/>
    <xf numFmtId="0" fontId="22" fillId="0" borderId="0" xfId="0" applyFont="1"/>
    <xf numFmtId="37" fontId="1" fillId="0" borderId="0" xfId="0" applyNumberFormat="1" applyFont="1"/>
    <xf numFmtId="0" fontId="2" fillId="0" borderId="10" xfId="0" applyFont="1" applyBorder="1"/>
    <xf numFmtId="170" fontId="2" fillId="0" borderId="10" xfId="0" applyNumberFormat="1" applyFont="1" applyBorder="1"/>
    <xf numFmtId="170" fontId="1" fillId="0" borderId="0" xfId="0" applyNumberFormat="1" applyFont="1"/>
    <xf numFmtId="170" fontId="5" fillId="0" borderId="10" xfId="0" applyNumberFormat="1" applyFont="1" applyBorder="1"/>
    <xf numFmtId="170" fontId="1" fillId="0" borderId="10" xfId="0" applyNumberFormat="1" applyFont="1" applyBorder="1" applyAlignment="1">
      <alignment horizontal="center"/>
    </xf>
    <xf numFmtId="0" fontId="7" fillId="0" borderId="0" xfId="0" applyFont="1" applyAlignment="1">
      <alignment horizontal="right"/>
    </xf>
    <xf numFmtId="9" fontId="7" fillId="0" borderId="0" xfId="0" applyNumberFormat="1" applyFont="1"/>
    <xf numFmtId="172" fontId="7" fillId="0" borderId="0" xfId="0" applyNumberFormat="1" applyFont="1"/>
    <xf numFmtId="10" fontId="2" fillId="0" borderId="10" xfId="0" applyNumberFormat="1" applyFont="1" applyBorder="1"/>
    <xf numFmtId="165" fontId="23" fillId="0" borderId="10" xfId="0" applyNumberFormat="1" applyFont="1" applyBorder="1"/>
    <xf numFmtId="0" fontId="24" fillId="0" borderId="0" xfId="0" applyFont="1"/>
    <xf numFmtId="10" fontId="1" fillId="0" borderId="0" xfId="0" applyNumberFormat="1" applyFont="1"/>
    <xf numFmtId="3" fontId="24" fillId="0" borderId="0" xfId="0" applyNumberFormat="1" applyFont="1"/>
    <xf numFmtId="10" fontId="24" fillId="0" borderId="0" xfId="0" applyNumberFormat="1" applyFont="1"/>
    <xf numFmtId="17" fontId="3" fillId="4" borderId="10" xfId="0" applyNumberFormat="1" applyFont="1" applyFill="1" applyBorder="1"/>
    <xf numFmtId="171" fontId="1" fillId="0" borderId="0" xfId="0" applyNumberFormat="1" applyFont="1"/>
    <xf numFmtId="14" fontId="3" fillId="4" borderId="10" xfId="0" applyNumberFormat="1" applyFont="1" applyFill="1" applyBorder="1"/>
    <xf numFmtId="172" fontId="11" fillId="0" borderId="10" xfId="0" applyNumberFormat="1" applyFont="1" applyBorder="1"/>
    <xf numFmtId="1" fontId="1" fillId="0" borderId="0" xfId="0" applyNumberFormat="1" applyFont="1"/>
    <xf numFmtId="0" fontId="5" fillId="0" borderId="10" xfId="0" applyFont="1" applyBorder="1" applyAlignment="1">
      <alignment horizontal="left"/>
    </xf>
    <xf numFmtId="167" fontId="5" fillId="0" borderId="10" xfId="0" applyNumberFormat="1" applyFont="1" applyBorder="1"/>
    <xf numFmtId="0" fontId="25" fillId="0" borderId="0" xfId="0" applyFont="1"/>
    <xf numFmtId="0" fontId="25" fillId="8" borderId="10" xfId="0" applyFont="1" applyFill="1" applyBorder="1" applyAlignment="1">
      <alignment horizontal="left"/>
    </xf>
    <xf numFmtId="43" fontId="25" fillId="8" borderId="10" xfId="0" applyNumberFormat="1" applyFont="1" applyFill="1" applyBorder="1"/>
    <xf numFmtId="170" fontId="11" fillId="0" borderId="10" xfId="0" applyNumberFormat="1" applyFont="1" applyBorder="1"/>
    <xf numFmtId="4" fontId="14" fillId="0" borderId="0" xfId="0" applyNumberFormat="1" applyFont="1"/>
    <xf numFmtId="10" fontId="1" fillId="0" borderId="10" xfId="0" applyNumberFormat="1" applyFont="1" applyBorder="1"/>
    <xf numFmtId="9" fontId="1" fillId="0" borderId="10" xfId="0" applyNumberFormat="1" applyFont="1" applyBorder="1"/>
    <xf numFmtId="165" fontId="26" fillId="0" borderId="10" xfId="0" applyNumberFormat="1" applyFont="1" applyBorder="1"/>
    <xf numFmtId="165" fontId="1" fillId="0" borderId="23" xfId="0" applyNumberFormat="1" applyFont="1" applyBorder="1"/>
    <xf numFmtId="168" fontId="15" fillId="0" borderId="0" xfId="0" applyNumberFormat="1" applyFont="1"/>
    <xf numFmtId="165" fontId="5" fillId="0" borderId="10" xfId="0" applyNumberFormat="1" applyFont="1" applyBorder="1"/>
    <xf numFmtId="4" fontId="2" fillId="0" borderId="10" xfId="0" applyNumberFormat="1" applyFont="1" applyBorder="1"/>
    <xf numFmtId="170" fontId="26" fillId="0" borderId="10" xfId="0" applyNumberFormat="1" applyFont="1" applyBorder="1"/>
    <xf numFmtId="0" fontId="15" fillId="0" borderId="0" xfId="0" applyFont="1"/>
    <xf numFmtId="14" fontId="12" fillId="4" borderId="10" xfId="0" applyNumberFormat="1" applyFont="1" applyFill="1" applyBorder="1"/>
    <xf numFmtId="0" fontId="27" fillId="0" borderId="0" xfId="0" applyFont="1"/>
    <xf numFmtId="0" fontId="5" fillId="0" borderId="10" xfId="0" applyFont="1" applyBorder="1"/>
    <xf numFmtId="166" fontId="1" fillId="0" borderId="10" xfId="0" applyNumberFormat="1" applyFont="1" applyBorder="1"/>
    <xf numFmtId="165" fontId="2" fillId="0" borderId="10" xfId="0" applyNumberFormat="1" applyFont="1" applyBorder="1"/>
    <xf numFmtId="165" fontId="11" fillId="0" borderId="10" xfId="0" applyNumberFormat="1" applyFont="1" applyBorder="1"/>
    <xf numFmtId="165" fontId="28" fillId="0" borderId="10" xfId="0" applyNumberFormat="1" applyFont="1" applyBorder="1"/>
    <xf numFmtId="165" fontId="29" fillId="0" borderId="10" xfId="0" applyNumberFormat="1" applyFont="1" applyBorder="1"/>
    <xf numFmtId="167" fontId="7" fillId="0" borderId="10" xfId="0" applyNumberFormat="1" applyFont="1" applyBorder="1"/>
    <xf numFmtId="165" fontId="7" fillId="0" borderId="10" xfId="0" applyNumberFormat="1" applyFont="1" applyBorder="1"/>
    <xf numFmtId="165" fontId="7" fillId="0" borderId="10" xfId="0" applyNumberFormat="1" applyFont="1" applyBorder="1" applyAlignment="1">
      <alignment horizontal="center"/>
    </xf>
    <xf numFmtId="167" fontId="7" fillId="0" borderId="10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170" fontId="28" fillId="0" borderId="10" xfId="0" applyNumberFormat="1" applyFont="1" applyBorder="1"/>
    <xf numFmtId="0" fontId="7" fillId="0" borderId="10" xfId="0" applyFont="1" applyBorder="1" applyAlignment="1">
      <alignment horizontal="left"/>
    </xf>
    <xf numFmtId="0" fontId="12" fillId="5" borderId="10" xfId="0" applyFont="1" applyFill="1" applyBorder="1"/>
    <xf numFmtId="0" fontId="12" fillId="5" borderId="24" xfId="0" applyFont="1" applyFill="1" applyBorder="1"/>
    <xf numFmtId="0" fontId="30" fillId="0" borderId="0" xfId="0" applyFont="1"/>
    <xf numFmtId="0" fontId="30" fillId="0" borderId="10" xfId="0" applyFont="1" applyBorder="1" applyAlignment="1">
      <alignment horizontal="left"/>
    </xf>
    <xf numFmtId="170" fontId="30" fillId="0" borderId="10" xfId="0" applyNumberFormat="1" applyFont="1" applyBorder="1"/>
    <xf numFmtId="173" fontId="25" fillId="8" borderId="10" xfId="0" applyNumberFormat="1" applyFont="1" applyFill="1" applyBorder="1"/>
    <xf numFmtId="0" fontId="25" fillId="0" borderId="10" xfId="0" applyFont="1" applyBorder="1" applyAlignment="1">
      <alignment horizontal="left"/>
    </xf>
    <xf numFmtId="172" fontId="25" fillId="0" borderId="10" xfId="0" applyNumberFormat="1" applyFont="1" applyBorder="1"/>
    <xf numFmtId="0" fontId="31" fillId="0" borderId="0" xfId="0" applyFont="1"/>
    <xf numFmtId="0" fontId="31" fillId="0" borderId="10" xfId="0" applyFont="1" applyBorder="1" applyAlignment="1">
      <alignment horizontal="left"/>
    </xf>
    <xf numFmtId="165" fontId="31" fillId="0" borderId="10" xfId="0" applyNumberFormat="1" applyFont="1" applyBorder="1"/>
    <xf numFmtId="165" fontId="31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wrapText="1"/>
    </xf>
    <xf numFmtId="9" fontId="2" fillId="0" borderId="10" xfId="0" applyNumberFormat="1" applyFont="1" applyBorder="1"/>
    <xf numFmtId="0" fontId="24" fillId="0" borderId="10" xfId="0" applyFont="1" applyBorder="1"/>
    <xf numFmtId="0" fontId="24" fillId="0" borderId="25" xfId="0" applyFont="1" applyBorder="1"/>
    <xf numFmtId="170" fontId="7" fillId="0" borderId="10" xfId="0" applyNumberFormat="1" applyFont="1" applyBorder="1"/>
    <xf numFmtId="3" fontId="2" fillId="0" borderId="10" xfId="0" applyNumberFormat="1" applyFont="1" applyBorder="1"/>
    <xf numFmtId="3" fontId="11" fillId="0" borderId="25" xfId="0" applyNumberFormat="1" applyFont="1" applyBorder="1"/>
    <xf numFmtId="3" fontId="24" fillId="0" borderId="10" xfId="0" applyNumberFormat="1" applyFont="1" applyBorder="1"/>
    <xf numFmtId="3" fontId="24" fillId="0" borderId="25" xfId="0" applyNumberFormat="1" applyFont="1" applyBorder="1"/>
    <xf numFmtId="9" fontId="32" fillId="0" borderId="10" xfId="0" applyNumberFormat="1" applyFont="1" applyBorder="1"/>
    <xf numFmtId="9" fontId="32" fillId="0" borderId="25" xfId="0" applyNumberFormat="1" applyFont="1" applyBorder="1"/>
    <xf numFmtId="3" fontId="5" fillId="0" borderId="25" xfId="0" applyNumberFormat="1" applyFont="1" applyBorder="1"/>
    <xf numFmtId="172" fontId="1" fillId="0" borderId="10" xfId="0" applyNumberFormat="1" applyFont="1" applyBorder="1"/>
    <xf numFmtId="172" fontId="24" fillId="0" borderId="10" xfId="0" applyNumberFormat="1" applyFont="1" applyBorder="1"/>
    <xf numFmtId="172" fontId="24" fillId="0" borderId="25" xfId="0" applyNumberFormat="1" applyFont="1" applyBorder="1"/>
    <xf numFmtId="0" fontId="16" fillId="0" borderId="10" xfId="0" applyFont="1" applyBorder="1"/>
    <xf numFmtId="0" fontId="32" fillId="0" borderId="10" xfId="0" applyFont="1" applyBorder="1"/>
    <xf numFmtId="0" fontId="32" fillId="0" borderId="25" xfId="0" applyFont="1" applyBorder="1"/>
    <xf numFmtId="165" fontId="5" fillId="0" borderId="25" xfId="0" applyNumberFormat="1" applyFont="1" applyBorder="1"/>
    <xf numFmtId="165" fontId="24" fillId="0" borderId="10" xfId="0" applyNumberFormat="1" applyFont="1" applyBorder="1"/>
    <xf numFmtId="165" fontId="24" fillId="0" borderId="25" xfId="0" applyNumberFormat="1" applyFont="1" applyBorder="1"/>
    <xf numFmtId="165" fontId="1" fillId="0" borderId="10" xfId="0" applyNumberFormat="1" applyFont="1" applyBorder="1" applyAlignment="1">
      <alignment wrapText="1"/>
    </xf>
    <xf numFmtId="165" fontId="5" fillId="0" borderId="10" xfId="0" applyNumberFormat="1" applyFont="1" applyBorder="1" applyAlignment="1">
      <alignment wrapText="1"/>
    </xf>
    <xf numFmtId="165" fontId="2" fillId="0" borderId="10" xfId="0" applyNumberFormat="1" applyFont="1" applyBorder="1" applyAlignment="1">
      <alignment wrapText="1"/>
    </xf>
    <xf numFmtId="165" fontId="18" fillId="0" borderId="10" xfId="0" applyNumberFormat="1" applyFont="1" applyBorder="1"/>
    <xf numFmtId="165" fontId="18" fillId="0" borderId="25" xfId="0" applyNumberFormat="1" applyFont="1" applyBorder="1"/>
    <xf numFmtId="165" fontId="7" fillId="0" borderId="10" xfId="0" applyNumberFormat="1" applyFont="1" applyBorder="1" applyAlignment="1">
      <alignment wrapText="1"/>
    </xf>
    <xf numFmtId="167" fontId="33" fillId="0" borderId="10" xfId="0" applyNumberFormat="1" applyFont="1" applyBorder="1"/>
    <xf numFmtId="4" fontId="1" fillId="0" borderId="10" xfId="0" applyNumberFormat="1" applyFont="1" applyBorder="1"/>
    <xf numFmtId="172" fontId="7" fillId="0" borderId="10" xfId="0" applyNumberFormat="1" applyFont="1" applyBorder="1"/>
    <xf numFmtId="172" fontId="33" fillId="0" borderId="10" xfId="0" applyNumberFormat="1" applyFont="1" applyBorder="1"/>
    <xf numFmtId="172" fontId="33" fillId="0" borderId="25" xfId="0" applyNumberFormat="1" applyFont="1" applyBorder="1"/>
    <xf numFmtId="0" fontId="18" fillId="0" borderId="10" xfId="0" applyFont="1" applyBorder="1"/>
    <xf numFmtId="0" fontId="18" fillId="0" borderId="25" xfId="0" applyFont="1" applyBorder="1"/>
    <xf numFmtId="0" fontId="11" fillId="0" borderId="10" xfId="0" applyFont="1" applyBorder="1"/>
    <xf numFmtId="0" fontId="11" fillId="0" borderId="25" xfId="0" applyFont="1" applyBorder="1"/>
    <xf numFmtId="9" fontId="33" fillId="0" borderId="10" xfId="0" applyNumberFormat="1" applyFont="1" applyBorder="1"/>
    <xf numFmtId="9" fontId="33" fillId="0" borderId="25" xfId="0" applyNumberFormat="1" applyFont="1" applyBorder="1"/>
    <xf numFmtId="0" fontId="34" fillId="0" borderId="10" xfId="0" applyFont="1" applyBorder="1"/>
    <xf numFmtId="0" fontId="33" fillId="0" borderId="10" xfId="0" applyFont="1" applyBorder="1"/>
    <xf numFmtId="0" fontId="33" fillId="0" borderId="25" xfId="0" applyFont="1" applyBorder="1"/>
    <xf numFmtId="170" fontId="1" fillId="0" borderId="10" xfId="0" applyNumberFormat="1" applyFont="1" applyBorder="1" applyAlignment="1">
      <alignment horizontal="left"/>
    </xf>
    <xf numFmtId="170" fontId="5" fillId="0" borderId="25" xfId="0" applyNumberFormat="1" applyFont="1" applyBorder="1"/>
    <xf numFmtId="170" fontId="1" fillId="0" borderId="10" xfId="0" applyNumberFormat="1" applyFont="1" applyBorder="1" applyAlignment="1">
      <alignment horizontal="right"/>
    </xf>
    <xf numFmtId="170" fontId="5" fillId="0" borderId="10" xfId="0" applyNumberFormat="1" applyFont="1" applyBorder="1" applyAlignment="1">
      <alignment horizontal="right"/>
    </xf>
    <xf numFmtId="170" fontId="24" fillId="0" borderId="10" xfId="0" applyNumberFormat="1" applyFont="1" applyBorder="1"/>
    <xf numFmtId="170" fontId="24" fillId="0" borderId="25" xfId="0" applyNumberFormat="1" applyFont="1" applyBorder="1"/>
    <xf numFmtId="43" fontId="1" fillId="0" borderId="10" xfId="0" applyNumberFormat="1" applyFont="1" applyBorder="1"/>
    <xf numFmtId="0" fontId="1" fillId="0" borderId="0" xfId="0" applyFont="1" applyAlignment="1">
      <alignment horizontal="left"/>
    </xf>
    <xf numFmtId="165" fontId="1" fillId="0" borderId="0" xfId="0" applyNumberFormat="1" applyFont="1"/>
    <xf numFmtId="168" fontId="1" fillId="0" borderId="0" xfId="0" applyNumberFormat="1" applyFont="1"/>
    <xf numFmtId="0" fontId="22" fillId="0" borderId="9" xfId="0" applyFont="1" applyBorder="1"/>
    <xf numFmtId="0" fontId="24" fillId="0" borderId="9" xfId="0" applyFont="1" applyBorder="1"/>
    <xf numFmtId="14" fontId="12" fillId="9" borderId="10" xfId="0" applyNumberFormat="1" applyFont="1" applyFill="1" applyBorder="1"/>
    <xf numFmtId="0" fontId="12" fillId="10" borderId="25" xfId="0" applyFont="1" applyFill="1" applyBorder="1"/>
    <xf numFmtId="174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F1D900-1A4B-FF4A-A6BC-77DF0782C18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689b20b-be9b-42e9-b64c-c536394f079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ye-k8s.zed.co/querylibrary/227/i2c-customer-ID" TargetMode="External"/><Relationship Id="rId2" Type="http://schemas.openxmlformats.org/officeDocument/2006/relationships/hyperlink" Target="https://wye-k8s.zed.co/querylibrary/227/i2c-customer-ID" TargetMode="External"/><Relationship Id="rId1" Type="http://schemas.openxmlformats.org/officeDocument/2006/relationships/hyperlink" Target="https://console.cloud.google.com/bigquery?ws=!1m12!1m5!4m3!1sepicac-2!2szed_reporting!3sactive_users_per_month!23sWS_URL_PARAM!1m5!4m3!1sepicac-2!2szed_reporting!3sactive_users_per_day!23sTREE_NODE_SELECTION&amp;project=epicac-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D1000"/>
  <sheetViews>
    <sheetView showGridLines="0" workbookViewId="0"/>
  </sheetViews>
  <sheetFormatPr baseColWidth="10" defaultColWidth="11.1640625" defaultRowHeight="15" customHeight="1" x14ac:dyDescent="0.2"/>
  <cols>
    <col min="1" max="1" width="4.83203125" customWidth="1"/>
    <col min="2" max="2" width="41.1640625" customWidth="1"/>
    <col min="3" max="3" width="58.6640625" customWidth="1"/>
    <col min="4" max="4" width="37" customWidth="1"/>
    <col min="5" max="26" width="11.1640625" customWidth="1"/>
  </cols>
  <sheetData>
    <row r="1" spans="2:4" ht="15.75" customHeight="1" x14ac:dyDescent="0.2">
      <c r="B1" s="1"/>
      <c r="C1" s="2"/>
      <c r="D1" s="1"/>
    </row>
    <row r="2" spans="2:4" ht="15.75" customHeight="1" x14ac:dyDescent="0.2">
      <c r="B2" s="3" t="s">
        <v>0</v>
      </c>
      <c r="C2" s="5" t="s">
        <v>2</v>
      </c>
      <c r="D2" s="3" t="s">
        <v>3</v>
      </c>
    </row>
    <row r="3" spans="2:4" ht="15.75" customHeight="1" x14ac:dyDescent="0.2">
      <c r="B3" s="8" t="s">
        <v>4</v>
      </c>
      <c r="C3" s="10" t="s">
        <v>5</v>
      </c>
      <c r="D3" s="10" t="s">
        <v>6</v>
      </c>
    </row>
    <row r="4" spans="2:4" ht="15.75" customHeight="1" x14ac:dyDescent="0.2">
      <c r="B4" s="8" t="s">
        <v>7</v>
      </c>
      <c r="C4" s="10" t="s">
        <v>9</v>
      </c>
      <c r="D4" s="14" t="s">
        <v>10</v>
      </c>
    </row>
    <row r="5" spans="2:4" ht="15.75" customHeight="1" x14ac:dyDescent="0.2">
      <c r="B5" s="15" t="s">
        <v>12</v>
      </c>
      <c r="C5" s="16" t="s">
        <v>13</v>
      </c>
      <c r="D5" s="18" t="s">
        <v>14</v>
      </c>
    </row>
    <row r="6" spans="2:4" ht="15.75" customHeight="1" x14ac:dyDescent="0.2">
      <c r="B6" s="15" t="s">
        <v>16</v>
      </c>
      <c r="C6" s="16" t="s">
        <v>17</v>
      </c>
      <c r="D6" s="22" t="s">
        <v>18</v>
      </c>
    </row>
    <row r="7" spans="2:4" ht="15.75" customHeight="1" x14ac:dyDescent="0.2">
      <c r="B7" s="15" t="s">
        <v>20</v>
      </c>
      <c r="C7" s="16" t="s">
        <v>21</v>
      </c>
      <c r="D7" s="18" t="s">
        <v>22</v>
      </c>
    </row>
    <row r="8" spans="2:4" ht="15.75" customHeight="1" x14ac:dyDescent="0.2">
      <c r="B8" s="15" t="s">
        <v>23</v>
      </c>
      <c r="C8" s="16" t="s">
        <v>24</v>
      </c>
      <c r="D8" s="18" t="s">
        <v>22</v>
      </c>
    </row>
    <row r="9" spans="2:4" ht="15.75" customHeight="1" x14ac:dyDescent="0.2">
      <c r="B9" s="15" t="s">
        <v>25</v>
      </c>
      <c r="C9" s="16" t="s">
        <v>26</v>
      </c>
      <c r="D9" s="18" t="s">
        <v>14</v>
      </c>
    </row>
    <row r="10" spans="2:4" ht="15.75" customHeight="1" x14ac:dyDescent="0.2">
      <c r="B10" s="15" t="s">
        <v>28</v>
      </c>
      <c r="C10" s="16" t="s">
        <v>29</v>
      </c>
      <c r="D10" s="16" t="s">
        <v>30</v>
      </c>
    </row>
    <row r="11" spans="2:4" ht="15.75" customHeight="1" x14ac:dyDescent="0.2">
      <c r="B11" s="15" t="s">
        <v>32</v>
      </c>
      <c r="C11" s="16" t="s">
        <v>33</v>
      </c>
      <c r="D11" s="18" t="s">
        <v>34</v>
      </c>
    </row>
    <row r="12" spans="2:4" ht="15.75" customHeight="1" x14ac:dyDescent="0.2">
      <c r="B12" s="15" t="s">
        <v>35</v>
      </c>
      <c r="C12" s="16" t="s">
        <v>36</v>
      </c>
      <c r="D12" s="18" t="s">
        <v>34</v>
      </c>
    </row>
    <row r="13" spans="2:4" ht="15.75" customHeight="1" x14ac:dyDescent="0.2">
      <c r="B13" s="15" t="s">
        <v>37</v>
      </c>
      <c r="C13" s="16" t="s">
        <v>38</v>
      </c>
      <c r="D13" s="18" t="s">
        <v>22</v>
      </c>
    </row>
    <row r="14" spans="2:4" ht="15.75" customHeight="1" x14ac:dyDescent="0.2">
      <c r="B14" s="15" t="s">
        <v>39</v>
      </c>
      <c r="C14" s="16" t="s">
        <v>40</v>
      </c>
      <c r="D14" s="18" t="s">
        <v>41</v>
      </c>
    </row>
    <row r="15" spans="2:4" ht="15.75" customHeight="1" x14ac:dyDescent="0.2">
      <c r="B15" s="15" t="s">
        <v>42</v>
      </c>
      <c r="C15" s="16" t="s">
        <v>43</v>
      </c>
      <c r="D15" s="18" t="s">
        <v>44</v>
      </c>
    </row>
    <row r="16" spans="2:4" ht="15.75" customHeight="1" x14ac:dyDescent="0.2">
      <c r="B16" s="15" t="s">
        <v>45</v>
      </c>
      <c r="C16" s="16" t="s">
        <v>46</v>
      </c>
      <c r="D16" s="18" t="s">
        <v>34</v>
      </c>
    </row>
    <row r="17" spans="2:4" ht="15.75" customHeight="1" x14ac:dyDescent="0.2">
      <c r="B17" s="15" t="s">
        <v>47</v>
      </c>
      <c r="C17" s="16" t="s">
        <v>48</v>
      </c>
      <c r="D17" s="18" t="s">
        <v>49</v>
      </c>
    </row>
    <row r="18" spans="2:4" ht="15.75" customHeight="1" x14ac:dyDescent="0.2">
      <c r="B18" s="15" t="s">
        <v>50</v>
      </c>
      <c r="C18" s="16" t="s">
        <v>51</v>
      </c>
      <c r="D18" s="18" t="s">
        <v>49</v>
      </c>
    </row>
    <row r="19" spans="2:4" ht="15.75" customHeight="1" x14ac:dyDescent="0.2">
      <c r="B19" s="15"/>
      <c r="C19" s="16"/>
      <c r="D19" s="18"/>
    </row>
    <row r="20" spans="2:4" ht="15.75" customHeight="1" x14ac:dyDescent="0.2">
      <c r="B20" s="15" t="s">
        <v>52</v>
      </c>
      <c r="C20" s="16" t="s">
        <v>53</v>
      </c>
      <c r="D20" s="18" t="s">
        <v>54</v>
      </c>
    </row>
    <row r="21" spans="2:4" ht="15.75" customHeight="1" x14ac:dyDescent="0.2">
      <c r="B21" s="15" t="s">
        <v>55</v>
      </c>
      <c r="C21" s="16" t="s">
        <v>56</v>
      </c>
      <c r="D21" s="22" t="s">
        <v>18</v>
      </c>
    </row>
    <row r="22" spans="2:4" ht="15.75" customHeight="1" x14ac:dyDescent="0.2">
      <c r="B22" s="15" t="s">
        <v>57</v>
      </c>
      <c r="C22" s="16" t="s">
        <v>59</v>
      </c>
      <c r="D22" s="18" t="s">
        <v>34</v>
      </c>
    </row>
    <row r="23" spans="2:4" ht="15.75" customHeight="1" x14ac:dyDescent="0.2">
      <c r="B23" s="1"/>
      <c r="C23" s="2"/>
      <c r="D23" s="1"/>
    </row>
    <row r="24" spans="2:4" ht="15.75" customHeight="1" x14ac:dyDescent="0.2">
      <c r="B24" s="1"/>
      <c r="C24" s="2"/>
      <c r="D24" s="1"/>
    </row>
    <row r="25" spans="2:4" ht="15.75" customHeight="1" x14ac:dyDescent="0.2">
      <c r="B25" s="1"/>
      <c r="C25" s="2"/>
      <c r="D25" s="1"/>
    </row>
    <row r="26" spans="2:4" ht="15.75" customHeight="1" x14ac:dyDescent="0.2">
      <c r="B26" s="1"/>
      <c r="C26" s="2"/>
      <c r="D26" s="1"/>
    </row>
    <row r="27" spans="2:4" ht="15.75" customHeight="1" x14ac:dyDescent="0.2">
      <c r="B27" s="1"/>
      <c r="C27" s="2"/>
      <c r="D27" s="1"/>
    </row>
    <row r="28" spans="2:4" ht="15.75" customHeight="1" x14ac:dyDescent="0.2">
      <c r="B28" s="1"/>
      <c r="C28" s="2"/>
      <c r="D28" s="1"/>
    </row>
    <row r="29" spans="2:4" ht="15.75" customHeight="1" x14ac:dyDescent="0.2">
      <c r="B29" s="1"/>
      <c r="C29" s="2"/>
      <c r="D29" s="1"/>
    </row>
    <row r="30" spans="2:4" ht="15.75" customHeight="1" x14ac:dyDescent="0.2">
      <c r="B30" s="1"/>
      <c r="C30" s="2"/>
      <c r="D30" s="1"/>
    </row>
    <row r="31" spans="2:4" ht="15.75" customHeight="1" x14ac:dyDescent="0.2">
      <c r="B31" s="1"/>
      <c r="C31" s="2"/>
      <c r="D31" s="1"/>
    </row>
    <row r="32" spans="2:4" ht="15.75" customHeight="1" x14ac:dyDescent="0.2">
      <c r="B32" s="1"/>
      <c r="C32" s="2"/>
      <c r="D32" s="1"/>
    </row>
    <row r="33" spans="2:4" ht="15.75" customHeight="1" x14ac:dyDescent="0.2">
      <c r="B33" s="1"/>
      <c r="C33" s="2"/>
      <c r="D33" s="1"/>
    </row>
    <row r="34" spans="2:4" ht="15.75" customHeight="1" x14ac:dyDescent="0.2">
      <c r="B34" s="1"/>
      <c r="C34" s="2"/>
      <c r="D34" s="1"/>
    </row>
    <row r="35" spans="2:4" ht="15.75" customHeight="1" x14ac:dyDescent="0.2">
      <c r="B35" s="1"/>
      <c r="C35" s="2"/>
      <c r="D35" s="1"/>
    </row>
    <row r="36" spans="2:4" ht="15.75" customHeight="1" x14ac:dyDescent="0.2">
      <c r="B36" s="1"/>
      <c r="C36" s="2"/>
      <c r="D36" s="1"/>
    </row>
    <row r="37" spans="2:4" ht="15.75" customHeight="1" x14ac:dyDescent="0.2">
      <c r="B37" s="1"/>
      <c r="C37" s="2"/>
      <c r="D37" s="1"/>
    </row>
    <row r="38" spans="2:4" ht="15.75" customHeight="1" x14ac:dyDescent="0.2">
      <c r="B38" s="1"/>
      <c r="C38" s="2"/>
      <c r="D38" s="1"/>
    </row>
    <row r="39" spans="2:4" ht="15.75" customHeight="1" x14ac:dyDescent="0.2">
      <c r="B39" s="1"/>
      <c r="C39" s="2"/>
      <c r="D39" s="1"/>
    </row>
    <row r="40" spans="2:4" ht="15.75" customHeight="1" x14ac:dyDescent="0.2">
      <c r="B40" s="1"/>
      <c r="C40" s="2"/>
      <c r="D40" s="1"/>
    </row>
    <row r="41" spans="2:4" ht="15.75" customHeight="1" x14ac:dyDescent="0.2">
      <c r="B41" s="1"/>
      <c r="C41" s="2"/>
      <c r="D41" s="1"/>
    </row>
    <row r="42" spans="2:4" ht="15.75" customHeight="1" x14ac:dyDescent="0.2">
      <c r="B42" s="1"/>
      <c r="C42" s="2"/>
      <c r="D42" s="1"/>
    </row>
    <row r="43" spans="2:4" ht="15.75" customHeight="1" x14ac:dyDescent="0.2">
      <c r="B43" s="1"/>
      <c r="C43" s="2"/>
      <c r="D43" s="1"/>
    </row>
    <row r="44" spans="2:4" ht="15.75" customHeight="1" x14ac:dyDescent="0.2">
      <c r="B44" s="1"/>
      <c r="C44" s="2"/>
      <c r="D44" s="1"/>
    </row>
    <row r="45" spans="2:4" ht="15.75" customHeight="1" x14ac:dyDescent="0.2">
      <c r="B45" s="1"/>
      <c r="C45" s="2"/>
      <c r="D45" s="1"/>
    </row>
    <row r="46" spans="2:4" ht="15.75" customHeight="1" x14ac:dyDescent="0.2">
      <c r="B46" s="1"/>
      <c r="C46" s="2"/>
      <c r="D46" s="1"/>
    </row>
    <row r="47" spans="2:4" ht="15.75" customHeight="1" x14ac:dyDescent="0.2">
      <c r="B47" s="1"/>
      <c r="C47" s="2"/>
      <c r="D47" s="1"/>
    </row>
    <row r="48" spans="2:4" ht="15.75" customHeight="1" x14ac:dyDescent="0.2">
      <c r="B48" s="1"/>
      <c r="C48" s="2"/>
      <c r="D48" s="1"/>
    </row>
    <row r="49" spans="2:4" ht="15.75" customHeight="1" x14ac:dyDescent="0.2">
      <c r="B49" s="1"/>
      <c r="C49" s="2"/>
      <c r="D49" s="1"/>
    </row>
    <row r="50" spans="2:4" ht="15.75" customHeight="1" x14ac:dyDescent="0.2">
      <c r="B50" s="1"/>
      <c r="C50" s="2"/>
      <c r="D50" s="1"/>
    </row>
    <row r="51" spans="2:4" ht="15.75" customHeight="1" x14ac:dyDescent="0.2">
      <c r="B51" s="1"/>
      <c r="C51" s="2"/>
      <c r="D51" s="1"/>
    </row>
    <row r="52" spans="2:4" ht="15.75" customHeight="1" x14ac:dyDescent="0.2">
      <c r="B52" s="1"/>
      <c r="C52" s="2"/>
      <c r="D52" s="1"/>
    </row>
    <row r="53" spans="2:4" ht="15.75" customHeight="1" x14ac:dyDescent="0.2">
      <c r="B53" s="1"/>
      <c r="C53" s="2"/>
      <c r="D53" s="1"/>
    </row>
    <row r="54" spans="2:4" ht="15.75" customHeight="1" x14ac:dyDescent="0.2">
      <c r="B54" s="1"/>
      <c r="C54" s="2"/>
      <c r="D54" s="1"/>
    </row>
    <row r="55" spans="2:4" ht="15.75" customHeight="1" x14ac:dyDescent="0.2">
      <c r="B55" s="1"/>
      <c r="C55" s="2"/>
      <c r="D55" s="1"/>
    </row>
    <row r="56" spans="2:4" ht="15.75" customHeight="1" x14ac:dyDescent="0.2">
      <c r="B56" s="1"/>
      <c r="C56" s="2"/>
      <c r="D56" s="1"/>
    </row>
    <row r="57" spans="2:4" ht="15.75" customHeight="1" x14ac:dyDescent="0.2">
      <c r="B57" s="1"/>
      <c r="C57" s="2"/>
      <c r="D57" s="1"/>
    </row>
    <row r="58" spans="2:4" ht="15.75" customHeight="1" x14ac:dyDescent="0.2">
      <c r="B58" s="1"/>
      <c r="C58" s="2"/>
      <c r="D58" s="1"/>
    </row>
    <row r="59" spans="2:4" ht="15.75" customHeight="1" x14ac:dyDescent="0.2">
      <c r="B59" s="1"/>
      <c r="C59" s="2"/>
      <c r="D59" s="1"/>
    </row>
    <row r="60" spans="2:4" ht="15.75" customHeight="1" x14ac:dyDescent="0.2">
      <c r="B60" s="1"/>
      <c r="C60" s="2"/>
      <c r="D60" s="1"/>
    </row>
    <row r="61" spans="2:4" ht="15.75" customHeight="1" x14ac:dyDescent="0.2">
      <c r="B61" s="1"/>
      <c r="C61" s="2"/>
      <c r="D61" s="1"/>
    </row>
    <row r="62" spans="2:4" ht="15.75" customHeight="1" x14ac:dyDescent="0.2">
      <c r="B62" s="1"/>
      <c r="C62" s="2"/>
      <c r="D62" s="1"/>
    </row>
    <row r="63" spans="2:4" ht="15.75" customHeight="1" x14ac:dyDescent="0.2">
      <c r="B63" s="1"/>
      <c r="C63" s="2"/>
      <c r="D63" s="1"/>
    </row>
    <row r="64" spans="2:4" ht="15.75" customHeight="1" x14ac:dyDescent="0.2">
      <c r="B64" s="1"/>
      <c r="C64" s="2"/>
      <c r="D64" s="1"/>
    </row>
    <row r="65" spans="2:4" ht="15.75" customHeight="1" x14ac:dyDescent="0.2">
      <c r="B65" s="1"/>
      <c r="C65" s="2"/>
      <c r="D65" s="1"/>
    </row>
    <row r="66" spans="2:4" ht="15.75" customHeight="1" x14ac:dyDescent="0.2">
      <c r="B66" s="1"/>
      <c r="C66" s="2"/>
      <c r="D66" s="1"/>
    </row>
    <row r="67" spans="2:4" ht="15.75" customHeight="1" x14ac:dyDescent="0.2">
      <c r="B67" s="1"/>
      <c r="C67" s="2"/>
      <c r="D67" s="1"/>
    </row>
    <row r="68" spans="2:4" ht="15.75" customHeight="1" x14ac:dyDescent="0.2">
      <c r="B68" s="1"/>
      <c r="C68" s="2"/>
      <c r="D68" s="1"/>
    </row>
    <row r="69" spans="2:4" ht="15.75" customHeight="1" x14ac:dyDescent="0.2">
      <c r="B69" s="1"/>
      <c r="C69" s="2"/>
      <c r="D69" s="1"/>
    </row>
    <row r="70" spans="2:4" ht="15.75" customHeight="1" x14ac:dyDescent="0.2">
      <c r="B70" s="1"/>
      <c r="C70" s="2"/>
      <c r="D70" s="1"/>
    </row>
    <row r="71" spans="2:4" ht="15.75" customHeight="1" x14ac:dyDescent="0.2">
      <c r="B71" s="1"/>
      <c r="C71" s="2"/>
      <c r="D71" s="1"/>
    </row>
    <row r="72" spans="2:4" ht="15.75" customHeight="1" x14ac:dyDescent="0.2">
      <c r="B72" s="1"/>
      <c r="C72" s="2"/>
      <c r="D72" s="1"/>
    </row>
    <row r="73" spans="2:4" ht="15.75" customHeight="1" x14ac:dyDescent="0.2">
      <c r="B73" s="1"/>
      <c r="C73" s="2"/>
      <c r="D73" s="1"/>
    </row>
    <row r="74" spans="2:4" ht="15.75" customHeight="1" x14ac:dyDescent="0.2">
      <c r="B74" s="1"/>
      <c r="C74" s="2"/>
      <c r="D74" s="1"/>
    </row>
    <row r="75" spans="2:4" ht="15.75" customHeight="1" x14ac:dyDescent="0.2">
      <c r="B75" s="1"/>
      <c r="C75" s="2"/>
      <c r="D75" s="1"/>
    </row>
    <row r="76" spans="2:4" ht="15.75" customHeight="1" x14ac:dyDescent="0.2">
      <c r="B76" s="1"/>
      <c r="C76" s="2"/>
      <c r="D76" s="1"/>
    </row>
    <row r="77" spans="2:4" ht="15.75" customHeight="1" x14ac:dyDescent="0.2">
      <c r="B77" s="1"/>
      <c r="C77" s="2"/>
      <c r="D77" s="1"/>
    </row>
    <row r="78" spans="2:4" ht="15.75" customHeight="1" x14ac:dyDescent="0.2">
      <c r="B78" s="1"/>
      <c r="C78" s="2"/>
      <c r="D78" s="1"/>
    </row>
    <row r="79" spans="2:4" ht="15.75" customHeight="1" x14ac:dyDescent="0.2">
      <c r="B79" s="1"/>
      <c r="C79" s="2"/>
      <c r="D79" s="1"/>
    </row>
    <row r="80" spans="2:4" ht="15.75" customHeight="1" x14ac:dyDescent="0.2">
      <c r="B80" s="1"/>
      <c r="C80" s="2"/>
      <c r="D80" s="1"/>
    </row>
    <row r="81" spans="2:4" ht="15.75" customHeight="1" x14ac:dyDescent="0.2">
      <c r="B81" s="1"/>
      <c r="C81" s="2"/>
      <c r="D81" s="1"/>
    </row>
    <row r="82" spans="2:4" ht="15.75" customHeight="1" x14ac:dyDescent="0.2">
      <c r="B82" s="1"/>
      <c r="C82" s="2"/>
      <c r="D82" s="1"/>
    </row>
    <row r="83" spans="2:4" ht="15.75" customHeight="1" x14ac:dyDescent="0.2">
      <c r="B83" s="1"/>
      <c r="C83" s="2"/>
      <c r="D83" s="1"/>
    </row>
    <row r="84" spans="2:4" ht="15.75" customHeight="1" x14ac:dyDescent="0.2">
      <c r="B84" s="1"/>
      <c r="C84" s="2"/>
      <c r="D84" s="1"/>
    </row>
    <row r="85" spans="2:4" ht="15.75" customHeight="1" x14ac:dyDescent="0.2">
      <c r="B85" s="1"/>
      <c r="C85" s="2"/>
      <c r="D85" s="1"/>
    </row>
    <row r="86" spans="2:4" ht="15.75" customHeight="1" x14ac:dyDescent="0.2">
      <c r="B86" s="1"/>
      <c r="C86" s="2"/>
      <c r="D86" s="1"/>
    </row>
    <row r="87" spans="2:4" ht="15.75" customHeight="1" x14ac:dyDescent="0.2">
      <c r="B87" s="1"/>
      <c r="C87" s="2"/>
      <c r="D87" s="1"/>
    </row>
    <row r="88" spans="2:4" ht="15.75" customHeight="1" x14ac:dyDescent="0.2">
      <c r="B88" s="1"/>
      <c r="C88" s="2"/>
      <c r="D88" s="1"/>
    </row>
    <row r="89" spans="2:4" ht="15.75" customHeight="1" x14ac:dyDescent="0.2">
      <c r="B89" s="1"/>
      <c r="C89" s="2"/>
      <c r="D89" s="1"/>
    </row>
    <row r="90" spans="2:4" ht="15.75" customHeight="1" x14ac:dyDescent="0.2">
      <c r="B90" s="1"/>
      <c r="C90" s="2"/>
      <c r="D90" s="1"/>
    </row>
    <row r="91" spans="2:4" ht="15.75" customHeight="1" x14ac:dyDescent="0.2">
      <c r="B91" s="1"/>
      <c r="C91" s="2"/>
      <c r="D91" s="1"/>
    </row>
    <row r="92" spans="2:4" ht="15.75" customHeight="1" x14ac:dyDescent="0.2">
      <c r="B92" s="1"/>
      <c r="C92" s="2"/>
      <c r="D92" s="1"/>
    </row>
    <row r="93" spans="2:4" ht="15.75" customHeight="1" x14ac:dyDescent="0.2">
      <c r="B93" s="1"/>
      <c r="C93" s="2"/>
      <c r="D93" s="1"/>
    </row>
    <row r="94" spans="2:4" ht="15.75" customHeight="1" x14ac:dyDescent="0.2">
      <c r="B94" s="1"/>
      <c r="C94" s="2"/>
      <c r="D94" s="1"/>
    </row>
    <row r="95" spans="2:4" ht="15.75" customHeight="1" x14ac:dyDescent="0.2">
      <c r="B95" s="1"/>
      <c r="C95" s="2"/>
      <c r="D95" s="1"/>
    </row>
    <row r="96" spans="2:4" ht="15.75" customHeight="1" x14ac:dyDescent="0.2">
      <c r="B96" s="1"/>
      <c r="C96" s="2"/>
      <c r="D96" s="1"/>
    </row>
    <row r="97" spans="2:4" ht="15.75" customHeight="1" x14ac:dyDescent="0.2">
      <c r="B97" s="1"/>
      <c r="C97" s="2"/>
      <c r="D97" s="1"/>
    </row>
    <row r="98" spans="2:4" ht="15.75" customHeight="1" x14ac:dyDescent="0.2">
      <c r="B98" s="1"/>
      <c r="C98" s="2"/>
      <c r="D98" s="1"/>
    </row>
    <row r="99" spans="2:4" ht="15.75" customHeight="1" x14ac:dyDescent="0.2">
      <c r="B99" s="1"/>
      <c r="C99" s="2"/>
      <c r="D99" s="1"/>
    </row>
    <row r="100" spans="2:4" ht="15.75" customHeight="1" x14ac:dyDescent="0.2">
      <c r="B100" s="1"/>
      <c r="C100" s="2"/>
      <c r="D100" s="1"/>
    </row>
    <row r="101" spans="2:4" ht="15.75" customHeight="1" x14ac:dyDescent="0.2">
      <c r="B101" s="1"/>
      <c r="C101" s="2"/>
      <c r="D101" s="1"/>
    </row>
    <row r="102" spans="2:4" ht="15.75" customHeight="1" x14ac:dyDescent="0.2">
      <c r="B102" s="1"/>
      <c r="C102" s="2"/>
      <c r="D102" s="1"/>
    </row>
    <row r="103" spans="2:4" ht="15.75" customHeight="1" x14ac:dyDescent="0.2">
      <c r="B103" s="1"/>
      <c r="C103" s="2"/>
      <c r="D103" s="1"/>
    </row>
    <row r="104" spans="2:4" ht="15.75" customHeight="1" x14ac:dyDescent="0.2">
      <c r="B104" s="1"/>
      <c r="C104" s="2"/>
      <c r="D104" s="1"/>
    </row>
    <row r="105" spans="2:4" ht="15.75" customHeight="1" x14ac:dyDescent="0.2">
      <c r="B105" s="1"/>
      <c r="C105" s="2"/>
      <c r="D105" s="1"/>
    </row>
    <row r="106" spans="2:4" ht="15.75" customHeight="1" x14ac:dyDescent="0.2">
      <c r="B106" s="1"/>
      <c r="C106" s="2"/>
      <c r="D106" s="1"/>
    </row>
    <row r="107" spans="2:4" ht="15.75" customHeight="1" x14ac:dyDescent="0.2">
      <c r="B107" s="1"/>
      <c r="C107" s="2"/>
      <c r="D107" s="1"/>
    </row>
    <row r="108" spans="2:4" ht="15.75" customHeight="1" x14ac:dyDescent="0.2">
      <c r="B108" s="1"/>
      <c r="C108" s="2"/>
      <c r="D108" s="1"/>
    </row>
    <row r="109" spans="2:4" ht="15.75" customHeight="1" x14ac:dyDescent="0.2">
      <c r="B109" s="1"/>
      <c r="C109" s="2"/>
      <c r="D109" s="1"/>
    </row>
    <row r="110" spans="2:4" ht="15.75" customHeight="1" x14ac:dyDescent="0.2">
      <c r="B110" s="1"/>
      <c r="C110" s="2"/>
      <c r="D110" s="1"/>
    </row>
    <row r="111" spans="2:4" ht="15.75" customHeight="1" x14ac:dyDescent="0.2">
      <c r="B111" s="1"/>
      <c r="C111" s="2"/>
      <c r="D111" s="1"/>
    </row>
    <row r="112" spans="2:4" ht="15.75" customHeight="1" x14ac:dyDescent="0.2">
      <c r="B112" s="1"/>
      <c r="C112" s="2"/>
      <c r="D112" s="1"/>
    </row>
    <row r="113" spans="2:4" ht="15.75" customHeight="1" x14ac:dyDescent="0.2">
      <c r="B113" s="1"/>
      <c r="C113" s="2"/>
      <c r="D113" s="1"/>
    </row>
    <row r="114" spans="2:4" ht="15.75" customHeight="1" x14ac:dyDescent="0.2">
      <c r="B114" s="1"/>
      <c r="C114" s="2"/>
      <c r="D114" s="1"/>
    </row>
    <row r="115" spans="2:4" ht="15.75" customHeight="1" x14ac:dyDescent="0.2">
      <c r="B115" s="1"/>
      <c r="C115" s="2"/>
      <c r="D115" s="1"/>
    </row>
    <row r="116" spans="2:4" ht="15.75" customHeight="1" x14ac:dyDescent="0.2">
      <c r="B116" s="1"/>
      <c r="C116" s="2"/>
      <c r="D116" s="1"/>
    </row>
    <row r="117" spans="2:4" ht="15.75" customHeight="1" x14ac:dyDescent="0.2">
      <c r="B117" s="1"/>
      <c r="C117" s="2"/>
      <c r="D117" s="1"/>
    </row>
    <row r="118" spans="2:4" ht="15.75" customHeight="1" x14ac:dyDescent="0.2">
      <c r="B118" s="1"/>
      <c r="C118" s="2"/>
      <c r="D118" s="1"/>
    </row>
    <row r="119" spans="2:4" ht="15.75" customHeight="1" x14ac:dyDescent="0.2">
      <c r="B119" s="1"/>
      <c r="C119" s="2"/>
      <c r="D119" s="1"/>
    </row>
    <row r="120" spans="2:4" ht="15.75" customHeight="1" x14ac:dyDescent="0.2">
      <c r="B120" s="1"/>
      <c r="C120" s="2"/>
      <c r="D120" s="1"/>
    </row>
    <row r="121" spans="2:4" ht="15.75" customHeight="1" x14ac:dyDescent="0.2">
      <c r="B121" s="1"/>
      <c r="C121" s="2"/>
      <c r="D121" s="1"/>
    </row>
    <row r="122" spans="2:4" ht="15.75" customHeight="1" x14ac:dyDescent="0.2">
      <c r="B122" s="1"/>
      <c r="C122" s="2"/>
      <c r="D122" s="1"/>
    </row>
    <row r="123" spans="2:4" ht="15.75" customHeight="1" x14ac:dyDescent="0.2">
      <c r="B123" s="1"/>
      <c r="C123" s="2"/>
      <c r="D123" s="1"/>
    </row>
    <row r="124" spans="2:4" ht="15.75" customHeight="1" x14ac:dyDescent="0.2">
      <c r="B124" s="1"/>
      <c r="C124" s="2"/>
      <c r="D124" s="1"/>
    </row>
    <row r="125" spans="2:4" ht="15.75" customHeight="1" x14ac:dyDescent="0.2">
      <c r="B125" s="1"/>
      <c r="C125" s="2"/>
      <c r="D125" s="1"/>
    </row>
    <row r="126" spans="2:4" ht="15.75" customHeight="1" x14ac:dyDescent="0.2">
      <c r="B126" s="1"/>
      <c r="C126" s="2"/>
      <c r="D126" s="1"/>
    </row>
    <row r="127" spans="2:4" ht="15.75" customHeight="1" x14ac:dyDescent="0.2">
      <c r="B127" s="1"/>
      <c r="C127" s="2"/>
      <c r="D127" s="1"/>
    </row>
    <row r="128" spans="2:4" ht="15.75" customHeight="1" x14ac:dyDescent="0.2">
      <c r="B128" s="1"/>
      <c r="C128" s="2"/>
      <c r="D128" s="1"/>
    </row>
    <row r="129" spans="2:4" ht="15.75" customHeight="1" x14ac:dyDescent="0.2">
      <c r="B129" s="1"/>
      <c r="C129" s="2"/>
      <c r="D129" s="1"/>
    </row>
    <row r="130" spans="2:4" ht="15.75" customHeight="1" x14ac:dyDescent="0.2">
      <c r="B130" s="1"/>
      <c r="C130" s="2"/>
      <c r="D130" s="1"/>
    </row>
    <row r="131" spans="2:4" ht="15.75" customHeight="1" x14ac:dyDescent="0.2">
      <c r="B131" s="1"/>
      <c r="C131" s="2"/>
      <c r="D131" s="1"/>
    </row>
    <row r="132" spans="2:4" ht="15.75" customHeight="1" x14ac:dyDescent="0.2">
      <c r="B132" s="1"/>
      <c r="C132" s="2"/>
      <c r="D132" s="1"/>
    </row>
    <row r="133" spans="2:4" ht="15.75" customHeight="1" x14ac:dyDescent="0.2">
      <c r="B133" s="1"/>
      <c r="C133" s="2"/>
      <c r="D133" s="1"/>
    </row>
    <row r="134" spans="2:4" ht="15.75" customHeight="1" x14ac:dyDescent="0.2">
      <c r="B134" s="1"/>
      <c r="C134" s="2"/>
      <c r="D134" s="1"/>
    </row>
    <row r="135" spans="2:4" ht="15.75" customHeight="1" x14ac:dyDescent="0.2">
      <c r="B135" s="1"/>
      <c r="C135" s="2"/>
      <c r="D135" s="1"/>
    </row>
    <row r="136" spans="2:4" ht="15.75" customHeight="1" x14ac:dyDescent="0.2">
      <c r="B136" s="1"/>
      <c r="C136" s="2"/>
      <c r="D136" s="1"/>
    </row>
    <row r="137" spans="2:4" ht="15.75" customHeight="1" x14ac:dyDescent="0.2">
      <c r="B137" s="1"/>
      <c r="C137" s="2"/>
      <c r="D137" s="1"/>
    </row>
    <row r="138" spans="2:4" ht="15.75" customHeight="1" x14ac:dyDescent="0.2">
      <c r="B138" s="1"/>
      <c r="C138" s="2"/>
      <c r="D138" s="1"/>
    </row>
    <row r="139" spans="2:4" ht="15.75" customHeight="1" x14ac:dyDescent="0.2">
      <c r="B139" s="1"/>
      <c r="C139" s="2"/>
      <c r="D139" s="1"/>
    </row>
    <row r="140" spans="2:4" ht="15.75" customHeight="1" x14ac:dyDescent="0.2">
      <c r="B140" s="1"/>
      <c r="C140" s="2"/>
      <c r="D140" s="1"/>
    </row>
    <row r="141" spans="2:4" ht="15.75" customHeight="1" x14ac:dyDescent="0.2">
      <c r="B141" s="1"/>
      <c r="C141" s="2"/>
      <c r="D141" s="1"/>
    </row>
    <row r="142" spans="2:4" ht="15.75" customHeight="1" x14ac:dyDescent="0.2">
      <c r="B142" s="1"/>
      <c r="C142" s="2"/>
      <c r="D142" s="1"/>
    </row>
    <row r="143" spans="2:4" ht="15.75" customHeight="1" x14ac:dyDescent="0.2">
      <c r="B143" s="1"/>
      <c r="C143" s="2"/>
      <c r="D143" s="1"/>
    </row>
    <row r="144" spans="2:4" ht="15.75" customHeight="1" x14ac:dyDescent="0.2">
      <c r="B144" s="1"/>
      <c r="C144" s="2"/>
      <c r="D144" s="1"/>
    </row>
    <row r="145" spans="2:4" ht="15.75" customHeight="1" x14ac:dyDescent="0.2">
      <c r="B145" s="1"/>
      <c r="C145" s="2"/>
      <c r="D145" s="1"/>
    </row>
    <row r="146" spans="2:4" ht="15.75" customHeight="1" x14ac:dyDescent="0.2">
      <c r="B146" s="1"/>
      <c r="C146" s="2"/>
      <c r="D146" s="1"/>
    </row>
    <row r="147" spans="2:4" ht="15.75" customHeight="1" x14ac:dyDescent="0.2">
      <c r="B147" s="1"/>
      <c r="C147" s="2"/>
      <c r="D147" s="1"/>
    </row>
    <row r="148" spans="2:4" ht="15.75" customHeight="1" x14ac:dyDescent="0.2">
      <c r="B148" s="1"/>
      <c r="C148" s="2"/>
      <c r="D148" s="1"/>
    </row>
    <row r="149" spans="2:4" ht="15.75" customHeight="1" x14ac:dyDescent="0.2">
      <c r="B149" s="1"/>
      <c r="C149" s="2"/>
      <c r="D149" s="1"/>
    </row>
    <row r="150" spans="2:4" ht="15.75" customHeight="1" x14ac:dyDescent="0.2">
      <c r="B150" s="1"/>
      <c r="C150" s="2"/>
      <c r="D150" s="1"/>
    </row>
    <row r="151" spans="2:4" ht="15.75" customHeight="1" x14ac:dyDescent="0.2">
      <c r="B151" s="1"/>
      <c r="C151" s="2"/>
      <c r="D151" s="1"/>
    </row>
    <row r="152" spans="2:4" ht="15.75" customHeight="1" x14ac:dyDescent="0.2">
      <c r="B152" s="1"/>
      <c r="C152" s="2"/>
      <c r="D152" s="1"/>
    </row>
    <row r="153" spans="2:4" ht="15.75" customHeight="1" x14ac:dyDescent="0.2">
      <c r="B153" s="1"/>
      <c r="C153" s="2"/>
      <c r="D153" s="1"/>
    </row>
    <row r="154" spans="2:4" ht="15.75" customHeight="1" x14ac:dyDescent="0.2">
      <c r="B154" s="1"/>
      <c r="C154" s="2"/>
      <c r="D154" s="1"/>
    </row>
    <row r="155" spans="2:4" ht="15.75" customHeight="1" x14ac:dyDescent="0.2">
      <c r="B155" s="1"/>
      <c r="C155" s="2"/>
      <c r="D155" s="1"/>
    </row>
    <row r="156" spans="2:4" ht="15.75" customHeight="1" x14ac:dyDescent="0.2">
      <c r="B156" s="1"/>
      <c r="C156" s="2"/>
      <c r="D156" s="1"/>
    </row>
    <row r="157" spans="2:4" ht="15.75" customHeight="1" x14ac:dyDescent="0.2">
      <c r="B157" s="1"/>
      <c r="C157" s="2"/>
      <c r="D157" s="1"/>
    </row>
    <row r="158" spans="2:4" ht="15.75" customHeight="1" x14ac:dyDescent="0.2">
      <c r="B158" s="1"/>
      <c r="C158" s="2"/>
      <c r="D158" s="1"/>
    </row>
    <row r="159" spans="2:4" ht="15.75" customHeight="1" x14ac:dyDescent="0.2">
      <c r="B159" s="1"/>
      <c r="C159" s="2"/>
      <c r="D159" s="1"/>
    </row>
    <row r="160" spans="2:4" ht="15.75" customHeight="1" x14ac:dyDescent="0.2">
      <c r="B160" s="1"/>
      <c r="C160" s="2"/>
      <c r="D160" s="1"/>
    </row>
    <row r="161" spans="2:4" ht="15.75" customHeight="1" x14ac:dyDescent="0.2">
      <c r="B161" s="1"/>
      <c r="C161" s="2"/>
      <c r="D161" s="1"/>
    </row>
    <row r="162" spans="2:4" ht="15.75" customHeight="1" x14ac:dyDescent="0.2">
      <c r="B162" s="1"/>
      <c r="C162" s="2"/>
      <c r="D162" s="1"/>
    </row>
    <row r="163" spans="2:4" ht="15.75" customHeight="1" x14ac:dyDescent="0.2">
      <c r="B163" s="1"/>
      <c r="C163" s="2"/>
      <c r="D163" s="1"/>
    </row>
    <row r="164" spans="2:4" ht="15.75" customHeight="1" x14ac:dyDescent="0.2">
      <c r="B164" s="1"/>
      <c r="C164" s="2"/>
      <c r="D164" s="1"/>
    </row>
    <row r="165" spans="2:4" ht="15.75" customHeight="1" x14ac:dyDescent="0.2">
      <c r="B165" s="1"/>
      <c r="C165" s="2"/>
      <c r="D165" s="1"/>
    </row>
    <row r="166" spans="2:4" ht="15.75" customHeight="1" x14ac:dyDescent="0.2">
      <c r="B166" s="1"/>
      <c r="C166" s="2"/>
      <c r="D166" s="1"/>
    </row>
    <row r="167" spans="2:4" ht="15.75" customHeight="1" x14ac:dyDescent="0.2">
      <c r="B167" s="1"/>
      <c r="C167" s="2"/>
      <c r="D167" s="1"/>
    </row>
    <row r="168" spans="2:4" ht="15.75" customHeight="1" x14ac:dyDescent="0.2">
      <c r="B168" s="1"/>
      <c r="C168" s="2"/>
      <c r="D168" s="1"/>
    </row>
    <row r="169" spans="2:4" ht="15.75" customHeight="1" x14ac:dyDescent="0.2">
      <c r="B169" s="1"/>
      <c r="C169" s="2"/>
      <c r="D169" s="1"/>
    </row>
    <row r="170" spans="2:4" ht="15.75" customHeight="1" x14ac:dyDescent="0.2">
      <c r="B170" s="1"/>
      <c r="C170" s="2"/>
      <c r="D170" s="1"/>
    </row>
    <row r="171" spans="2:4" ht="15.75" customHeight="1" x14ac:dyDescent="0.2">
      <c r="B171" s="1"/>
      <c r="C171" s="2"/>
      <c r="D171" s="1"/>
    </row>
    <row r="172" spans="2:4" ht="15.75" customHeight="1" x14ac:dyDescent="0.2">
      <c r="B172" s="1"/>
      <c r="C172" s="2"/>
      <c r="D172" s="1"/>
    </row>
    <row r="173" spans="2:4" ht="15.75" customHeight="1" x14ac:dyDescent="0.2">
      <c r="B173" s="1"/>
      <c r="C173" s="2"/>
      <c r="D173" s="1"/>
    </row>
    <row r="174" spans="2:4" ht="15.75" customHeight="1" x14ac:dyDescent="0.2">
      <c r="B174" s="1"/>
      <c r="C174" s="2"/>
      <c r="D174" s="1"/>
    </row>
    <row r="175" spans="2:4" ht="15.75" customHeight="1" x14ac:dyDescent="0.2">
      <c r="B175" s="1"/>
      <c r="C175" s="2"/>
      <c r="D175" s="1"/>
    </row>
    <row r="176" spans="2:4" ht="15.75" customHeight="1" x14ac:dyDescent="0.2">
      <c r="B176" s="1"/>
      <c r="C176" s="2"/>
      <c r="D176" s="1"/>
    </row>
    <row r="177" spans="2:4" ht="15.75" customHeight="1" x14ac:dyDescent="0.2">
      <c r="B177" s="1"/>
      <c r="C177" s="2"/>
      <c r="D177" s="1"/>
    </row>
    <row r="178" spans="2:4" ht="15.75" customHeight="1" x14ac:dyDescent="0.2">
      <c r="B178" s="1"/>
      <c r="C178" s="2"/>
      <c r="D178" s="1"/>
    </row>
    <row r="179" spans="2:4" ht="15.75" customHeight="1" x14ac:dyDescent="0.2">
      <c r="B179" s="1"/>
      <c r="C179" s="2"/>
      <c r="D179" s="1"/>
    </row>
    <row r="180" spans="2:4" ht="15.75" customHeight="1" x14ac:dyDescent="0.2">
      <c r="B180" s="1"/>
      <c r="C180" s="2"/>
      <c r="D180" s="1"/>
    </row>
    <row r="181" spans="2:4" ht="15.75" customHeight="1" x14ac:dyDescent="0.2">
      <c r="B181" s="1"/>
      <c r="C181" s="2"/>
      <c r="D181" s="1"/>
    </row>
    <row r="182" spans="2:4" ht="15.75" customHeight="1" x14ac:dyDescent="0.2">
      <c r="B182" s="1"/>
      <c r="C182" s="2"/>
      <c r="D182" s="1"/>
    </row>
    <row r="183" spans="2:4" ht="15.75" customHeight="1" x14ac:dyDescent="0.2">
      <c r="B183" s="1"/>
      <c r="C183" s="2"/>
      <c r="D183" s="1"/>
    </row>
    <row r="184" spans="2:4" ht="15.75" customHeight="1" x14ac:dyDescent="0.2">
      <c r="B184" s="1"/>
      <c r="C184" s="2"/>
      <c r="D184" s="1"/>
    </row>
    <row r="185" spans="2:4" ht="15.75" customHeight="1" x14ac:dyDescent="0.2">
      <c r="B185" s="1"/>
      <c r="C185" s="2"/>
      <c r="D185" s="1"/>
    </row>
    <row r="186" spans="2:4" ht="15.75" customHeight="1" x14ac:dyDescent="0.2">
      <c r="B186" s="1"/>
      <c r="C186" s="2"/>
      <c r="D186" s="1"/>
    </row>
    <row r="187" spans="2:4" ht="15.75" customHeight="1" x14ac:dyDescent="0.2">
      <c r="B187" s="1"/>
      <c r="C187" s="2"/>
      <c r="D187" s="1"/>
    </row>
    <row r="188" spans="2:4" ht="15.75" customHeight="1" x14ac:dyDescent="0.2">
      <c r="B188" s="1"/>
      <c r="C188" s="2"/>
      <c r="D188" s="1"/>
    </row>
    <row r="189" spans="2:4" ht="15.75" customHeight="1" x14ac:dyDescent="0.2">
      <c r="B189" s="1"/>
      <c r="C189" s="2"/>
      <c r="D189" s="1"/>
    </row>
    <row r="190" spans="2:4" ht="15.75" customHeight="1" x14ac:dyDescent="0.2">
      <c r="B190" s="1"/>
      <c r="C190" s="2"/>
      <c r="D190" s="1"/>
    </row>
    <row r="191" spans="2:4" ht="15.75" customHeight="1" x14ac:dyDescent="0.2">
      <c r="B191" s="1"/>
      <c r="C191" s="2"/>
      <c r="D191" s="1"/>
    </row>
    <row r="192" spans="2:4" ht="15.75" customHeight="1" x14ac:dyDescent="0.2">
      <c r="B192" s="1"/>
      <c r="C192" s="2"/>
      <c r="D192" s="1"/>
    </row>
    <row r="193" spans="2:4" ht="15.75" customHeight="1" x14ac:dyDescent="0.2">
      <c r="B193" s="1"/>
      <c r="C193" s="2"/>
      <c r="D193" s="1"/>
    </row>
    <row r="194" spans="2:4" ht="15.75" customHeight="1" x14ac:dyDescent="0.2">
      <c r="B194" s="1"/>
      <c r="C194" s="2"/>
      <c r="D194" s="1"/>
    </row>
    <row r="195" spans="2:4" ht="15.75" customHeight="1" x14ac:dyDescent="0.2">
      <c r="B195" s="1"/>
      <c r="C195" s="2"/>
      <c r="D195" s="1"/>
    </row>
    <row r="196" spans="2:4" ht="15.75" customHeight="1" x14ac:dyDescent="0.2">
      <c r="B196" s="1"/>
      <c r="C196" s="2"/>
      <c r="D196" s="1"/>
    </row>
    <row r="197" spans="2:4" ht="15.75" customHeight="1" x14ac:dyDescent="0.2">
      <c r="B197" s="1"/>
      <c r="C197" s="2"/>
      <c r="D197" s="1"/>
    </row>
    <row r="198" spans="2:4" ht="15.75" customHeight="1" x14ac:dyDescent="0.2">
      <c r="B198" s="1"/>
      <c r="C198" s="2"/>
      <c r="D198" s="1"/>
    </row>
    <row r="199" spans="2:4" ht="15.75" customHeight="1" x14ac:dyDescent="0.2">
      <c r="B199" s="1"/>
      <c r="C199" s="2"/>
      <c r="D199" s="1"/>
    </row>
    <row r="200" spans="2:4" ht="15.75" customHeight="1" x14ac:dyDescent="0.2">
      <c r="B200" s="1"/>
      <c r="C200" s="2"/>
      <c r="D200" s="1"/>
    </row>
    <row r="201" spans="2:4" ht="15.75" customHeight="1" x14ac:dyDescent="0.2">
      <c r="B201" s="1"/>
      <c r="C201" s="2"/>
      <c r="D201" s="1"/>
    </row>
    <row r="202" spans="2:4" ht="15.75" customHeight="1" x14ac:dyDescent="0.2">
      <c r="B202" s="1"/>
      <c r="C202" s="2"/>
      <c r="D202" s="1"/>
    </row>
    <row r="203" spans="2:4" ht="15.75" customHeight="1" x14ac:dyDescent="0.2">
      <c r="B203" s="1"/>
      <c r="C203" s="2"/>
      <c r="D203" s="1"/>
    </row>
    <row r="204" spans="2:4" ht="15.75" customHeight="1" x14ac:dyDescent="0.2">
      <c r="B204" s="1"/>
      <c r="C204" s="2"/>
      <c r="D204" s="1"/>
    </row>
    <row r="205" spans="2:4" ht="15.75" customHeight="1" x14ac:dyDescent="0.2">
      <c r="B205" s="1"/>
      <c r="C205" s="2"/>
      <c r="D205" s="1"/>
    </row>
    <row r="206" spans="2:4" ht="15.75" customHeight="1" x14ac:dyDescent="0.2">
      <c r="B206" s="1"/>
      <c r="C206" s="2"/>
      <c r="D206" s="1"/>
    </row>
    <row r="207" spans="2:4" ht="15.75" customHeight="1" x14ac:dyDescent="0.2">
      <c r="B207" s="1"/>
      <c r="C207" s="2"/>
      <c r="D207" s="1"/>
    </row>
    <row r="208" spans="2:4" ht="15.75" customHeight="1" x14ac:dyDescent="0.2">
      <c r="B208" s="1"/>
      <c r="C208" s="2"/>
      <c r="D208" s="1"/>
    </row>
    <row r="209" spans="2:4" ht="15.75" customHeight="1" x14ac:dyDescent="0.2">
      <c r="B209" s="1"/>
      <c r="C209" s="2"/>
      <c r="D209" s="1"/>
    </row>
    <row r="210" spans="2:4" ht="15.75" customHeight="1" x14ac:dyDescent="0.2">
      <c r="B210" s="1"/>
      <c r="C210" s="2"/>
      <c r="D210" s="1"/>
    </row>
    <row r="211" spans="2:4" ht="15.75" customHeight="1" x14ac:dyDescent="0.2">
      <c r="B211" s="1"/>
      <c r="C211" s="2"/>
      <c r="D211" s="1"/>
    </row>
    <row r="212" spans="2:4" ht="15.75" customHeight="1" x14ac:dyDescent="0.2">
      <c r="B212" s="1"/>
      <c r="C212" s="2"/>
      <c r="D212" s="1"/>
    </row>
    <row r="213" spans="2:4" ht="15.75" customHeight="1" x14ac:dyDescent="0.2">
      <c r="B213" s="1"/>
      <c r="C213" s="2"/>
      <c r="D213" s="1"/>
    </row>
    <row r="214" spans="2:4" ht="15.75" customHeight="1" x14ac:dyDescent="0.2">
      <c r="B214" s="1"/>
      <c r="C214" s="2"/>
      <c r="D214" s="1"/>
    </row>
    <row r="215" spans="2:4" ht="15.75" customHeight="1" x14ac:dyDescent="0.2">
      <c r="B215" s="1"/>
      <c r="C215" s="2"/>
      <c r="D215" s="1"/>
    </row>
    <row r="216" spans="2:4" ht="15.75" customHeight="1" x14ac:dyDescent="0.2">
      <c r="B216" s="1"/>
      <c r="C216" s="2"/>
      <c r="D216" s="1"/>
    </row>
    <row r="217" spans="2:4" ht="15.75" customHeight="1" x14ac:dyDescent="0.2">
      <c r="B217" s="1"/>
      <c r="C217" s="2"/>
      <c r="D217" s="1"/>
    </row>
    <row r="218" spans="2:4" ht="15.75" customHeight="1" x14ac:dyDescent="0.2">
      <c r="B218" s="1"/>
      <c r="C218" s="2"/>
      <c r="D218" s="1"/>
    </row>
    <row r="219" spans="2:4" ht="15.75" customHeight="1" x14ac:dyDescent="0.2">
      <c r="B219" s="1"/>
      <c r="C219" s="2"/>
      <c r="D219" s="1"/>
    </row>
    <row r="220" spans="2:4" ht="15.75" customHeight="1" x14ac:dyDescent="0.2">
      <c r="B220" s="1"/>
      <c r="C220" s="2"/>
      <c r="D220" s="1"/>
    </row>
    <row r="221" spans="2:4" ht="15.75" customHeight="1" x14ac:dyDescent="0.2">
      <c r="B221" s="1"/>
      <c r="C221" s="2"/>
      <c r="D221" s="1"/>
    </row>
    <row r="222" spans="2:4" ht="15.75" customHeight="1" x14ac:dyDescent="0.2">
      <c r="B222" s="1"/>
      <c r="C222" s="2"/>
      <c r="D222" s="1"/>
    </row>
    <row r="223" spans="2:4" ht="15.75" customHeight="1" x14ac:dyDescent="0.2">
      <c r="B223" s="1"/>
      <c r="C223" s="2"/>
      <c r="D223" s="1"/>
    </row>
    <row r="224" spans="2:4" ht="15.75" customHeight="1" x14ac:dyDescent="0.2">
      <c r="B224" s="1"/>
      <c r="C224" s="2"/>
      <c r="D224" s="1"/>
    </row>
    <row r="225" spans="2:4" ht="15.75" customHeight="1" x14ac:dyDescent="0.2">
      <c r="B225" s="1"/>
      <c r="C225" s="2"/>
      <c r="D225" s="1"/>
    </row>
    <row r="226" spans="2:4" ht="15.75" customHeight="1" x14ac:dyDescent="0.2">
      <c r="B226" s="1"/>
      <c r="C226" s="2"/>
      <c r="D226" s="1"/>
    </row>
    <row r="227" spans="2:4" ht="15.75" customHeight="1" x14ac:dyDescent="0.2">
      <c r="B227" s="1"/>
      <c r="C227" s="2"/>
      <c r="D227" s="1"/>
    </row>
    <row r="228" spans="2:4" ht="15.75" customHeight="1" x14ac:dyDescent="0.2">
      <c r="B228" s="1"/>
      <c r="C228" s="2"/>
      <c r="D228" s="1"/>
    </row>
    <row r="229" spans="2:4" ht="15.75" customHeight="1" x14ac:dyDescent="0.2">
      <c r="B229" s="1"/>
      <c r="C229" s="2"/>
      <c r="D229" s="1"/>
    </row>
    <row r="230" spans="2:4" ht="15.75" customHeight="1" x14ac:dyDescent="0.2">
      <c r="B230" s="1"/>
      <c r="C230" s="2"/>
      <c r="D230" s="1"/>
    </row>
    <row r="231" spans="2:4" ht="15.75" customHeight="1" x14ac:dyDescent="0.2">
      <c r="B231" s="1"/>
      <c r="C231" s="2"/>
      <c r="D231" s="1"/>
    </row>
    <row r="232" spans="2:4" ht="15.75" customHeight="1" x14ac:dyDescent="0.2">
      <c r="B232" s="1"/>
      <c r="C232" s="2"/>
      <c r="D232" s="1"/>
    </row>
    <row r="233" spans="2:4" ht="15.75" customHeight="1" x14ac:dyDescent="0.2">
      <c r="B233" s="1"/>
      <c r="C233" s="2"/>
      <c r="D233" s="1"/>
    </row>
    <row r="234" spans="2:4" ht="15.75" customHeight="1" x14ac:dyDescent="0.2">
      <c r="B234" s="1"/>
      <c r="C234" s="2"/>
      <c r="D234" s="1"/>
    </row>
    <row r="235" spans="2:4" ht="15.75" customHeight="1" x14ac:dyDescent="0.2">
      <c r="B235" s="1"/>
      <c r="C235" s="2"/>
      <c r="D235" s="1"/>
    </row>
    <row r="236" spans="2:4" ht="15.75" customHeight="1" x14ac:dyDescent="0.2">
      <c r="B236" s="1"/>
      <c r="C236" s="2"/>
      <c r="D236" s="1"/>
    </row>
    <row r="237" spans="2:4" ht="15.75" customHeight="1" x14ac:dyDescent="0.2">
      <c r="B237" s="1"/>
      <c r="C237" s="2"/>
      <c r="D237" s="1"/>
    </row>
    <row r="238" spans="2:4" ht="15.75" customHeight="1" x14ac:dyDescent="0.2">
      <c r="B238" s="1"/>
      <c r="C238" s="2"/>
      <c r="D238" s="1"/>
    </row>
    <row r="239" spans="2:4" ht="15.75" customHeight="1" x14ac:dyDescent="0.2">
      <c r="B239" s="1"/>
      <c r="C239" s="2"/>
      <c r="D239" s="1"/>
    </row>
    <row r="240" spans="2:4" ht="15.75" customHeight="1" x14ac:dyDescent="0.2">
      <c r="B240" s="1"/>
      <c r="C240" s="2"/>
      <c r="D240" s="1"/>
    </row>
    <row r="241" spans="2:4" ht="15.75" customHeight="1" x14ac:dyDescent="0.2">
      <c r="B241" s="1"/>
      <c r="C241" s="2"/>
      <c r="D241" s="1"/>
    </row>
    <row r="242" spans="2:4" ht="15.75" customHeight="1" x14ac:dyDescent="0.2">
      <c r="B242" s="1"/>
      <c r="C242" s="2"/>
      <c r="D242" s="1"/>
    </row>
    <row r="243" spans="2:4" ht="15.75" customHeight="1" x14ac:dyDescent="0.2">
      <c r="B243" s="1"/>
      <c r="C243" s="2"/>
      <c r="D243" s="1"/>
    </row>
    <row r="244" spans="2:4" ht="15.75" customHeight="1" x14ac:dyDescent="0.2">
      <c r="B244" s="1"/>
      <c r="C244" s="2"/>
      <c r="D244" s="1"/>
    </row>
    <row r="245" spans="2:4" ht="15.75" customHeight="1" x14ac:dyDescent="0.2">
      <c r="B245" s="1"/>
      <c r="C245" s="2"/>
      <c r="D245" s="1"/>
    </row>
    <row r="246" spans="2:4" ht="15.75" customHeight="1" x14ac:dyDescent="0.2">
      <c r="B246" s="1"/>
      <c r="C246" s="2"/>
      <c r="D246" s="1"/>
    </row>
    <row r="247" spans="2:4" ht="15.75" customHeight="1" x14ac:dyDescent="0.2">
      <c r="B247" s="1"/>
      <c r="C247" s="2"/>
      <c r="D247" s="1"/>
    </row>
    <row r="248" spans="2:4" ht="15.75" customHeight="1" x14ac:dyDescent="0.2">
      <c r="B248" s="1"/>
      <c r="C248" s="2"/>
      <c r="D248" s="1"/>
    </row>
    <row r="249" spans="2:4" ht="15.75" customHeight="1" x14ac:dyDescent="0.2">
      <c r="B249" s="1"/>
      <c r="C249" s="2"/>
      <c r="D249" s="1"/>
    </row>
    <row r="250" spans="2:4" ht="15.75" customHeight="1" x14ac:dyDescent="0.2">
      <c r="B250" s="1"/>
      <c r="C250" s="2"/>
      <c r="D250" s="1"/>
    </row>
    <row r="251" spans="2:4" ht="15.75" customHeight="1" x14ac:dyDescent="0.2">
      <c r="B251" s="1"/>
      <c r="C251" s="2"/>
      <c r="D251" s="1"/>
    </row>
    <row r="252" spans="2:4" ht="15.75" customHeight="1" x14ac:dyDescent="0.2">
      <c r="B252" s="1"/>
      <c r="C252" s="2"/>
      <c r="D252" s="1"/>
    </row>
    <row r="253" spans="2:4" ht="15.75" customHeight="1" x14ac:dyDescent="0.2">
      <c r="B253" s="1"/>
      <c r="C253" s="2"/>
      <c r="D253" s="1"/>
    </row>
    <row r="254" spans="2:4" ht="15.75" customHeight="1" x14ac:dyDescent="0.2">
      <c r="B254" s="1"/>
      <c r="C254" s="2"/>
      <c r="D254" s="1"/>
    </row>
    <row r="255" spans="2:4" ht="15.75" customHeight="1" x14ac:dyDescent="0.2">
      <c r="B255" s="1"/>
      <c r="C255" s="2"/>
      <c r="D255" s="1"/>
    </row>
    <row r="256" spans="2:4" ht="15.75" customHeight="1" x14ac:dyDescent="0.2">
      <c r="B256" s="1"/>
      <c r="C256" s="2"/>
      <c r="D256" s="1"/>
    </row>
    <row r="257" spans="2:4" ht="15.75" customHeight="1" x14ac:dyDescent="0.2">
      <c r="B257" s="1"/>
      <c r="C257" s="2"/>
      <c r="D257" s="1"/>
    </row>
    <row r="258" spans="2:4" ht="15.75" customHeight="1" x14ac:dyDescent="0.2">
      <c r="B258" s="1"/>
      <c r="C258" s="2"/>
      <c r="D258" s="1"/>
    </row>
    <row r="259" spans="2:4" ht="15.75" customHeight="1" x14ac:dyDescent="0.2">
      <c r="B259" s="1"/>
      <c r="C259" s="2"/>
      <c r="D259" s="1"/>
    </row>
    <row r="260" spans="2:4" ht="15.75" customHeight="1" x14ac:dyDescent="0.2">
      <c r="B260" s="1"/>
      <c r="C260" s="2"/>
      <c r="D260" s="1"/>
    </row>
    <row r="261" spans="2:4" ht="15.75" customHeight="1" x14ac:dyDescent="0.2">
      <c r="B261" s="1"/>
      <c r="C261" s="2"/>
      <c r="D261" s="1"/>
    </row>
    <row r="262" spans="2:4" ht="15.75" customHeight="1" x14ac:dyDescent="0.2">
      <c r="B262" s="1"/>
      <c r="C262" s="2"/>
      <c r="D262" s="1"/>
    </row>
    <row r="263" spans="2:4" ht="15.75" customHeight="1" x14ac:dyDescent="0.2">
      <c r="B263" s="1"/>
      <c r="C263" s="2"/>
      <c r="D263" s="1"/>
    </row>
    <row r="264" spans="2:4" ht="15.75" customHeight="1" x14ac:dyDescent="0.2">
      <c r="B264" s="1"/>
      <c r="C264" s="2"/>
      <c r="D264" s="1"/>
    </row>
    <row r="265" spans="2:4" ht="15.75" customHeight="1" x14ac:dyDescent="0.2">
      <c r="B265" s="1"/>
      <c r="C265" s="2"/>
      <c r="D265" s="1"/>
    </row>
    <row r="266" spans="2:4" ht="15.75" customHeight="1" x14ac:dyDescent="0.2">
      <c r="B266" s="1"/>
      <c r="C266" s="2"/>
      <c r="D266" s="1"/>
    </row>
    <row r="267" spans="2:4" ht="15.75" customHeight="1" x14ac:dyDescent="0.2">
      <c r="B267" s="1"/>
      <c r="C267" s="2"/>
      <c r="D267" s="1"/>
    </row>
    <row r="268" spans="2:4" ht="15.75" customHeight="1" x14ac:dyDescent="0.2">
      <c r="B268" s="1"/>
      <c r="C268" s="2"/>
      <c r="D268" s="1"/>
    </row>
    <row r="269" spans="2:4" ht="15.75" customHeight="1" x14ac:dyDescent="0.2">
      <c r="B269" s="1"/>
      <c r="C269" s="2"/>
      <c r="D269" s="1"/>
    </row>
    <row r="270" spans="2:4" ht="15.75" customHeight="1" x14ac:dyDescent="0.2">
      <c r="B270" s="1"/>
      <c r="C270" s="2"/>
      <c r="D270" s="1"/>
    </row>
    <row r="271" spans="2:4" ht="15.75" customHeight="1" x14ac:dyDescent="0.2">
      <c r="B271" s="1"/>
      <c r="C271" s="2"/>
      <c r="D271" s="1"/>
    </row>
    <row r="272" spans="2:4" ht="15.75" customHeight="1" x14ac:dyDescent="0.2">
      <c r="B272" s="1"/>
      <c r="C272" s="2"/>
      <c r="D272" s="1"/>
    </row>
    <row r="273" spans="2:4" ht="15.75" customHeight="1" x14ac:dyDescent="0.2">
      <c r="B273" s="1"/>
      <c r="C273" s="2"/>
      <c r="D273" s="1"/>
    </row>
    <row r="274" spans="2:4" ht="15.75" customHeight="1" x14ac:dyDescent="0.2">
      <c r="B274" s="1"/>
      <c r="C274" s="2"/>
      <c r="D274" s="1"/>
    </row>
    <row r="275" spans="2:4" ht="15.75" customHeight="1" x14ac:dyDescent="0.2">
      <c r="B275" s="1"/>
      <c r="C275" s="2"/>
      <c r="D275" s="1"/>
    </row>
    <row r="276" spans="2:4" ht="15.75" customHeight="1" x14ac:dyDescent="0.2">
      <c r="B276" s="1"/>
      <c r="C276" s="2"/>
      <c r="D276" s="1"/>
    </row>
    <row r="277" spans="2:4" ht="15.75" customHeight="1" x14ac:dyDescent="0.2">
      <c r="B277" s="1"/>
      <c r="C277" s="2"/>
      <c r="D277" s="1"/>
    </row>
    <row r="278" spans="2:4" ht="15.75" customHeight="1" x14ac:dyDescent="0.2">
      <c r="B278" s="1"/>
      <c r="C278" s="2"/>
      <c r="D278" s="1"/>
    </row>
    <row r="279" spans="2:4" ht="15.75" customHeight="1" x14ac:dyDescent="0.2">
      <c r="B279" s="1"/>
      <c r="C279" s="2"/>
      <c r="D279" s="1"/>
    </row>
    <row r="280" spans="2:4" ht="15.75" customHeight="1" x14ac:dyDescent="0.2">
      <c r="B280" s="1"/>
      <c r="C280" s="2"/>
      <c r="D280" s="1"/>
    </row>
    <row r="281" spans="2:4" ht="15.75" customHeight="1" x14ac:dyDescent="0.2">
      <c r="B281" s="1"/>
      <c r="C281" s="2"/>
      <c r="D281" s="1"/>
    </row>
    <row r="282" spans="2:4" ht="15.75" customHeight="1" x14ac:dyDescent="0.2">
      <c r="B282" s="1"/>
      <c r="C282" s="2"/>
      <c r="D282" s="1"/>
    </row>
    <row r="283" spans="2:4" ht="15.75" customHeight="1" x14ac:dyDescent="0.2">
      <c r="B283" s="1"/>
      <c r="C283" s="2"/>
      <c r="D283" s="1"/>
    </row>
    <row r="284" spans="2:4" ht="15.75" customHeight="1" x14ac:dyDescent="0.2">
      <c r="B284" s="1"/>
      <c r="C284" s="2"/>
      <c r="D284" s="1"/>
    </row>
    <row r="285" spans="2:4" ht="15.75" customHeight="1" x14ac:dyDescent="0.2">
      <c r="B285" s="1"/>
      <c r="C285" s="2"/>
      <c r="D285" s="1"/>
    </row>
    <row r="286" spans="2:4" ht="15.75" customHeight="1" x14ac:dyDescent="0.2">
      <c r="B286" s="1"/>
      <c r="C286" s="2"/>
      <c r="D286" s="1"/>
    </row>
    <row r="287" spans="2:4" ht="15.75" customHeight="1" x14ac:dyDescent="0.2">
      <c r="B287" s="1"/>
      <c r="C287" s="2"/>
      <c r="D287" s="1"/>
    </row>
    <row r="288" spans="2:4" ht="15.75" customHeight="1" x14ac:dyDescent="0.2">
      <c r="B288" s="1"/>
      <c r="C288" s="2"/>
      <c r="D288" s="1"/>
    </row>
    <row r="289" spans="2:4" ht="15.75" customHeight="1" x14ac:dyDescent="0.2">
      <c r="B289" s="1"/>
      <c r="C289" s="2"/>
      <c r="D289" s="1"/>
    </row>
    <row r="290" spans="2:4" ht="15.75" customHeight="1" x14ac:dyDescent="0.2">
      <c r="B290" s="1"/>
      <c r="C290" s="2"/>
      <c r="D290" s="1"/>
    </row>
    <row r="291" spans="2:4" ht="15.75" customHeight="1" x14ac:dyDescent="0.2">
      <c r="B291" s="1"/>
      <c r="C291" s="2"/>
      <c r="D291" s="1"/>
    </row>
    <row r="292" spans="2:4" ht="15.75" customHeight="1" x14ac:dyDescent="0.2">
      <c r="B292" s="1"/>
      <c r="C292" s="2"/>
      <c r="D292" s="1"/>
    </row>
    <row r="293" spans="2:4" ht="15.75" customHeight="1" x14ac:dyDescent="0.2">
      <c r="B293" s="1"/>
      <c r="C293" s="2"/>
      <c r="D293" s="1"/>
    </row>
    <row r="294" spans="2:4" ht="15.75" customHeight="1" x14ac:dyDescent="0.2">
      <c r="B294" s="1"/>
      <c r="C294" s="2"/>
      <c r="D294" s="1"/>
    </row>
    <row r="295" spans="2:4" ht="15.75" customHeight="1" x14ac:dyDescent="0.2">
      <c r="B295" s="1"/>
      <c r="C295" s="2"/>
      <c r="D295" s="1"/>
    </row>
    <row r="296" spans="2:4" ht="15.75" customHeight="1" x14ac:dyDescent="0.2">
      <c r="B296" s="1"/>
      <c r="C296" s="2"/>
      <c r="D296" s="1"/>
    </row>
    <row r="297" spans="2:4" ht="15.75" customHeight="1" x14ac:dyDescent="0.2">
      <c r="B297" s="1"/>
      <c r="C297" s="2"/>
      <c r="D297" s="1"/>
    </row>
    <row r="298" spans="2:4" ht="15.75" customHeight="1" x14ac:dyDescent="0.2">
      <c r="B298" s="1"/>
      <c r="C298" s="2"/>
      <c r="D298" s="1"/>
    </row>
    <row r="299" spans="2:4" ht="15.75" customHeight="1" x14ac:dyDescent="0.2">
      <c r="B299" s="1"/>
      <c r="C299" s="2"/>
      <c r="D299" s="1"/>
    </row>
    <row r="300" spans="2:4" ht="15.75" customHeight="1" x14ac:dyDescent="0.2">
      <c r="B300" s="1"/>
      <c r="C300" s="2"/>
      <c r="D300" s="1"/>
    </row>
    <row r="301" spans="2:4" ht="15.75" customHeight="1" x14ac:dyDescent="0.2">
      <c r="B301" s="1"/>
      <c r="C301" s="2"/>
      <c r="D301" s="1"/>
    </row>
    <row r="302" spans="2:4" ht="15.75" customHeight="1" x14ac:dyDescent="0.2">
      <c r="B302" s="1"/>
      <c r="C302" s="2"/>
      <c r="D302" s="1"/>
    </row>
    <row r="303" spans="2:4" ht="15.75" customHeight="1" x14ac:dyDescent="0.2">
      <c r="B303" s="1"/>
      <c r="C303" s="2"/>
      <c r="D303" s="1"/>
    </row>
    <row r="304" spans="2:4" ht="15.75" customHeight="1" x14ac:dyDescent="0.2">
      <c r="B304" s="1"/>
      <c r="C304" s="2"/>
      <c r="D304" s="1"/>
    </row>
    <row r="305" spans="2:4" ht="15.75" customHeight="1" x14ac:dyDescent="0.2">
      <c r="B305" s="1"/>
      <c r="C305" s="2"/>
      <c r="D305" s="1"/>
    </row>
    <row r="306" spans="2:4" ht="15.75" customHeight="1" x14ac:dyDescent="0.2">
      <c r="B306" s="1"/>
      <c r="C306" s="2"/>
      <c r="D306" s="1"/>
    </row>
    <row r="307" spans="2:4" ht="15.75" customHeight="1" x14ac:dyDescent="0.2">
      <c r="B307" s="1"/>
      <c r="C307" s="2"/>
      <c r="D307" s="1"/>
    </row>
    <row r="308" spans="2:4" ht="15.75" customHeight="1" x14ac:dyDescent="0.2">
      <c r="B308" s="1"/>
      <c r="C308" s="2"/>
      <c r="D308" s="1"/>
    </row>
    <row r="309" spans="2:4" ht="15.75" customHeight="1" x14ac:dyDescent="0.2">
      <c r="B309" s="1"/>
      <c r="C309" s="2"/>
      <c r="D309" s="1"/>
    </row>
    <row r="310" spans="2:4" ht="15.75" customHeight="1" x14ac:dyDescent="0.2">
      <c r="B310" s="1"/>
      <c r="C310" s="2"/>
      <c r="D310" s="1"/>
    </row>
    <row r="311" spans="2:4" ht="15.75" customHeight="1" x14ac:dyDescent="0.2">
      <c r="B311" s="1"/>
      <c r="C311" s="2"/>
      <c r="D311" s="1"/>
    </row>
    <row r="312" spans="2:4" ht="15.75" customHeight="1" x14ac:dyDescent="0.2">
      <c r="B312" s="1"/>
      <c r="C312" s="2"/>
      <c r="D312" s="1"/>
    </row>
    <row r="313" spans="2:4" ht="15.75" customHeight="1" x14ac:dyDescent="0.2">
      <c r="B313" s="1"/>
      <c r="C313" s="2"/>
      <c r="D313" s="1"/>
    </row>
    <row r="314" spans="2:4" ht="15.75" customHeight="1" x14ac:dyDescent="0.2">
      <c r="B314" s="1"/>
      <c r="C314" s="2"/>
      <c r="D314" s="1"/>
    </row>
    <row r="315" spans="2:4" ht="15.75" customHeight="1" x14ac:dyDescent="0.2">
      <c r="B315" s="1"/>
      <c r="C315" s="2"/>
      <c r="D315" s="1"/>
    </row>
    <row r="316" spans="2:4" ht="15.75" customHeight="1" x14ac:dyDescent="0.2">
      <c r="B316" s="1"/>
      <c r="C316" s="2"/>
      <c r="D316" s="1"/>
    </row>
    <row r="317" spans="2:4" ht="15.75" customHeight="1" x14ac:dyDescent="0.2">
      <c r="B317" s="1"/>
      <c r="C317" s="2"/>
      <c r="D317" s="1"/>
    </row>
    <row r="318" spans="2:4" ht="15.75" customHeight="1" x14ac:dyDescent="0.2">
      <c r="B318" s="1"/>
      <c r="C318" s="2"/>
      <c r="D318" s="1"/>
    </row>
    <row r="319" spans="2:4" ht="15.75" customHeight="1" x14ac:dyDescent="0.2">
      <c r="B319" s="1"/>
      <c r="C319" s="2"/>
      <c r="D319" s="1"/>
    </row>
    <row r="320" spans="2:4" ht="15.75" customHeight="1" x14ac:dyDescent="0.2">
      <c r="B320" s="1"/>
      <c r="C320" s="2"/>
      <c r="D320" s="1"/>
    </row>
    <row r="321" spans="2:4" ht="15.75" customHeight="1" x14ac:dyDescent="0.2">
      <c r="B321" s="1"/>
      <c r="C321" s="2"/>
      <c r="D321" s="1"/>
    </row>
    <row r="322" spans="2:4" ht="15.75" customHeight="1" x14ac:dyDescent="0.2">
      <c r="B322" s="1"/>
      <c r="C322" s="2"/>
      <c r="D322" s="1"/>
    </row>
    <row r="323" spans="2:4" ht="15.75" customHeight="1" x14ac:dyDescent="0.2">
      <c r="B323" s="1"/>
      <c r="C323" s="2"/>
      <c r="D323" s="1"/>
    </row>
    <row r="324" spans="2:4" ht="15.75" customHeight="1" x14ac:dyDescent="0.2">
      <c r="B324" s="1"/>
      <c r="C324" s="2"/>
      <c r="D324" s="1"/>
    </row>
    <row r="325" spans="2:4" ht="15.75" customHeight="1" x14ac:dyDescent="0.2">
      <c r="B325" s="1"/>
      <c r="C325" s="2"/>
      <c r="D325" s="1"/>
    </row>
    <row r="326" spans="2:4" ht="15.75" customHeight="1" x14ac:dyDescent="0.2">
      <c r="B326" s="1"/>
      <c r="C326" s="2"/>
      <c r="D326" s="1"/>
    </row>
    <row r="327" spans="2:4" ht="15.75" customHeight="1" x14ac:dyDescent="0.2">
      <c r="B327" s="1"/>
      <c r="C327" s="2"/>
      <c r="D327" s="1"/>
    </row>
    <row r="328" spans="2:4" ht="15.75" customHeight="1" x14ac:dyDescent="0.2">
      <c r="B328" s="1"/>
      <c r="C328" s="2"/>
      <c r="D328" s="1"/>
    </row>
    <row r="329" spans="2:4" ht="15.75" customHeight="1" x14ac:dyDescent="0.2">
      <c r="B329" s="1"/>
      <c r="C329" s="2"/>
      <c r="D329" s="1"/>
    </row>
    <row r="330" spans="2:4" ht="15.75" customHeight="1" x14ac:dyDescent="0.2">
      <c r="B330" s="1"/>
      <c r="C330" s="2"/>
      <c r="D330" s="1"/>
    </row>
    <row r="331" spans="2:4" ht="15.75" customHeight="1" x14ac:dyDescent="0.2">
      <c r="B331" s="1"/>
      <c r="C331" s="2"/>
      <c r="D331" s="1"/>
    </row>
    <row r="332" spans="2:4" ht="15.75" customHeight="1" x14ac:dyDescent="0.2">
      <c r="B332" s="1"/>
      <c r="C332" s="2"/>
      <c r="D332" s="1"/>
    </row>
    <row r="333" spans="2:4" ht="15.75" customHeight="1" x14ac:dyDescent="0.2">
      <c r="B333" s="1"/>
      <c r="C333" s="2"/>
      <c r="D333" s="1"/>
    </row>
    <row r="334" spans="2:4" ht="15.75" customHeight="1" x14ac:dyDescent="0.2">
      <c r="B334" s="1"/>
      <c r="C334" s="2"/>
      <c r="D334" s="1"/>
    </row>
    <row r="335" spans="2:4" ht="15.75" customHeight="1" x14ac:dyDescent="0.2">
      <c r="B335" s="1"/>
      <c r="C335" s="2"/>
      <c r="D335" s="1"/>
    </row>
    <row r="336" spans="2:4" ht="15.75" customHeight="1" x14ac:dyDescent="0.2">
      <c r="B336" s="1"/>
      <c r="C336" s="2"/>
      <c r="D336" s="1"/>
    </row>
    <row r="337" spans="2:4" ht="15.75" customHeight="1" x14ac:dyDescent="0.2">
      <c r="B337" s="1"/>
      <c r="C337" s="2"/>
      <c r="D337" s="1"/>
    </row>
    <row r="338" spans="2:4" ht="15.75" customHeight="1" x14ac:dyDescent="0.2">
      <c r="B338" s="1"/>
      <c r="C338" s="2"/>
      <c r="D338" s="1"/>
    </row>
    <row r="339" spans="2:4" ht="15.75" customHeight="1" x14ac:dyDescent="0.2">
      <c r="B339" s="1"/>
      <c r="C339" s="2"/>
      <c r="D339" s="1"/>
    </row>
    <row r="340" spans="2:4" ht="15.75" customHeight="1" x14ac:dyDescent="0.2">
      <c r="B340" s="1"/>
      <c r="C340" s="2"/>
      <c r="D340" s="1"/>
    </row>
    <row r="341" spans="2:4" ht="15.75" customHeight="1" x14ac:dyDescent="0.2">
      <c r="B341" s="1"/>
      <c r="C341" s="2"/>
      <c r="D341" s="1"/>
    </row>
    <row r="342" spans="2:4" ht="15.75" customHeight="1" x14ac:dyDescent="0.2">
      <c r="B342" s="1"/>
      <c r="C342" s="2"/>
      <c r="D342" s="1"/>
    </row>
    <row r="343" spans="2:4" ht="15.75" customHeight="1" x14ac:dyDescent="0.2">
      <c r="B343" s="1"/>
      <c r="C343" s="2"/>
      <c r="D343" s="1"/>
    </row>
    <row r="344" spans="2:4" ht="15.75" customHeight="1" x14ac:dyDescent="0.2">
      <c r="B344" s="1"/>
      <c r="C344" s="2"/>
      <c r="D344" s="1"/>
    </row>
    <row r="345" spans="2:4" ht="15.75" customHeight="1" x14ac:dyDescent="0.2">
      <c r="B345" s="1"/>
      <c r="C345" s="2"/>
      <c r="D345" s="1"/>
    </row>
    <row r="346" spans="2:4" ht="15.75" customHeight="1" x14ac:dyDescent="0.2">
      <c r="B346" s="1"/>
      <c r="C346" s="2"/>
      <c r="D346" s="1"/>
    </row>
    <row r="347" spans="2:4" ht="15.75" customHeight="1" x14ac:dyDescent="0.2">
      <c r="B347" s="1"/>
      <c r="C347" s="2"/>
      <c r="D347" s="1"/>
    </row>
    <row r="348" spans="2:4" ht="15.75" customHeight="1" x14ac:dyDescent="0.2">
      <c r="B348" s="1"/>
      <c r="C348" s="2"/>
      <c r="D348" s="1"/>
    </row>
    <row r="349" spans="2:4" ht="15.75" customHeight="1" x14ac:dyDescent="0.2">
      <c r="B349" s="1"/>
      <c r="C349" s="2"/>
      <c r="D349" s="1"/>
    </row>
    <row r="350" spans="2:4" ht="15.75" customHeight="1" x14ac:dyDescent="0.2">
      <c r="B350" s="1"/>
      <c r="C350" s="2"/>
      <c r="D350" s="1"/>
    </row>
    <row r="351" spans="2:4" ht="15.75" customHeight="1" x14ac:dyDescent="0.2">
      <c r="B351" s="1"/>
      <c r="C351" s="2"/>
      <c r="D351" s="1"/>
    </row>
    <row r="352" spans="2:4" ht="15.75" customHeight="1" x14ac:dyDescent="0.2">
      <c r="B352" s="1"/>
      <c r="C352" s="2"/>
      <c r="D352" s="1"/>
    </row>
    <row r="353" spans="2:4" ht="15.75" customHeight="1" x14ac:dyDescent="0.2">
      <c r="B353" s="1"/>
      <c r="C353" s="2"/>
      <c r="D353" s="1"/>
    </row>
    <row r="354" spans="2:4" ht="15.75" customHeight="1" x14ac:dyDescent="0.2">
      <c r="B354" s="1"/>
      <c r="C354" s="2"/>
      <c r="D354" s="1"/>
    </row>
    <row r="355" spans="2:4" ht="15.75" customHeight="1" x14ac:dyDescent="0.2">
      <c r="B355" s="1"/>
      <c r="C355" s="2"/>
      <c r="D355" s="1"/>
    </row>
    <row r="356" spans="2:4" ht="15.75" customHeight="1" x14ac:dyDescent="0.2">
      <c r="B356" s="1"/>
      <c r="C356" s="2"/>
      <c r="D356" s="1"/>
    </row>
    <row r="357" spans="2:4" ht="15.75" customHeight="1" x14ac:dyDescent="0.2">
      <c r="B357" s="1"/>
      <c r="C357" s="2"/>
      <c r="D357" s="1"/>
    </row>
    <row r="358" spans="2:4" ht="15.75" customHeight="1" x14ac:dyDescent="0.2">
      <c r="B358" s="1"/>
      <c r="C358" s="2"/>
      <c r="D358" s="1"/>
    </row>
    <row r="359" spans="2:4" ht="15.75" customHeight="1" x14ac:dyDescent="0.2">
      <c r="B359" s="1"/>
      <c r="C359" s="2"/>
      <c r="D359" s="1"/>
    </row>
    <row r="360" spans="2:4" ht="15.75" customHeight="1" x14ac:dyDescent="0.2">
      <c r="B360" s="1"/>
      <c r="C360" s="2"/>
      <c r="D360" s="1"/>
    </row>
    <row r="361" spans="2:4" ht="15.75" customHeight="1" x14ac:dyDescent="0.2">
      <c r="B361" s="1"/>
      <c r="C361" s="2"/>
      <c r="D361" s="1"/>
    </row>
    <row r="362" spans="2:4" ht="15.75" customHeight="1" x14ac:dyDescent="0.2">
      <c r="B362" s="1"/>
      <c r="C362" s="2"/>
      <c r="D362" s="1"/>
    </row>
    <row r="363" spans="2:4" ht="15.75" customHeight="1" x14ac:dyDescent="0.2">
      <c r="B363" s="1"/>
      <c r="C363" s="2"/>
      <c r="D363" s="1"/>
    </row>
    <row r="364" spans="2:4" ht="15.75" customHeight="1" x14ac:dyDescent="0.2">
      <c r="B364" s="1"/>
      <c r="C364" s="2"/>
      <c r="D364" s="1"/>
    </row>
    <row r="365" spans="2:4" ht="15.75" customHeight="1" x14ac:dyDescent="0.2">
      <c r="B365" s="1"/>
      <c r="C365" s="2"/>
      <c r="D365" s="1"/>
    </row>
    <row r="366" spans="2:4" ht="15.75" customHeight="1" x14ac:dyDescent="0.2">
      <c r="B366" s="1"/>
      <c r="C366" s="2"/>
      <c r="D366" s="1"/>
    </row>
    <row r="367" spans="2:4" ht="15.75" customHeight="1" x14ac:dyDescent="0.2">
      <c r="B367" s="1"/>
      <c r="C367" s="2"/>
      <c r="D367" s="1"/>
    </row>
    <row r="368" spans="2:4" ht="15.75" customHeight="1" x14ac:dyDescent="0.2">
      <c r="B368" s="1"/>
      <c r="C368" s="2"/>
      <c r="D368" s="1"/>
    </row>
    <row r="369" spans="2:4" ht="15.75" customHeight="1" x14ac:dyDescent="0.2">
      <c r="B369" s="1"/>
      <c r="C369" s="2"/>
      <c r="D369" s="1"/>
    </row>
    <row r="370" spans="2:4" ht="15.75" customHeight="1" x14ac:dyDescent="0.2">
      <c r="B370" s="1"/>
      <c r="C370" s="2"/>
      <c r="D370" s="1"/>
    </row>
    <row r="371" spans="2:4" ht="15.75" customHeight="1" x14ac:dyDescent="0.2">
      <c r="B371" s="1"/>
      <c r="C371" s="2"/>
      <c r="D371" s="1"/>
    </row>
    <row r="372" spans="2:4" ht="15.75" customHeight="1" x14ac:dyDescent="0.2">
      <c r="B372" s="1"/>
      <c r="C372" s="2"/>
      <c r="D372" s="1"/>
    </row>
    <row r="373" spans="2:4" ht="15.75" customHeight="1" x14ac:dyDescent="0.2">
      <c r="B373" s="1"/>
      <c r="C373" s="2"/>
      <c r="D373" s="1"/>
    </row>
    <row r="374" spans="2:4" ht="15.75" customHeight="1" x14ac:dyDescent="0.2">
      <c r="B374" s="1"/>
      <c r="C374" s="2"/>
      <c r="D374" s="1"/>
    </row>
    <row r="375" spans="2:4" ht="15.75" customHeight="1" x14ac:dyDescent="0.2">
      <c r="B375" s="1"/>
      <c r="C375" s="2"/>
      <c r="D375" s="1"/>
    </row>
    <row r="376" spans="2:4" ht="15.75" customHeight="1" x14ac:dyDescent="0.2">
      <c r="B376" s="1"/>
      <c r="C376" s="2"/>
      <c r="D376" s="1"/>
    </row>
    <row r="377" spans="2:4" ht="15.75" customHeight="1" x14ac:dyDescent="0.2">
      <c r="B377" s="1"/>
      <c r="C377" s="2"/>
      <c r="D377" s="1"/>
    </row>
    <row r="378" spans="2:4" ht="15.75" customHeight="1" x14ac:dyDescent="0.2">
      <c r="B378" s="1"/>
      <c r="C378" s="2"/>
      <c r="D378" s="1"/>
    </row>
    <row r="379" spans="2:4" ht="15.75" customHeight="1" x14ac:dyDescent="0.2">
      <c r="B379" s="1"/>
      <c r="C379" s="2"/>
      <c r="D379" s="1"/>
    </row>
    <row r="380" spans="2:4" ht="15.75" customHeight="1" x14ac:dyDescent="0.2">
      <c r="B380" s="1"/>
      <c r="C380" s="2"/>
      <c r="D380" s="1"/>
    </row>
    <row r="381" spans="2:4" ht="15.75" customHeight="1" x14ac:dyDescent="0.2">
      <c r="B381" s="1"/>
      <c r="C381" s="2"/>
      <c r="D381" s="1"/>
    </row>
    <row r="382" spans="2:4" ht="15.75" customHeight="1" x14ac:dyDescent="0.2">
      <c r="B382" s="1"/>
      <c r="C382" s="2"/>
      <c r="D382" s="1"/>
    </row>
    <row r="383" spans="2:4" ht="15.75" customHeight="1" x14ac:dyDescent="0.2">
      <c r="B383" s="1"/>
      <c r="C383" s="2"/>
      <c r="D383" s="1"/>
    </row>
    <row r="384" spans="2:4" ht="15.75" customHeight="1" x14ac:dyDescent="0.2">
      <c r="B384" s="1"/>
      <c r="C384" s="2"/>
      <c r="D384" s="1"/>
    </row>
    <row r="385" spans="2:4" ht="15.75" customHeight="1" x14ac:dyDescent="0.2">
      <c r="B385" s="1"/>
      <c r="C385" s="2"/>
      <c r="D385" s="1"/>
    </row>
    <row r="386" spans="2:4" ht="15.75" customHeight="1" x14ac:dyDescent="0.2">
      <c r="B386" s="1"/>
      <c r="C386" s="2"/>
      <c r="D386" s="1"/>
    </row>
    <row r="387" spans="2:4" ht="15.75" customHeight="1" x14ac:dyDescent="0.2">
      <c r="B387" s="1"/>
      <c r="C387" s="2"/>
      <c r="D387" s="1"/>
    </row>
    <row r="388" spans="2:4" ht="15.75" customHeight="1" x14ac:dyDescent="0.2">
      <c r="B388" s="1"/>
      <c r="C388" s="2"/>
      <c r="D388" s="1"/>
    </row>
    <row r="389" spans="2:4" ht="15.75" customHeight="1" x14ac:dyDescent="0.2">
      <c r="B389" s="1"/>
      <c r="C389" s="2"/>
      <c r="D389" s="1"/>
    </row>
    <row r="390" spans="2:4" ht="15.75" customHeight="1" x14ac:dyDescent="0.2">
      <c r="B390" s="1"/>
      <c r="C390" s="2"/>
      <c r="D390" s="1"/>
    </row>
    <row r="391" spans="2:4" ht="15.75" customHeight="1" x14ac:dyDescent="0.2">
      <c r="B391" s="1"/>
      <c r="C391" s="2"/>
      <c r="D391" s="1"/>
    </row>
    <row r="392" spans="2:4" ht="15.75" customHeight="1" x14ac:dyDescent="0.2">
      <c r="B392" s="1"/>
      <c r="C392" s="2"/>
      <c r="D392" s="1"/>
    </row>
    <row r="393" spans="2:4" ht="15.75" customHeight="1" x14ac:dyDescent="0.2">
      <c r="B393" s="1"/>
      <c r="C393" s="2"/>
      <c r="D393" s="1"/>
    </row>
    <row r="394" spans="2:4" ht="15.75" customHeight="1" x14ac:dyDescent="0.2">
      <c r="B394" s="1"/>
      <c r="C394" s="2"/>
      <c r="D394" s="1"/>
    </row>
    <row r="395" spans="2:4" ht="15.75" customHeight="1" x14ac:dyDescent="0.2">
      <c r="B395" s="1"/>
      <c r="C395" s="2"/>
      <c r="D395" s="1"/>
    </row>
    <row r="396" spans="2:4" ht="15.75" customHeight="1" x14ac:dyDescent="0.2">
      <c r="B396" s="1"/>
      <c r="C396" s="2"/>
      <c r="D396" s="1"/>
    </row>
    <row r="397" spans="2:4" ht="15.75" customHeight="1" x14ac:dyDescent="0.2">
      <c r="B397" s="1"/>
      <c r="C397" s="2"/>
      <c r="D397" s="1"/>
    </row>
    <row r="398" spans="2:4" ht="15.75" customHeight="1" x14ac:dyDescent="0.2">
      <c r="B398" s="1"/>
      <c r="C398" s="2"/>
      <c r="D398" s="1"/>
    </row>
    <row r="399" spans="2:4" ht="15.75" customHeight="1" x14ac:dyDescent="0.2">
      <c r="B399" s="1"/>
      <c r="C399" s="2"/>
      <c r="D399" s="1"/>
    </row>
    <row r="400" spans="2:4" ht="15.75" customHeight="1" x14ac:dyDescent="0.2">
      <c r="B400" s="1"/>
      <c r="C400" s="2"/>
      <c r="D400" s="1"/>
    </row>
    <row r="401" spans="2:4" ht="15.75" customHeight="1" x14ac:dyDescent="0.2">
      <c r="B401" s="1"/>
      <c r="C401" s="2"/>
      <c r="D401" s="1"/>
    </row>
    <row r="402" spans="2:4" ht="15.75" customHeight="1" x14ac:dyDescent="0.2">
      <c r="B402" s="1"/>
      <c r="C402" s="2"/>
      <c r="D402" s="1"/>
    </row>
    <row r="403" spans="2:4" ht="15.75" customHeight="1" x14ac:dyDescent="0.2">
      <c r="B403" s="1"/>
      <c r="C403" s="2"/>
      <c r="D403" s="1"/>
    </row>
    <row r="404" spans="2:4" ht="15.75" customHeight="1" x14ac:dyDescent="0.2">
      <c r="B404" s="1"/>
      <c r="C404" s="2"/>
      <c r="D404" s="1"/>
    </row>
    <row r="405" spans="2:4" ht="15.75" customHeight="1" x14ac:dyDescent="0.2">
      <c r="B405" s="1"/>
      <c r="C405" s="2"/>
      <c r="D405" s="1"/>
    </row>
    <row r="406" spans="2:4" ht="15.75" customHeight="1" x14ac:dyDescent="0.2">
      <c r="B406" s="1"/>
      <c r="C406" s="2"/>
      <c r="D406" s="1"/>
    </row>
    <row r="407" spans="2:4" ht="15.75" customHeight="1" x14ac:dyDescent="0.2">
      <c r="B407" s="1"/>
      <c r="C407" s="2"/>
      <c r="D407" s="1"/>
    </row>
    <row r="408" spans="2:4" ht="15.75" customHeight="1" x14ac:dyDescent="0.2">
      <c r="B408" s="1"/>
      <c r="C408" s="2"/>
      <c r="D408" s="1"/>
    </row>
    <row r="409" spans="2:4" ht="15.75" customHeight="1" x14ac:dyDescent="0.2">
      <c r="B409" s="1"/>
      <c r="C409" s="2"/>
      <c r="D409" s="1"/>
    </row>
    <row r="410" spans="2:4" ht="15.75" customHeight="1" x14ac:dyDescent="0.2">
      <c r="B410" s="1"/>
      <c r="C410" s="2"/>
      <c r="D410" s="1"/>
    </row>
    <row r="411" spans="2:4" ht="15.75" customHeight="1" x14ac:dyDescent="0.2">
      <c r="B411" s="1"/>
      <c r="C411" s="2"/>
      <c r="D411" s="1"/>
    </row>
    <row r="412" spans="2:4" ht="15.75" customHeight="1" x14ac:dyDescent="0.2">
      <c r="B412" s="1"/>
      <c r="C412" s="2"/>
      <c r="D412" s="1"/>
    </row>
    <row r="413" spans="2:4" ht="15.75" customHeight="1" x14ac:dyDescent="0.2">
      <c r="B413" s="1"/>
      <c r="C413" s="2"/>
      <c r="D413" s="1"/>
    </row>
    <row r="414" spans="2:4" ht="15.75" customHeight="1" x14ac:dyDescent="0.2">
      <c r="B414" s="1"/>
      <c r="C414" s="2"/>
      <c r="D414" s="1"/>
    </row>
    <row r="415" spans="2:4" ht="15.75" customHeight="1" x14ac:dyDescent="0.2">
      <c r="B415" s="1"/>
      <c r="C415" s="2"/>
      <c r="D415" s="1"/>
    </row>
    <row r="416" spans="2:4" ht="15.75" customHeight="1" x14ac:dyDescent="0.2">
      <c r="B416" s="1"/>
      <c r="C416" s="2"/>
      <c r="D416" s="1"/>
    </row>
    <row r="417" spans="2:4" ht="15.75" customHeight="1" x14ac:dyDescent="0.2">
      <c r="B417" s="1"/>
      <c r="C417" s="2"/>
      <c r="D417" s="1"/>
    </row>
    <row r="418" spans="2:4" ht="15.75" customHeight="1" x14ac:dyDescent="0.2">
      <c r="B418" s="1"/>
      <c r="C418" s="2"/>
      <c r="D418" s="1"/>
    </row>
    <row r="419" spans="2:4" ht="15.75" customHeight="1" x14ac:dyDescent="0.2">
      <c r="B419" s="1"/>
      <c r="C419" s="2"/>
      <c r="D419" s="1"/>
    </row>
    <row r="420" spans="2:4" ht="15.75" customHeight="1" x14ac:dyDescent="0.2">
      <c r="B420" s="1"/>
      <c r="C420" s="2"/>
      <c r="D420" s="1"/>
    </row>
    <row r="421" spans="2:4" ht="15.75" customHeight="1" x14ac:dyDescent="0.2">
      <c r="B421" s="1"/>
      <c r="C421" s="2"/>
      <c r="D421" s="1"/>
    </row>
    <row r="422" spans="2:4" ht="15.75" customHeight="1" x14ac:dyDescent="0.2">
      <c r="B422" s="1"/>
      <c r="C422" s="2"/>
      <c r="D422" s="1"/>
    </row>
    <row r="423" spans="2:4" ht="15.75" customHeight="1" x14ac:dyDescent="0.2">
      <c r="B423" s="1"/>
      <c r="C423" s="2"/>
      <c r="D423" s="1"/>
    </row>
    <row r="424" spans="2:4" ht="15.75" customHeight="1" x14ac:dyDescent="0.2">
      <c r="B424" s="1"/>
      <c r="C424" s="2"/>
      <c r="D424" s="1"/>
    </row>
    <row r="425" spans="2:4" ht="15.75" customHeight="1" x14ac:dyDescent="0.2">
      <c r="B425" s="1"/>
      <c r="C425" s="2"/>
      <c r="D425" s="1"/>
    </row>
    <row r="426" spans="2:4" ht="15.75" customHeight="1" x14ac:dyDescent="0.2">
      <c r="B426" s="1"/>
      <c r="C426" s="2"/>
      <c r="D426" s="1"/>
    </row>
    <row r="427" spans="2:4" ht="15.75" customHeight="1" x14ac:dyDescent="0.2">
      <c r="B427" s="1"/>
      <c r="C427" s="2"/>
      <c r="D427" s="1"/>
    </row>
    <row r="428" spans="2:4" ht="15.75" customHeight="1" x14ac:dyDescent="0.2">
      <c r="B428" s="1"/>
      <c r="C428" s="2"/>
      <c r="D428" s="1"/>
    </row>
    <row r="429" spans="2:4" ht="15.75" customHeight="1" x14ac:dyDescent="0.2">
      <c r="B429" s="1"/>
      <c r="C429" s="2"/>
      <c r="D429" s="1"/>
    </row>
    <row r="430" spans="2:4" ht="15.75" customHeight="1" x14ac:dyDescent="0.2">
      <c r="B430" s="1"/>
      <c r="C430" s="2"/>
      <c r="D430" s="1"/>
    </row>
    <row r="431" spans="2:4" ht="15.75" customHeight="1" x14ac:dyDescent="0.2">
      <c r="B431" s="1"/>
      <c r="C431" s="2"/>
      <c r="D431" s="1"/>
    </row>
    <row r="432" spans="2:4" ht="15.75" customHeight="1" x14ac:dyDescent="0.2">
      <c r="B432" s="1"/>
      <c r="C432" s="2"/>
      <c r="D432" s="1"/>
    </row>
    <row r="433" spans="2:4" ht="15.75" customHeight="1" x14ac:dyDescent="0.2">
      <c r="B433" s="1"/>
      <c r="C433" s="2"/>
      <c r="D433" s="1"/>
    </row>
    <row r="434" spans="2:4" ht="15.75" customHeight="1" x14ac:dyDescent="0.2">
      <c r="B434" s="1"/>
      <c r="C434" s="2"/>
      <c r="D434" s="1"/>
    </row>
    <row r="435" spans="2:4" ht="15.75" customHeight="1" x14ac:dyDescent="0.2">
      <c r="B435" s="1"/>
      <c r="C435" s="2"/>
      <c r="D435" s="1"/>
    </row>
    <row r="436" spans="2:4" ht="15.75" customHeight="1" x14ac:dyDescent="0.2">
      <c r="B436" s="1"/>
      <c r="C436" s="2"/>
      <c r="D436" s="1"/>
    </row>
    <row r="437" spans="2:4" ht="15.75" customHeight="1" x14ac:dyDescent="0.2">
      <c r="B437" s="1"/>
      <c r="C437" s="2"/>
      <c r="D437" s="1"/>
    </row>
    <row r="438" spans="2:4" ht="15.75" customHeight="1" x14ac:dyDescent="0.2">
      <c r="B438" s="1"/>
      <c r="C438" s="2"/>
      <c r="D438" s="1"/>
    </row>
    <row r="439" spans="2:4" ht="15.75" customHeight="1" x14ac:dyDescent="0.2">
      <c r="B439" s="1"/>
      <c r="C439" s="2"/>
      <c r="D439" s="1"/>
    </row>
    <row r="440" spans="2:4" ht="15.75" customHeight="1" x14ac:dyDescent="0.2">
      <c r="B440" s="1"/>
      <c r="C440" s="2"/>
      <c r="D440" s="1"/>
    </row>
    <row r="441" spans="2:4" ht="15.75" customHeight="1" x14ac:dyDescent="0.2">
      <c r="B441" s="1"/>
      <c r="C441" s="2"/>
      <c r="D441" s="1"/>
    </row>
    <row r="442" spans="2:4" ht="15.75" customHeight="1" x14ac:dyDescent="0.2">
      <c r="B442" s="1"/>
      <c r="C442" s="2"/>
      <c r="D442" s="1"/>
    </row>
    <row r="443" spans="2:4" ht="15.75" customHeight="1" x14ac:dyDescent="0.2">
      <c r="B443" s="1"/>
      <c r="C443" s="2"/>
      <c r="D443" s="1"/>
    </row>
    <row r="444" spans="2:4" ht="15.75" customHeight="1" x14ac:dyDescent="0.2">
      <c r="B444" s="1"/>
      <c r="C444" s="2"/>
      <c r="D444" s="1"/>
    </row>
    <row r="445" spans="2:4" ht="15.75" customHeight="1" x14ac:dyDescent="0.2">
      <c r="B445" s="1"/>
      <c r="C445" s="2"/>
      <c r="D445" s="1"/>
    </row>
    <row r="446" spans="2:4" ht="15.75" customHeight="1" x14ac:dyDescent="0.2">
      <c r="B446" s="1"/>
      <c r="C446" s="2"/>
      <c r="D446" s="1"/>
    </row>
    <row r="447" spans="2:4" ht="15.75" customHeight="1" x14ac:dyDescent="0.2">
      <c r="B447" s="1"/>
      <c r="C447" s="2"/>
      <c r="D447" s="1"/>
    </row>
    <row r="448" spans="2:4" ht="15.75" customHeight="1" x14ac:dyDescent="0.2">
      <c r="B448" s="1"/>
      <c r="C448" s="2"/>
      <c r="D448" s="1"/>
    </row>
    <row r="449" spans="2:4" ht="15.75" customHeight="1" x14ac:dyDescent="0.2">
      <c r="B449" s="1"/>
      <c r="C449" s="2"/>
      <c r="D449" s="1"/>
    </row>
    <row r="450" spans="2:4" ht="15.75" customHeight="1" x14ac:dyDescent="0.2">
      <c r="B450" s="1"/>
      <c r="C450" s="2"/>
      <c r="D450" s="1"/>
    </row>
    <row r="451" spans="2:4" ht="15.75" customHeight="1" x14ac:dyDescent="0.2">
      <c r="B451" s="1"/>
      <c r="C451" s="2"/>
      <c r="D451" s="1"/>
    </row>
    <row r="452" spans="2:4" ht="15.75" customHeight="1" x14ac:dyDescent="0.2">
      <c r="B452" s="1"/>
      <c r="C452" s="2"/>
      <c r="D452" s="1"/>
    </row>
    <row r="453" spans="2:4" ht="15.75" customHeight="1" x14ac:dyDescent="0.2">
      <c r="B453" s="1"/>
      <c r="C453" s="2"/>
      <c r="D453" s="1"/>
    </row>
    <row r="454" spans="2:4" ht="15.75" customHeight="1" x14ac:dyDescent="0.2">
      <c r="B454" s="1"/>
      <c r="C454" s="2"/>
      <c r="D454" s="1"/>
    </row>
    <row r="455" spans="2:4" ht="15.75" customHeight="1" x14ac:dyDescent="0.2">
      <c r="B455" s="1"/>
      <c r="C455" s="2"/>
      <c r="D455" s="1"/>
    </row>
    <row r="456" spans="2:4" ht="15.75" customHeight="1" x14ac:dyDescent="0.2">
      <c r="B456" s="1"/>
      <c r="C456" s="2"/>
      <c r="D456" s="1"/>
    </row>
    <row r="457" spans="2:4" ht="15.75" customHeight="1" x14ac:dyDescent="0.2">
      <c r="B457" s="1"/>
      <c r="C457" s="2"/>
      <c r="D457" s="1"/>
    </row>
    <row r="458" spans="2:4" ht="15.75" customHeight="1" x14ac:dyDescent="0.2">
      <c r="B458" s="1"/>
      <c r="C458" s="2"/>
      <c r="D458" s="1"/>
    </row>
    <row r="459" spans="2:4" ht="15.75" customHeight="1" x14ac:dyDescent="0.2">
      <c r="B459" s="1"/>
      <c r="C459" s="2"/>
      <c r="D459" s="1"/>
    </row>
    <row r="460" spans="2:4" ht="15.75" customHeight="1" x14ac:dyDescent="0.2">
      <c r="B460" s="1"/>
      <c r="C460" s="2"/>
      <c r="D460" s="1"/>
    </row>
    <row r="461" spans="2:4" ht="15.75" customHeight="1" x14ac:dyDescent="0.2">
      <c r="B461" s="1"/>
      <c r="C461" s="2"/>
      <c r="D461" s="1"/>
    </row>
    <row r="462" spans="2:4" ht="15.75" customHeight="1" x14ac:dyDescent="0.2">
      <c r="B462" s="1"/>
      <c r="C462" s="2"/>
      <c r="D462" s="1"/>
    </row>
    <row r="463" spans="2:4" ht="15.75" customHeight="1" x14ac:dyDescent="0.2">
      <c r="B463" s="1"/>
      <c r="C463" s="2"/>
      <c r="D463" s="1"/>
    </row>
    <row r="464" spans="2:4" ht="15.75" customHeight="1" x14ac:dyDescent="0.2">
      <c r="B464" s="1"/>
      <c r="C464" s="2"/>
      <c r="D464" s="1"/>
    </row>
    <row r="465" spans="2:4" ht="15.75" customHeight="1" x14ac:dyDescent="0.2">
      <c r="B465" s="1"/>
      <c r="C465" s="2"/>
      <c r="D465" s="1"/>
    </row>
    <row r="466" spans="2:4" ht="15.75" customHeight="1" x14ac:dyDescent="0.2">
      <c r="B466" s="1"/>
      <c r="C466" s="2"/>
      <c r="D466" s="1"/>
    </row>
    <row r="467" spans="2:4" ht="15.75" customHeight="1" x14ac:dyDescent="0.2">
      <c r="B467" s="1"/>
      <c r="C467" s="2"/>
      <c r="D467" s="1"/>
    </row>
    <row r="468" spans="2:4" ht="15.75" customHeight="1" x14ac:dyDescent="0.2">
      <c r="B468" s="1"/>
      <c r="C468" s="2"/>
      <c r="D468" s="1"/>
    </row>
    <row r="469" spans="2:4" ht="15.75" customHeight="1" x14ac:dyDescent="0.2">
      <c r="B469" s="1"/>
      <c r="C469" s="2"/>
      <c r="D469" s="1"/>
    </row>
    <row r="470" spans="2:4" ht="15.75" customHeight="1" x14ac:dyDescent="0.2">
      <c r="B470" s="1"/>
      <c r="C470" s="2"/>
      <c r="D470" s="1"/>
    </row>
    <row r="471" spans="2:4" ht="15.75" customHeight="1" x14ac:dyDescent="0.2">
      <c r="B471" s="1"/>
      <c r="C471" s="2"/>
      <c r="D471" s="1"/>
    </row>
    <row r="472" spans="2:4" ht="15.75" customHeight="1" x14ac:dyDescent="0.2">
      <c r="B472" s="1"/>
      <c r="C472" s="2"/>
      <c r="D472" s="1"/>
    </row>
    <row r="473" spans="2:4" ht="15.75" customHeight="1" x14ac:dyDescent="0.2">
      <c r="B473" s="1"/>
      <c r="C473" s="2"/>
      <c r="D473" s="1"/>
    </row>
    <row r="474" spans="2:4" ht="15.75" customHeight="1" x14ac:dyDescent="0.2">
      <c r="B474" s="1"/>
      <c r="C474" s="2"/>
      <c r="D474" s="1"/>
    </row>
    <row r="475" spans="2:4" ht="15.75" customHeight="1" x14ac:dyDescent="0.2">
      <c r="B475" s="1"/>
      <c r="C475" s="2"/>
      <c r="D475" s="1"/>
    </row>
    <row r="476" spans="2:4" ht="15.75" customHeight="1" x14ac:dyDescent="0.2">
      <c r="B476" s="1"/>
      <c r="C476" s="2"/>
      <c r="D476" s="1"/>
    </row>
    <row r="477" spans="2:4" ht="15.75" customHeight="1" x14ac:dyDescent="0.2">
      <c r="B477" s="1"/>
      <c r="C477" s="2"/>
      <c r="D477" s="1"/>
    </row>
    <row r="478" spans="2:4" ht="15.75" customHeight="1" x14ac:dyDescent="0.2">
      <c r="B478" s="1"/>
      <c r="C478" s="2"/>
      <c r="D478" s="1"/>
    </row>
    <row r="479" spans="2:4" ht="15.75" customHeight="1" x14ac:dyDescent="0.2">
      <c r="B479" s="1"/>
      <c r="C479" s="2"/>
      <c r="D479" s="1"/>
    </row>
    <row r="480" spans="2:4" ht="15.75" customHeight="1" x14ac:dyDescent="0.2">
      <c r="B480" s="1"/>
      <c r="C480" s="2"/>
      <c r="D480" s="1"/>
    </row>
    <row r="481" spans="2:4" ht="15.75" customHeight="1" x14ac:dyDescent="0.2">
      <c r="B481" s="1"/>
      <c r="C481" s="2"/>
      <c r="D481" s="1"/>
    </row>
    <row r="482" spans="2:4" ht="15.75" customHeight="1" x14ac:dyDescent="0.2">
      <c r="B482" s="1"/>
      <c r="C482" s="2"/>
      <c r="D482" s="1"/>
    </row>
    <row r="483" spans="2:4" ht="15.75" customHeight="1" x14ac:dyDescent="0.2">
      <c r="B483" s="1"/>
      <c r="C483" s="2"/>
      <c r="D483" s="1"/>
    </row>
    <row r="484" spans="2:4" ht="15.75" customHeight="1" x14ac:dyDescent="0.2">
      <c r="B484" s="1"/>
      <c r="C484" s="2"/>
      <c r="D484" s="1"/>
    </row>
    <row r="485" spans="2:4" ht="15.75" customHeight="1" x14ac:dyDescent="0.2">
      <c r="B485" s="1"/>
      <c r="C485" s="2"/>
      <c r="D485" s="1"/>
    </row>
    <row r="486" spans="2:4" ht="15.75" customHeight="1" x14ac:dyDescent="0.2">
      <c r="B486" s="1"/>
      <c r="C486" s="2"/>
      <c r="D486" s="1"/>
    </row>
    <row r="487" spans="2:4" ht="15.75" customHeight="1" x14ac:dyDescent="0.2">
      <c r="B487" s="1"/>
      <c r="C487" s="2"/>
      <c r="D487" s="1"/>
    </row>
    <row r="488" spans="2:4" ht="15.75" customHeight="1" x14ac:dyDescent="0.2">
      <c r="B488" s="1"/>
      <c r="C488" s="2"/>
      <c r="D488" s="1"/>
    </row>
    <row r="489" spans="2:4" ht="15.75" customHeight="1" x14ac:dyDescent="0.2">
      <c r="B489" s="1"/>
      <c r="C489" s="2"/>
      <c r="D489" s="1"/>
    </row>
    <row r="490" spans="2:4" ht="15.75" customHeight="1" x14ac:dyDescent="0.2">
      <c r="B490" s="1"/>
      <c r="C490" s="2"/>
      <c r="D490" s="1"/>
    </row>
    <row r="491" spans="2:4" ht="15.75" customHeight="1" x14ac:dyDescent="0.2">
      <c r="B491" s="1"/>
      <c r="C491" s="2"/>
      <c r="D491" s="1"/>
    </row>
    <row r="492" spans="2:4" ht="15.75" customHeight="1" x14ac:dyDescent="0.2">
      <c r="B492" s="1"/>
      <c r="C492" s="2"/>
      <c r="D492" s="1"/>
    </row>
    <row r="493" spans="2:4" ht="15.75" customHeight="1" x14ac:dyDescent="0.2">
      <c r="B493" s="1"/>
      <c r="C493" s="2"/>
      <c r="D493" s="1"/>
    </row>
    <row r="494" spans="2:4" ht="15.75" customHeight="1" x14ac:dyDescent="0.2">
      <c r="B494" s="1"/>
      <c r="C494" s="2"/>
      <c r="D494" s="1"/>
    </row>
    <row r="495" spans="2:4" ht="15.75" customHeight="1" x14ac:dyDescent="0.2">
      <c r="B495" s="1"/>
      <c r="C495" s="2"/>
      <c r="D495" s="1"/>
    </row>
    <row r="496" spans="2:4" ht="15.75" customHeight="1" x14ac:dyDescent="0.2">
      <c r="B496" s="1"/>
      <c r="C496" s="2"/>
      <c r="D496" s="1"/>
    </row>
    <row r="497" spans="2:4" ht="15.75" customHeight="1" x14ac:dyDescent="0.2">
      <c r="B497" s="1"/>
      <c r="C497" s="2"/>
      <c r="D497" s="1"/>
    </row>
    <row r="498" spans="2:4" ht="15.75" customHeight="1" x14ac:dyDescent="0.2">
      <c r="B498" s="1"/>
      <c r="C498" s="2"/>
      <c r="D498" s="1"/>
    </row>
    <row r="499" spans="2:4" ht="15.75" customHeight="1" x14ac:dyDescent="0.2">
      <c r="B499" s="1"/>
      <c r="C499" s="2"/>
      <c r="D499" s="1"/>
    </row>
    <row r="500" spans="2:4" ht="15.75" customHeight="1" x14ac:dyDescent="0.2">
      <c r="B500" s="1"/>
      <c r="C500" s="2"/>
      <c r="D500" s="1"/>
    </row>
    <row r="501" spans="2:4" ht="15.75" customHeight="1" x14ac:dyDescent="0.2">
      <c r="B501" s="1"/>
      <c r="C501" s="2"/>
      <c r="D501" s="1"/>
    </row>
    <row r="502" spans="2:4" ht="15.75" customHeight="1" x14ac:dyDescent="0.2">
      <c r="B502" s="1"/>
      <c r="C502" s="2"/>
      <c r="D502" s="1"/>
    </row>
    <row r="503" spans="2:4" ht="15.75" customHeight="1" x14ac:dyDescent="0.2">
      <c r="B503" s="1"/>
      <c r="C503" s="2"/>
      <c r="D503" s="1"/>
    </row>
    <row r="504" spans="2:4" ht="15.75" customHeight="1" x14ac:dyDescent="0.2">
      <c r="B504" s="1"/>
      <c r="C504" s="2"/>
      <c r="D504" s="1"/>
    </row>
    <row r="505" spans="2:4" ht="15.75" customHeight="1" x14ac:dyDescent="0.2">
      <c r="B505" s="1"/>
      <c r="C505" s="2"/>
      <c r="D505" s="1"/>
    </row>
    <row r="506" spans="2:4" ht="15.75" customHeight="1" x14ac:dyDescent="0.2">
      <c r="B506" s="1"/>
      <c r="C506" s="2"/>
      <c r="D506" s="1"/>
    </row>
    <row r="507" spans="2:4" ht="15.75" customHeight="1" x14ac:dyDescent="0.2">
      <c r="B507" s="1"/>
      <c r="C507" s="2"/>
      <c r="D507" s="1"/>
    </row>
    <row r="508" spans="2:4" ht="15.75" customHeight="1" x14ac:dyDescent="0.2">
      <c r="B508" s="1"/>
      <c r="C508" s="2"/>
      <c r="D508" s="1"/>
    </row>
    <row r="509" spans="2:4" ht="15.75" customHeight="1" x14ac:dyDescent="0.2">
      <c r="B509" s="1"/>
      <c r="C509" s="2"/>
      <c r="D509" s="1"/>
    </row>
    <row r="510" spans="2:4" ht="15.75" customHeight="1" x14ac:dyDescent="0.2">
      <c r="B510" s="1"/>
      <c r="C510" s="2"/>
      <c r="D510" s="1"/>
    </row>
    <row r="511" spans="2:4" ht="15.75" customHeight="1" x14ac:dyDescent="0.2">
      <c r="B511" s="1"/>
      <c r="C511" s="2"/>
      <c r="D511" s="1"/>
    </row>
    <row r="512" spans="2:4" ht="15.75" customHeight="1" x14ac:dyDescent="0.2">
      <c r="B512" s="1"/>
      <c r="C512" s="2"/>
      <c r="D512" s="1"/>
    </row>
    <row r="513" spans="2:4" ht="15.75" customHeight="1" x14ac:dyDescent="0.2">
      <c r="B513" s="1"/>
      <c r="C513" s="2"/>
      <c r="D513" s="1"/>
    </row>
    <row r="514" spans="2:4" ht="15.75" customHeight="1" x14ac:dyDescent="0.2">
      <c r="B514" s="1"/>
      <c r="C514" s="2"/>
      <c r="D514" s="1"/>
    </row>
    <row r="515" spans="2:4" ht="15.75" customHeight="1" x14ac:dyDescent="0.2">
      <c r="B515" s="1"/>
      <c r="C515" s="2"/>
      <c r="D515" s="1"/>
    </row>
    <row r="516" spans="2:4" ht="15.75" customHeight="1" x14ac:dyDescent="0.2">
      <c r="B516" s="1"/>
      <c r="C516" s="2"/>
      <c r="D516" s="1"/>
    </row>
    <row r="517" spans="2:4" ht="15.75" customHeight="1" x14ac:dyDescent="0.2">
      <c r="B517" s="1"/>
      <c r="C517" s="2"/>
      <c r="D517" s="1"/>
    </row>
    <row r="518" spans="2:4" ht="15.75" customHeight="1" x14ac:dyDescent="0.2">
      <c r="B518" s="1"/>
      <c r="C518" s="2"/>
      <c r="D518" s="1"/>
    </row>
    <row r="519" spans="2:4" ht="15.75" customHeight="1" x14ac:dyDescent="0.2">
      <c r="B519" s="1"/>
      <c r="C519" s="2"/>
      <c r="D519" s="1"/>
    </row>
    <row r="520" spans="2:4" ht="15.75" customHeight="1" x14ac:dyDescent="0.2">
      <c r="B520" s="1"/>
      <c r="C520" s="2"/>
      <c r="D520" s="1"/>
    </row>
    <row r="521" spans="2:4" ht="15.75" customHeight="1" x14ac:dyDescent="0.2">
      <c r="B521" s="1"/>
      <c r="C521" s="2"/>
      <c r="D521" s="1"/>
    </row>
    <row r="522" spans="2:4" ht="15.75" customHeight="1" x14ac:dyDescent="0.2">
      <c r="B522" s="1"/>
      <c r="C522" s="2"/>
      <c r="D522" s="1"/>
    </row>
    <row r="523" spans="2:4" ht="15.75" customHeight="1" x14ac:dyDescent="0.2">
      <c r="B523" s="1"/>
      <c r="C523" s="2"/>
      <c r="D523" s="1"/>
    </row>
    <row r="524" spans="2:4" ht="15.75" customHeight="1" x14ac:dyDescent="0.2">
      <c r="B524" s="1"/>
      <c r="C524" s="2"/>
      <c r="D524" s="1"/>
    </row>
    <row r="525" spans="2:4" ht="15.75" customHeight="1" x14ac:dyDescent="0.2">
      <c r="B525" s="1"/>
      <c r="C525" s="2"/>
      <c r="D525" s="1"/>
    </row>
    <row r="526" spans="2:4" ht="15.75" customHeight="1" x14ac:dyDescent="0.2">
      <c r="B526" s="1"/>
      <c r="C526" s="2"/>
      <c r="D526" s="1"/>
    </row>
    <row r="527" spans="2:4" ht="15.75" customHeight="1" x14ac:dyDescent="0.2">
      <c r="B527" s="1"/>
      <c r="C527" s="2"/>
      <c r="D527" s="1"/>
    </row>
    <row r="528" spans="2:4" ht="15.75" customHeight="1" x14ac:dyDescent="0.2">
      <c r="B528" s="1"/>
      <c r="C528" s="2"/>
      <c r="D528" s="1"/>
    </row>
    <row r="529" spans="2:4" ht="15.75" customHeight="1" x14ac:dyDescent="0.2">
      <c r="B529" s="1"/>
      <c r="C529" s="2"/>
      <c r="D529" s="1"/>
    </row>
    <row r="530" spans="2:4" ht="15.75" customHeight="1" x14ac:dyDescent="0.2">
      <c r="B530" s="1"/>
      <c r="C530" s="2"/>
      <c r="D530" s="1"/>
    </row>
    <row r="531" spans="2:4" ht="15.75" customHeight="1" x14ac:dyDescent="0.2">
      <c r="B531" s="1"/>
      <c r="C531" s="2"/>
      <c r="D531" s="1"/>
    </row>
    <row r="532" spans="2:4" ht="15.75" customHeight="1" x14ac:dyDescent="0.2">
      <c r="B532" s="1"/>
      <c r="C532" s="2"/>
      <c r="D532" s="1"/>
    </row>
    <row r="533" spans="2:4" ht="15.75" customHeight="1" x14ac:dyDescent="0.2">
      <c r="B533" s="1"/>
      <c r="C533" s="2"/>
      <c r="D533" s="1"/>
    </row>
    <row r="534" spans="2:4" ht="15.75" customHeight="1" x14ac:dyDescent="0.2">
      <c r="B534" s="1"/>
      <c r="C534" s="2"/>
      <c r="D534" s="1"/>
    </row>
    <row r="535" spans="2:4" ht="15.75" customHeight="1" x14ac:dyDescent="0.2">
      <c r="B535" s="1"/>
      <c r="C535" s="2"/>
      <c r="D535" s="1"/>
    </row>
    <row r="536" spans="2:4" ht="15.75" customHeight="1" x14ac:dyDescent="0.2">
      <c r="B536" s="1"/>
      <c r="C536" s="2"/>
      <c r="D536" s="1"/>
    </row>
    <row r="537" spans="2:4" ht="15.75" customHeight="1" x14ac:dyDescent="0.2">
      <c r="B537" s="1"/>
      <c r="C537" s="2"/>
      <c r="D537" s="1"/>
    </row>
    <row r="538" spans="2:4" ht="15.75" customHeight="1" x14ac:dyDescent="0.2">
      <c r="B538" s="1"/>
      <c r="C538" s="2"/>
      <c r="D538" s="1"/>
    </row>
    <row r="539" spans="2:4" ht="15.75" customHeight="1" x14ac:dyDescent="0.2">
      <c r="B539" s="1"/>
      <c r="C539" s="2"/>
      <c r="D539" s="1"/>
    </row>
    <row r="540" spans="2:4" ht="15.75" customHeight="1" x14ac:dyDescent="0.2">
      <c r="B540" s="1"/>
      <c r="C540" s="2"/>
      <c r="D540" s="1"/>
    </row>
    <row r="541" spans="2:4" ht="15.75" customHeight="1" x14ac:dyDescent="0.2">
      <c r="B541" s="1"/>
      <c r="C541" s="2"/>
      <c r="D541" s="1"/>
    </row>
    <row r="542" spans="2:4" ht="15.75" customHeight="1" x14ac:dyDescent="0.2">
      <c r="B542" s="1"/>
      <c r="C542" s="2"/>
      <c r="D542" s="1"/>
    </row>
    <row r="543" spans="2:4" ht="15.75" customHeight="1" x14ac:dyDescent="0.2">
      <c r="B543" s="1"/>
      <c r="C543" s="2"/>
      <c r="D543" s="1"/>
    </row>
    <row r="544" spans="2:4" ht="15.75" customHeight="1" x14ac:dyDescent="0.2">
      <c r="B544" s="1"/>
      <c r="C544" s="2"/>
      <c r="D544" s="1"/>
    </row>
    <row r="545" spans="2:4" ht="15.75" customHeight="1" x14ac:dyDescent="0.2">
      <c r="B545" s="1"/>
      <c r="C545" s="2"/>
      <c r="D545" s="1"/>
    </row>
    <row r="546" spans="2:4" ht="15.75" customHeight="1" x14ac:dyDescent="0.2">
      <c r="B546" s="1"/>
      <c r="C546" s="2"/>
      <c r="D546" s="1"/>
    </row>
    <row r="547" spans="2:4" ht="15.75" customHeight="1" x14ac:dyDescent="0.2">
      <c r="B547" s="1"/>
      <c r="C547" s="2"/>
      <c r="D547" s="1"/>
    </row>
    <row r="548" spans="2:4" ht="15.75" customHeight="1" x14ac:dyDescent="0.2">
      <c r="B548" s="1"/>
      <c r="C548" s="2"/>
      <c r="D548" s="1"/>
    </row>
    <row r="549" spans="2:4" ht="15.75" customHeight="1" x14ac:dyDescent="0.2">
      <c r="B549" s="1"/>
      <c r="C549" s="2"/>
      <c r="D549" s="1"/>
    </row>
    <row r="550" spans="2:4" ht="15.75" customHeight="1" x14ac:dyDescent="0.2">
      <c r="B550" s="1"/>
      <c r="C550" s="2"/>
      <c r="D550" s="1"/>
    </row>
    <row r="551" spans="2:4" ht="15.75" customHeight="1" x14ac:dyDescent="0.2">
      <c r="B551" s="1"/>
      <c r="C551" s="2"/>
      <c r="D551" s="1"/>
    </row>
    <row r="552" spans="2:4" ht="15.75" customHeight="1" x14ac:dyDescent="0.2">
      <c r="B552" s="1"/>
      <c r="C552" s="2"/>
      <c r="D552" s="1"/>
    </row>
    <row r="553" spans="2:4" ht="15.75" customHeight="1" x14ac:dyDescent="0.2">
      <c r="B553" s="1"/>
      <c r="C553" s="2"/>
      <c r="D553" s="1"/>
    </row>
    <row r="554" spans="2:4" ht="15.75" customHeight="1" x14ac:dyDescent="0.2">
      <c r="B554" s="1"/>
      <c r="C554" s="2"/>
      <c r="D554" s="1"/>
    </row>
    <row r="555" spans="2:4" ht="15.75" customHeight="1" x14ac:dyDescent="0.2">
      <c r="B555" s="1"/>
      <c r="C555" s="2"/>
      <c r="D555" s="1"/>
    </row>
    <row r="556" spans="2:4" ht="15.75" customHeight="1" x14ac:dyDescent="0.2">
      <c r="B556" s="1"/>
      <c r="C556" s="2"/>
      <c r="D556" s="1"/>
    </row>
    <row r="557" spans="2:4" ht="15.75" customHeight="1" x14ac:dyDescent="0.2">
      <c r="B557" s="1"/>
      <c r="C557" s="2"/>
      <c r="D557" s="1"/>
    </row>
    <row r="558" spans="2:4" ht="15.75" customHeight="1" x14ac:dyDescent="0.2">
      <c r="B558" s="1"/>
      <c r="C558" s="2"/>
      <c r="D558" s="1"/>
    </row>
    <row r="559" spans="2:4" ht="15.75" customHeight="1" x14ac:dyDescent="0.2">
      <c r="B559" s="1"/>
      <c r="C559" s="2"/>
      <c r="D559" s="1"/>
    </row>
    <row r="560" spans="2:4" ht="15.75" customHeight="1" x14ac:dyDescent="0.2">
      <c r="B560" s="1"/>
      <c r="C560" s="2"/>
      <c r="D560" s="1"/>
    </row>
    <row r="561" spans="2:4" ht="15.75" customHeight="1" x14ac:dyDescent="0.2">
      <c r="B561" s="1"/>
      <c r="C561" s="2"/>
      <c r="D561" s="1"/>
    </row>
    <row r="562" spans="2:4" ht="15.75" customHeight="1" x14ac:dyDescent="0.2">
      <c r="B562" s="1"/>
      <c r="C562" s="2"/>
      <c r="D562" s="1"/>
    </row>
    <row r="563" spans="2:4" ht="15.75" customHeight="1" x14ac:dyDescent="0.2">
      <c r="B563" s="1"/>
      <c r="C563" s="2"/>
      <c r="D563" s="1"/>
    </row>
    <row r="564" spans="2:4" ht="15.75" customHeight="1" x14ac:dyDescent="0.2">
      <c r="B564" s="1"/>
      <c r="C564" s="2"/>
      <c r="D564" s="1"/>
    </row>
    <row r="565" spans="2:4" ht="15.75" customHeight="1" x14ac:dyDescent="0.2">
      <c r="B565" s="1"/>
      <c r="C565" s="2"/>
      <c r="D565" s="1"/>
    </row>
    <row r="566" spans="2:4" ht="15.75" customHeight="1" x14ac:dyDescent="0.2">
      <c r="B566" s="1"/>
      <c r="C566" s="2"/>
      <c r="D566" s="1"/>
    </row>
    <row r="567" spans="2:4" ht="15.75" customHeight="1" x14ac:dyDescent="0.2">
      <c r="B567" s="1"/>
      <c r="C567" s="2"/>
      <c r="D567" s="1"/>
    </row>
    <row r="568" spans="2:4" ht="15.75" customHeight="1" x14ac:dyDescent="0.2">
      <c r="B568" s="1"/>
      <c r="C568" s="2"/>
      <c r="D568" s="1"/>
    </row>
    <row r="569" spans="2:4" ht="15.75" customHeight="1" x14ac:dyDescent="0.2">
      <c r="B569" s="1"/>
      <c r="C569" s="2"/>
      <c r="D569" s="1"/>
    </row>
    <row r="570" spans="2:4" ht="15.75" customHeight="1" x14ac:dyDescent="0.2">
      <c r="B570" s="1"/>
      <c r="C570" s="2"/>
      <c r="D570" s="1"/>
    </row>
    <row r="571" spans="2:4" ht="15.75" customHeight="1" x14ac:dyDescent="0.2">
      <c r="B571" s="1"/>
      <c r="C571" s="2"/>
      <c r="D571" s="1"/>
    </row>
    <row r="572" spans="2:4" ht="15.75" customHeight="1" x14ac:dyDescent="0.2">
      <c r="B572" s="1"/>
      <c r="C572" s="2"/>
      <c r="D572" s="1"/>
    </row>
    <row r="573" spans="2:4" ht="15.75" customHeight="1" x14ac:dyDescent="0.2">
      <c r="B573" s="1"/>
      <c r="C573" s="2"/>
      <c r="D573" s="1"/>
    </row>
    <row r="574" spans="2:4" ht="15.75" customHeight="1" x14ac:dyDescent="0.2">
      <c r="B574" s="1"/>
      <c r="C574" s="2"/>
      <c r="D574" s="1"/>
    </row>
    <row r="575" spans="2:4" ht="15.75" customHeight="1" x14ac:dyDescent="0.2">
      <c r="B575" s="1"/>
      <c r="C575" s="2"/>
      <c r="D575" s="1"/>
    </row>
    <row r="576" spans="2:4" ht="15.75" customHeight="1" x14ac:dyDescent="0.2">
      <c r="B576" s="1"/>
      <c r="C576" s="2"/>
      <c r="D576" s="1"/>
    </row>
    <row r="577" spans="2:4" ht="15.75" customHeight="1" x14ac:dyDescent="0.2">
      <c r="B577" s="1"/>
      <c r="C577" s="2"/>
      <c r="D577" s="1"/>
    </row>
    <row r="578" spans="2:4" ht="15.75" customHeight="1" x14ac:dyDescent="0.2">
      <c r="B578" s="1"/>
      <c r="C578" s="2"/>
      <c r="D578" s="1"/>
    </row>
    <row r="579" spans="2:4" ht="15.75" customHeight="1" x14ac:dyDescent="0.2">
      <c r="B579" s="1"/>
      <c r="C579" s="2"/>
      <c r="D579" s="1"/>
    </row>
    <row r="580" spans="2:4" ht="15.75" customHeight="1" x14ac:dyDescent="0.2">
      <c r="B580" s="1"/>
      <c r="C580" s="2"/>
      <c r="D580" s="1"/>
    </row>
    <row r="581" spans="2:4" ht="15.75" customHeight="1" x14ac:dyDescent="0.2">
      <c r="B581" s="1"/>
      <c r="C581" s="2"/>
      <c r="D581" s="1"/>
    </row>
    <row r="582" spans="2:4" ht="15.75" customHeight="1" x14ac:dyDescent="0.2">
      <c r="B582" s="1"/>
      <c r="C582" s="2"/>
      <c r="D582" s="1"/>
    </row>
    <row r="583" spans="2:4" ht="15.75" customHeight="1" x14ac:dyDescent="0.2">
      <c r="B583" s="1"/>
      <c r="C583" s="2"/>
      <c r="D583" s="1"/>
    </row>
    <row r="584" spans="2:4" ht="15.75" customHeight="1" x14ac:dyDescent="0.2">
      <c r="B584" s="1"/>
      <c r="C584" s="2"/>
      <c r="D584" s="1"/>
    </row>
    <row r="585" spans="2:4" ht="15.75" customHeight="1" x14ac:dyDescent="0.2">
      <c r="B585" s="1"/>
      <c r="C585" s="2"/>
      <c r="D585" s="1"/>
    </row>
    <row r="586" spans="2:4" ht="15.75" customHeight="1" x14ac:dyDescent="0.2">
      <c r="B586" s="1"/>
      <c r="C586" s="2"/>
      <c r="D586" s="1"/>
    </row>
    <row r="587" spans="2:4" ht="15.75" customHeight="1" x14ac:dyDescent="0.2">
      <c r="B587" s="1"/>
      <c r="C587" s="2"/>
      <c r="D587" s="1"/>
    </row>
    <row r="588" spans="2:4" ht="15.75" customHeight="1" x14ac:dyDescent="0.2">
      <c r="B588" s="1"/>
      <c r="C588" s="2"/>
      <c r="D588" s="1"/>
    </row>
    <row r="589" spans="2:4" ht="15.75" customHeight="1" x14ac:dyDescent="0.2">
      <c r="B589" s="1"/>
      <c r="C589" s="2"/>
      <c r="D589" s="1"/>
    </row>
    <row r="590" spans="2:4" ht="15.75" customHeight="1" x14ac:dyDescent="0.2">
      <c r="B590" s="1"/>
      <c r="C590" s="2"/>
      <c r="D590" s="1"/>
    </row>
    <row r="591" spans="2:4" ht="15.75" customHeight="1" x14ac:dyDescent="0.2">
      <c r="B591" s="1"/>
      <c r="C591" s="2"/>
      <c r="D591" s="1"/>
    </row>
    <row r="592" spans="2:4" ht="15.75" customHeight="1" x14ac:dyDescent="0.2">
      <c r="B592" s="1"/>
      <c r="C592" s="2"/>
      <c r="D592" s="1"/>
    </row>
    <row r="593" spans="2:4" ht="15.75" customHeight="1" x14ac:dyDescent="0.2">
      <c r="B593" s="1"/>
      <c r="C593" s="2"/>
      <c r="D593" s="1"/>
    </row>
    <row r="594" spans="2:4" ht="15.75" customHeight="1" x14ac:dyDescent="0.2">
      <c r="B594" s="1"/>
      <c r="C594" s="2"/>
      <c r="D594" s="1"/>
    </row>
    <row r="595" spans="2:4" ht="15.75" customHeight="1" x14ac:dyDescent="0.2">
      <c r="B595" s="1"/>
      <c r="C595" s="2"/>
      <c r="D595" s="1"/>
    </row>
    <row r="596" spans="2:4" ht="15.75" customHeight="1" x14ac:dyDescent="0.2">
      <c r="B596" s="1"/>
      <c r="C596" s="2"/>
      <c r="D596" s="1"/>
    </row>
    <row r="597" spans="2:4" ht="15.75" customHeight="1" x14ac:dyDescent="0.2">
      <c r="B597" s="1"/>
      <c r="C597" s="2"/>
      <c r="D597" s="1"/>
    </row>
    <row r="598" spans="2:4" ht="15.75" customHeight="1" x14ac:dyDescent="0.2">
      <c r="B598" s="1"/>
      <c r="C598" s="2"/>
      <c r="D598" s="1"/>
    </row>
    <row r="599" spans="2:4" ht="15.75" customHeight="1" x14ac:dyDescent="0.2">
      <c r="B599" s="1"/>
      <c r="C599" s="2"/>
      <c r="D599" s="1"/>
    </row>
    <row r="600" spans="2:4" ht="15.75" customHeight="1" x14ac:dyDescent="0.2">
      <c r="B600" s="1"/>
      <c r="C600" s="2"/>
      <c r="D600" s="1"/>
    </row>
    <row r="601" spans="2:4" ht="15.75" customHeight="1" x14ac:dyDescent="0.2">
      <c r="B601" s="1"/>
      <c r="C601" s="2"/>
      <c r="D601" s="1"/>
    </row>
    <row r="602" spans="2:4" ht="15.75" customHeight="1" x14ac:dyDescent="0.2">
      <c r="B602" s="1"/>
      <c r="C602" s="2"/>
      <c r="D602" s="1"/>
    </row>
    <row r="603" spans="2:4" ht="15.75" customHeight="1" x14ac:dyDescent="0.2">
      <c r="B603" s="1"/>
      <c r="C603" s="2"/>
      <c r="D603" s="1"/>
    </row>
    <row r="604" spans="2:4" ht="15.75" customHeight="1" x14ac:dyDescent="0.2">
      <c r="B604" s="1"/>
      <c r="C604" s="2"/>
      <c r="D604" s="1"/>
    </row>
    <row r="605" spans="2:4" ht="15.75" customHeight="1" x14ac:dyDescent="0.2">
      <c r="B605" s="1"/>
      <c r="C605" s="2"/>
      <c r="D605" s="1"/>
    </row>
    <row r="606" spans="2:4" ht="15.75" customHeight="1" x14ac:dyDescent="0.2">
      <c r="B606" s="1"/>
      <c r="C606" s="2"/>
      <c r="D606" s="1"/>
    </row>
    <row r="607" spans="2:4" ht="15.75" customHeight="1" x14ac:dyDescent="0.2">
      <c r="B607" s="1"/>
      <c r="C607" s="2"/>
      <c r="D607" s="1"/>
    </row>
    <row r="608" spans="2:4" ht="15.75" customHeight="1" x14ac:dyDescent="0.2">
      <c r="B608" s="1"/>
      <c r="C608" s="2"/>
      <c r="D608" s="1"/>
    </row>
    <row r="609" spans="2:4" ht="15.75" customHeight="1" x14ac:dyDescent="0.2">
      <c r="B609" s="1"/>
      <c r="C609" s="2"/>
      <c r="D609" s="1"/>
    </row>
    <row r="610" spans="2:4" ht="15.75" customHeight="1" x14ac:dyDescent="0.2">
      <c r="B610" s="1"/>
      <c r="C610" s="2"/>
      <c r="D610" s="1"/>
    </row>
    <row r="611" spans="2:4" ht="15.75" customHeight="1" x14ac:dyDescent="0.2">
      <c r="B611" s="1"/>
      <c r="C611" s="2"/>
      <c r="D611" s="1"/>
    </row>
    <row r="612" spans="2:4" ht="15.75" customHeight="1" x14ac:dyDescent="0.2">
      <c r="B612" s="1"/>
      <c r="C612" s="2"/>
      <c r="D612" s="1"/>
    </row>
    <row r="613" spans="2:4" ht="15.75" customHeight="1" x14ac:dyDescent="0.2">
      <c r="B613" s="1"/>
      <c r="C613" s="2"/>
      <c r="D613" s="1"/>
    </row>
    <row r="614" spans="2:4" ht="15.75" customHeight="1" x14ac:dyDescent="0.2">
      <c r="B614" s="1"/>
      <c r="C614" s="2"/>
      <c r="D614" s="1"/>
    </row>
    <row r="615" spans="2:4" ht="15.75" customHeight="1" x14ac:dyDescent="0.2">
      <c r="B615" s="1"/>
      <c r="C615" s="2"/>
      <c r="D615" s="1"/>
    </row>
    <row r="616" spans="2:4" ht="15.75" customHeight="1" x14ac:dyDescent="0.2">
      <c r="B616" s="1"/>
      <c r="C616" s="2"/>
      <c r="D616" s="1"/>
    </row>
    <row r="617" spans="2:4" ht="15.75" customHeight="1" x14ac:dyDescent="0.2">
      <c r="B617" s="1"/>
      <c r="C617" s="2"/>
      <c r="D617" s="1"/>
    </row>
    <row r="618" spans="2:4" ht="15.75" customHeight="1" x14ac:dyDescent="0.2">
      <c r="B618" s="1"/>
      <c r="C618" s="2"/>
      <c r="D618" s="1"/>
    </row>
    <row r="619" spans="2:4" ht="15.75" customHeight="1" x14ac:dyDescent="0.2">
      <c r="B619" s="1"/>
      <c r="C619" s="2"/>
      <c r="D619" s="1"/>
    </row>
    <row r="620" spans="2:4" ht="15.75" customHeight="1" x14ac:dyDescent="0.2">
      <c r="B620" s="1"/>
      <c r="C620" s="2"/>
      <c r="D620" s="1"/>
    </row>
    <row r="621" spans="2:4" ht="15.75" customHeight="1" x14ac:dyDescent="0.2">
      <c r="B621" s="1"/>
      <c r="C621" s="2"/>
      <c r="D621" s="1"/>
    </row>
    <row r="622" spans="2:4" ht="15.75" customHeight="1" x14ac:dyDescent="0.2">
      <c r="B622" s="1"/>
      <c r="C622" s="2"/>
      <c r="D622" s="1"/>
    </row>
    <row r="623" spans="2:4" ht="15.75" customHeight="1" x14ac:dyDescent="0.2">
      <c r="B623" s="1"/>
      <c r="C623" s="2"/>
      <c r="D623" s="1"/>
    </row>
    <row r="624" spans="2:4" ht="15.75" customHeight="1" x14ac:dyDescent="0.2">
      <c r="B624" s="1"/>
      <c r="C624" s="2"/>
      <c r="D624" s="1"/>
    </row>
    <row r="625" spans="2:4" ht="15.75" customHeight="1" x14ac:dyDescent="0.2">
      <c r="B625" s="1"/>
      <c r="C625" s="2"/>
      <c r="D625" s="1"/>
    </row>
    <row r="626" spans="2:4" ht="15.75" customHeight="1" x14ac:dyDescent="0.2">
      <c r="B626" s="1"/>
      <c r="C626" s="2"/>
      <c r="D626" s="1"/>
    </row>
    <row r="627" spans="2:4" ht="15.75" customHeight="1" x14ac:dyDescent="0.2">
      <c r="B627" s="1"/>
      <c r="C627" s="2"/>
      <c r="D627" s="1"/>
    </row>
    <row r="628" spans="2:4" ht="15.75" customHeight="1" x14ac:dyDescent="0.2">
      <c r="B628" s="1"/>
      <c r="C628" s="2"/>
      <c r="D628" s="1"/>
    </row>
    <row r="629" spans="2:4" ht="15.75" customHeight="1" x14ac:dyDescent="0.2">
      <c r="B629" s="1"/>
      <c r="C629" s="2"/>
      <c r="D629" s="1"/>
    </row>
    <row r="630" spans="2:4" ht="15.75" customHeight="1" x14ac:dyDescent="0.2">
      <c r="B630" s="1"/>
      <c r="C630" s="2"/>
      <c r="D630" s="1"/>
    </row>
    <row r="631" spans="2:4" ht="15.75" customHeight="1" x14ac:dyDescent="0.2">
      <c r="B631" s="1"/>
      <c r="C631" s="2"/>
      <c r="D631" s="1"/>
    </row>
    <row r="632" spans="2:4" ht="15.75" customHeight="1" x14ac:dyDescent="0.2">
      <c r="B632" s="1"/>
      <c r="C632" s="2"/>
      <c r="D632" s="1"/>
    </row>
    <row r="633" spans="2:4" ht="15.75" customHeight="1" x14ac:dyDescent="0.2">
      <c r="B633" s="1"/>
      <c r="C633" s="2"/>
      <c r="D633" s="1"/>
    </row>
    <row r="634" spans="2:4" ht="15.75" customHeight="1" x14ac:dyDescent="0.2">
      <c r="B634" s="1"/>
      <c r="C634" s="2"/>
      <c r="D634" s="1"/>
    </row>
    <row r="635" spans="2:4" ht="15.75" customHeight="1" x14ac:dyDescent="0.2">
      <c r="B635" s="1"/>
      <c r="C635" s="2"/>
      <c r="D635" s="1"/>
    </row>
    <row r="636" spans="2:4" ht="15.75" customHeight="1" x14ac:dyDescent="0.2">
      <c r="B636" s="1"/>
      <c r="C636" s="2"/>
      <c r="D636" s="1"/>
    </row>
    <row r="637" spans="2:4" ht="15.75" customHeight="1" x14ac:dyDescent="0.2">
      <c r="B637" s="1"/>
      <c r="C637" s="2"/>
      <c r="D637" s="1"/>
    </row>
    <row r="638" spans="2:4" ht="15.75" customHeight="1" x14ac:dyDescent="0.2">
      <c r="B638" s="1"/>
      <c r="C638" s="2"/>
      <c r="D638" s="1"/>
    </row>
    <row r="639" spans="2:4" ht="15.75" customHeight="1" x14ac:dyDescent="0.2">
      <c r="B639" s="1"/>
      <c r="C639" s="2"/>
      <c r="D639" s="1"/>
    </row>
    <row r="640" spans="2:4" ht="15.75" customHeight="1" x14ac:dyDescent="0.2">
      <c r="B640" s="1"/>
      <c r="C640" s="2"/>
      <c r="D640" s="1"/>
    </row>
    <row r="641" spans="2:4" ht="15.75" customHeight="1" x14ac:dyDescent="0.2">
      <c r="B641" s="1"/>
      <c r="C641" s="2"/>
      <c r="D641" s="1"/>
    </row>
    <row r="642" spans="2:4" ht="15.75" customHeight="1" x14ac:dyDescent="0.2">
      <c r="B642" s="1"/>
      <c r="C642" s="2"/>
      <c r="D642" s="1"/>
    </row>
    <row r="643" spans="2:4" ht="15.75" customHeight="1" x14ac:dyDescent="0.2">
      <c r="B643" s="1"/>
      <c r="C643" s="2"/>
      <c r="D643" s="1"/>
    </row>
    <row r="644" spans="2:4" ht="15.75" customHeight="1" x14ac:dyDescent="0.2">
      <c r="B644" s="1"/>
      <c r="C644" s="2"/>
      <c r="D644" s="1"/>
    </row>
    <row r="645" spans="2:4" ht="15.75" customHeight="1" x14ac:dyDescent="0.2">
      <c r="B645" s="1"/>
      <c r="C645" s="2"/>
      <c r="D645" s="1"/>
    </row>
    <row r="646" spans="2:4" ht="15.75" customHeight="1" x14ac:dyDescent="0.2">
      <c r="B646" s="1"/>
      <c r="C646" s="2"/>
      <c r="D646" s="1"/>
    </row>
    <row r="647" spans="2:4" ht="15.75" customHeight="1" x14ac:dyDescent="0.2">
      <c r="B647" s="1"/>
      <c r="C647" s="2"/>
      <c r="D647" s="1"/>
    </row>
    <row r="648" spans="2:4" ht="15.75" customHeight="1" x14ac:dyDescent="0.2">
      <c r="B648" s="1"/>
      <c r="C648" s="2"/>
      <c r="D648" s="1"/>
    </row>
    <row r="649" spans="2:4" ht="15.75" customHeight="1" x14ac:dyDescent="0.2">
      <c r="B649" s="1"/>
      <c r="C649" s="2"/>
      <c r="D649" s="1"/>
    </row>
    <row r="650" spans="2:4" ht="15.75" customHeight="1" x14ac:dyDescent="0.2">
      <c r="B650" s="1"/>
      <c r="C650" s="2"/>
      <c r="D650" s="1"/>
    </row>
    <row r="651" spans="2:4" ht="15.75" customHeight="1" x14ac:dyDescent="0.2">
      <c r="B651" s="1"/>
      <c r="C651" s="2"/>
      <c r="D651" s="1"/>
    </row>
    <row r="652" spans="2:4" ht="15.75" customHeight="1" x14ac:dyDescent="0.2">
      <c r="B652" s="1"/>
      <c r="C652" s="2"/>
      <c r="D652" s="1"/>
    </row>
    <row r="653" spans="2:4" ht="15.75" customHeight="1" x14ac:dyDescent="0.2">
      <c r="B653" s="1"/>
      <c r="C653" s="2"/>
      <c r="D653" s="1"/>
    </row>
    <row r="654" spans="2:4" ht="15.75" customHeight="1" x14ac:dyDescent="0.2">
      <c r="B654" s="1"/>
      <c r="C654" s="2"/>
      <c r="D654" s="1"/>
    </row>
    <row r="655" spans="2:4" ht="15.75" customHeight="1" x14ac:dyDescent="0.2">
      <c r="B655" s="1"/>
      <c r="C655" s="2"/>
      <c r="D655" s="1"/>
    </row>
    <row r="656" spans="2:4" ht="15.75" customHeight="1" x14ac:dyDescent="0.2">
      <c r="B656" s="1"/>
      <c r="C656" s="2"/>
      <c r="D656" s="1"/>
    </row>
    <row r="657" spans="2:4" ht="15.75" customHeight="1" x14ac:dyDescent="0.2">
      <c r="B657" s="1"/>
      <c r="C657" s="2"/>
      <c r="D657" s="1"/>
    </row>
    <row r="658" spans="2:4" ht="15.75" customHeight="1" x14ac:dyDescent="0.2">
      <c r="B658" s="1"/>
      <c r="C658" s="2"/>
      <c r="D658" s="1"/>
    </row>
    <row r="659" spans="2:4" ht="15.75" customHeight="1" x14ac:dyDescent="0.2">
      <c r="B659" s="1"/>
      <c r="C659" s="2"/>
      <c r="D659" s="1"/>
    </row>
    <row r="660" spans="2:4" ht="15.75" customHeight="1" x14ac:dyDescent="0.2">
      <c r="B660" s="1"/>
      <c r="C660" s="2"/>
      <c r="D660" s="1"/>
    </row>
    <row r="661" spans="2:4" ht="15.75" customHeight="1" x14ac:dyDescent="0.2">
      <c r="B661" s="1"/>
      <c r="C661" s="2"/>
      <c r="D661" s="1"/>
    </row>
    <row r="662" spans="2:4" ht="15.75" customHeight="1" x14ac:dyDescent="0.2">
      <c r="B662" s="1"/>
      <c r="C662" s="2"/>
      <c r="D662" s="1"/>
    </row>
    <row r="663" spans="2:4" ht="15.75" customHeight="1" x14ac:dyDescent="0.2">
      <c r="B663" s="1"/>
      <c r="C663" s="2"/>
      <c r="D663" s="1"/>
    </row>
    <row r="664" spans="2:4" ht="15.75" customHeight="1" x14ac:dyDescent="0.2">
      <c r="B664" s="1"/>
      <c r="C664" s="2"/>
      <c r="D664" s="1"/>
    </row>
    <row r="665" spans="2:4" ht="15.75" customHeight="1" x14ac:dyDescent="0.2">
      <c r="B665" s="1"/>
      <c r="C665" s="2"/>
      <c r="D665" s="1"/>
    </row>
    <row r="666" spans="2:4" ht="15.75" customHeight="1" x14ac:dyDescent="0.2">
      <c r="B666" s="1"/>
      <c r="C666" s="2"/>
      <c r="D666" s="1"/>
    </row>
    <row r="667" spans="2:4" ht="15.75" customHeight="1" x14ac:dyDescent="0.2">
      <c r="B667" s="1"/>
      <c r="C667" s="2"/>
      <c r="D667" s="1"/>
    </row>
    <row r="668" spans="2:4" ht="15.75" customHeight="1" x14ac:dyDescent="0.2">
      <c r="B668" s="1"/>
      <c r="C668" s="2"/>
      <c r="D668" s="1"/>
    </row>
    <row r="669" spans="2:4" ht="15.75" customHeight="1" x14ac:dyDescent="0.2">
      <c r="B669" s="1"/>
      <c r="C669" s="2"/>
      <c r="D669" s="1"/>
    </row>
    <row r="670" spans="2:4" ht="15.75" customHeight="1" x14ac:dyDescent="0.2">
      <c r="B670" s="1"/>
      <c r="C670" s="2"/>
      <c r="D670" s="1"/>
    </row>
    <row r="671" spans="2:4" ht="15.75" customHeight="1" x14ac:dyDescent="0.2">
      <c r="B671" s="1"/>
      <c r="C671" s="2"/>
      <c r="D671" s="1"/>
    </row>
    <row r="672" spans="2:4" ht="15.75" customHeight="1" x14ac:dyDescent="0.2">
      <c r="B672" s="1"/>
      <c r="C672" s="2"/>
      <c r="D672" s="1"/>
    </row>
    <row r="673" spans="2:4" ht="15.75" customHeight="1" x14ac:dyDescent="0.2">
      <c r="B673" s="1"/>
      <c r="C673" s="2"/>
      <c r="D673" s="1"/>
    </row>
    <row r="674" spans="2:4" ht="15.75" customHeight="1" x14ac:dyDescent="0.2">
      <c r="B674" s="1"/>
      <c r="C674" s="2"/>
      <c r="D674" s="1"/>
    </row>
    <row r="675" spans="2:4" ht="15.75" customHeight="1" x14ac:dyDescent="0.2">
      <c r="B675" s="1"/>
      <c r="C675" s="2"/>
      <c r="D675" s="1"/>
    </row>
    <row r="676" spans="2:4" ht="15.75" customHeight="1" x14ac:dyDescent="0.2">
      <c r="B676" s="1"/>
      <c r="C676" s="2"/>
      <c r="D676" s="1"/>
    </row>
    <row r="677" spans="2:4" ht="15.75" customHeight="1" x14ac:dyDescent="0.2">
      <c r="B677" s="1"/>
      <c r="C677" s="2"/>
      <c r="D677" s="1"/>
    </row>
    <row r="678" spans="2:4" ht="15.75" customHeight="1" x14ac:dyDescent="0.2">
      <c r="B678" s="1"/>
      <c r="C678" s="2"/>
      <c r="D678" s="1"/>
    </row>
    <row r="679" spans="2:4" ht="15.75" customHeight="1" x14ac:dyDescent="0.2">
      <c r="B679" s="1"/>
      <c r="C679" s="2"/>
      <c r="D679" s="1"/>
    </row>
    <row r="680" spans="2:4" ht="15.75" customHeight="1" x14ac:dyDescent="0.2">
      <c r="B680" s="1"/>
      <c r="C680" s="2"/>
      <c r="D680" s="1"/>
    </row>
    <row r="681" spans="2:4" ht="15.75" customHeight="1" x14ac:dyDescent="0.2">
      <c r="B681" s="1"/>
      <c r="C681" s="2"/>
      <c r="D681" s="1"/>
    </row>
    <row r="682" spans="2:4" ht="15.75" customHeight="1" x14ac:dyDescent="0.2">
      <c r="B682" s="1"/>
      <c r="C682" s="2"/>
      <c r="D682" s="1"/>
    </row>
    <row r="683" spans="2:4" ht="15.75" customHeight="1" x14ac:dyDescent="0.2">
      <c r="B683" s="1"/>
      <c r="C683" s="2"/>
      <c r="D683" s="1"/>
    </row>
    <row r="684" spans="2:4" ht="15.75" customHeight="1" x14ac:dyDescent="0.2">
      <c r="B684" s="1"/>
      <c r="C684" s="2"/>
      <c r="D684" s="1"/>
    </row>
    <row r="685" spans="2:4" ht="15.75" customHeight="1" x14ac:dyDescent="0.2">
      <c r="B685" s="1"/>
      <c r="C685" s="2"/>
      <c r="D685" s="1"/>
    </row>
    <row r="686" spans="2:4" ht="15.75" customHeight="1" x14ac:dyDescent="0.2">
      <c r="B686" s="1"/>
      <c r="C686" s="2"/>
      <c r="D686" s="1"/>
    </row>
    <row r="687" spans="2:4" ht="15.75" customHeight="1" x14ac:dyDescent="0.2">
      <c r="B687" s="1"/>
      <c r="C687" s="2"/>
      <c r="D687" s="1"/>
    </row>
    <row r="688" spans="2:4" ht="15.75" customHeight="1" x14ac:dyDescent="0.2">
      <c r="B688" s="1"/>
      <c r="C688" s="2"/>
      <c r="D688" s="1"/>
    </row>
    <row r="689" spans="2:4" ht="15.75" customHeight="1" x14ac:dyDescent="0.2">
      <c r="B689" s="1"/>
      <c r="C689" s="2"/>
      <c r="D689" s="1"/>
    </row>
    <row r="690" spans="2:4" ht="15.75" customHeight="1" x14ac:dyDescent="0.2">
      <c r="B690" s="1"/>
      <c r="C690" s="2"/>
      <c r="D690" s="1"/>
    </row>
    <row r="691" spans="2:4" ht="15.75" customHeight="1" x14ac:dyDescent="0.2">
      <c r="B691" s="1"/>
      <c r="C691" s="2"/>
      <c r="D691" s="1"/>
    </row>
    <row r="692" spans="2:4" ht="15.75" customHeight="1" x14ac:dyDescent="0.2">
      <c r="B692" s="1"/>
      <c r="C692" s="2"/>
      <c r="D692" s="1"/>
    </row>
    <row r="693" spans="2:4" ht="15.75" customHeight="1" x14ac:dyDescent="0.2">
      <c r="B693" s="1"/>
      <c r="C693" s="2"/>
      <c r="D693" s="1"/>
    </row>
    <row r="694" spans="2:4" ht="15.75" customHeight="1" x14ac:dyDescent="0.2">
      <c r="B694" s="1"/>
      <c r="C694" s="2"/>
      <c r="D694" s="1"/>
    </row>
    <row r="695" spans="2:4" ht="15.75" customHeight="1" x14ac:dyDescent="0.2">
      <c r="B695" s="1"/>
      <c r="C695" s="2"/>
      <c r="D695" s="1"/>
    </row>
    <row r="696" spans="2:4" ht="15.75" customHeight="1" x14ac:dyDescent="0.2">
      <c r="B696" s="1"/>
      <c r="C696" s="2"/>
      <c r="D696" s="1"/>
    </row>
    <row r="697" spans="2:4" ht="15.75" customHeight="1" x14ac:dyDescent="0.2">
      <c r="B697" s="1"/>
      <c r="C697" s="2"/>
      <c r="D697" s="1"/>
    </row>
    <row r="698" spans="2:4" ht="15.75" customHeight="1" x14ac:dyDescent="0.2">
      <c r="B698" s="1"/>
      <c r="C698" s="2"/>
      <c r="D698" s="1"/>
    </row>
    <row r="699" spans="2:4" ht="15.75" customHeight="1" x14ac:dyDescent="0.2">
      <c r="B699" s="1"/>
      <c r="C699" s="2"/>
      <c r="D699" s="1"/>
    </row>
    <row r="700" spans="2:4" ht="15.75" customHeight="1" x14ac:dyDescent="0.2">
      <c r="B700" s="1"/>
      <c r="C700" s="2"/>
      <c r="D700" s="1"/>
    </row>
    <row r="701" spans="2:4" ht="15.75" customHeight="1" x14ac:dyDescent="0.2">
      <c r="B701" s="1"/>
      <c r="C701" s="2"/>
      <c r="D701" s="1"/>
    </row>
    <row r="702" spans="2:4" ht="15.75" customHeight="1" x14ac:dyDescent="0.2">
      <c r="B702" s="1"/>
      <c r="C702" s="2"/>
      <c r="D702" s="1"/>
    </row>
    <row r="703" spans="2:4" ht="15.75" customHeight="1" x14ac:dyDescent="0.2">
      <c r="B703" s="1"/>
      <c r="C703" s="2"/>
      <c r="D703" s="1"/>
    </row>
    <row r="704" spans="2:4" ht="15.75" customHeight="1" x14ac:dyDescent="0.2">
      <c r="B704" s="1"/>
      <c r="C704" s="2"/>
      <c r="D704" s="1"/>
    </row>
    <row r="705" spans="2:4" ht="15.75" customHeight="1" x14ac:dyDescent="0.2">
      <c r="B705" s="1"/>
      <c r="C705" s="2"/>
      <c r="D705" s="1"/>
    </row>
    <row r="706" spans="2:4" ht="15.75" customHeight="1" x14ac:dyDescent="0.2">
      <c r="B706" s="1"/>
      <c r="C706" s="2"/>
      <c r="D706" s="1"/>
    </row>
    <row r="707" spans="2:4" ht="15.75" customHeight="1" x14ac:dyDescent="0.2">
      <c r="B707" s="1"/>
      <c r="C707" s="2"/>
      <c r="D707" s="1"/>
    </row>
    <row r="708" spans="2:4" ht="15.75" customHeight="1" x14ac:dyDescent="0.2">
      <c r="B708" s="1"/>
      <c r="C708" s="2"/>
      <c r="D708" s="1"/>
    </row>
    <row r="709" spans="2:4" ht="15.75" customHeight="1" x14ac:dyDescent="0.2">
      <c r="B709" s="1"/>
      <c r="C709" s="2"/>
      <c r="D709" s="1"/>
    </row>
    <row r="710" spans="2:4" ht="15.75" customHeight="1" x14ac:dyDescent="0.2">
      <c r="B710" s="1"/>
      <c r="C710" s="2"/>
      <c r="D710" s="1"/>
    </row>
    <row r="711" spans="2:4" ht="15.75" customHeight="1" x14ac:dyDescent="0.2">
      <c r="B711" s="1"/>
      <c r="C711" s="2"/>
      <c r="D711" s="1"/>
    </row>
    <row r="712" spans="2:4" ht="15.75" customHeight="1" x14ac:dyDescent="0.2">
      <c r="B712" s="1"/>
      <c r="C712" s="2"/>
      <c r="D712" s="1"/>
    </row>
    <row r="713" spans="2:4" ht="15.75" customHeight="1" x14ac:dyDescent="0.2">
      <c r="B713" s="1"/>
      <c r="C713" s="2"/>
      <c r="D713" s="1"/>
    </row>
    <row r="714" spans="2:4" ht="15.75" customHeight="1" x14ac:dyDescent="0.2">
      <c r="B714" s="1"/>
      <c r="C714" s="2"/>
      <c r="D714" s="1"/>
    </row>
    <row r="715" spans="2:4" ht="15.75" customHeight="1" x14ac:dyDescent="0.2">
      <c r="B715" s="1"/>
      <c r="C715" s="2"/>
      <c r="D715" s="1"/>
    </row>
    <row r="716" spans="2:4" ht="15.75" customHeight="1" x14ac:dyDescent="0.2">
      <c r="B716" s="1"/>
      <c r="C716" s="2"/>
      <c r="D716" s="1"/>
    </row>
    <row r="717" spans="2:4" ht="15.75" customHeight="1" x14ac:dyDescent="0.2">
      <c r="B717" s="1"/>
      <c r="C717" s="2"/>
      <c r="D717" s="1"/>
    </row>
    <row r="718" spans="2:4" ht="15.75" customHeight="1" x14ac:dyDescent="0.2">
      <c r="B718" s="1"/>
      <c r="C718" s="2"/>
      <c r="D718" s="1"/>
    </row>
    <row r="719" spans="2:4" ht="15.75" customHeight="1" x14ac:dyDescent="0.2">
      <c r="B719" s="1"/>
      <c r="C719" s="2"/>
      <c r="D719" s="1"/>
    </row>
    <row r="720" spans="2:4" ht="15.75" customHeight="1" x14ac:dyDescent="0.2">
      <c r="B720" s="1"/>
      <c r="C720" s="2"/>
      <c r="D720" s="1"/>
    </row>
    <row r="721" spans="2:4" ht="15.75" customHeight="1" x14ac:dyDescent="0.2">
      <c r="B721" s="1"/>
      <c r="C721" s="2"/>
      <c r="D721" s="1"/>
    </row>
    <row r="722" spans="2:4" ht="15.75" customHeight="1" x14ac:dyDescent="0.2">
      <c r="B722" s="1"/>
      <c r="C722" s="2"/>
      <c r="D722" s="1"/>
    </row>
    <row r="723" spans="2:4" ht="15.75" customHeight="1" x14ac:dyDescent="0.2">
      <c r="B723" s="1"/>
      <c r="C723" s="2"/>
      <c r="D723" s="1"/>
    </row>
    <row r="724" spans="2:4" ht="15.75" customHeight="1" x14ac:dyDescent="0.2">
      <c r="B724" s="1"/>
      <c r="C724" s="2"/>
      <c r="D724" s="1"/>
    </row>
    <row r="725" spans="2:4" ht="15.75" customHeight="1" x14ac:dyDescent="0.2">
      <c r="B725" s="1"/>
      <c r="C725" s="2"/>
      <c r="D725" s="1"/>
    </row>
    <row r="726" spans="2:4" ht="15.75" customHeight="1" x14ac:dyDescent="0.2">
      <c r="B726" s="1"/>
      <c r="C726" s="2"/>
      <c r="D726" s="1"/>
    </row>
    <row r="727" spans="2:4" ht="15.75" customHeight="1" x14ac:dyDescent="0.2">
      <c r="B727" s="1"/>
      <c r="C727" s="2"/>
      <c r="D727" s="1"/>
    </row>
    <row r="728" spans="2:4" ht="15.75" customHeight="1" x14ac:dyDescent="0.2">
      <c r="B728" s="1"/>
      <c r="C728" s="2"/>
      <c r="D728" s="1"/>
    </row>
    <row r="729" spans="2:4" ht="15.75" customHeight="1" x14ac:dyDescent="0.2">
      <c r="B729" s="1"/>
      <c r="C729" s="2"/>
      <c r="D729" s="1"/>
    </row>
    <row r="730" spans="2:4" ht="15.75" customHeight="1" x14ac:dyDescent="0.2">
      <c r="B730" s="1"/>
      <c r="C730" s="2"/>
      <c r="D730" s="1"/>
    </row>
    <row r="731" spans="2:4" ht="15.75" customHeight="1" x14ac:dyDescent="0.2">
      <c r="B731" s="1"/>
      <c r="C731" s="2"/>
      <c r="D731" s="1"/>
    </row>
    <row r="732" spans="2:4" ht="15.75" customHeight="1" x14ac:dyDescent="0.2">
      <c r="B732" s="1"/>
      <c r="C732" s="2"/>
      <c r="D732" s="1"/>
    </row>
    <row r="733" spans="2:4" ht="15.75" customHeight="1" x14ac:dyDescent="0.2">
      <c r="B733" s="1"/>
      <c r="C733" s="2"/>
      <c r="D733" s="1"/>
    </row>
    <row r="734" spans="2:4" ht="15.75" customHeight="1" x14ac:dyDescent="0.2">
      <c r="B734" s="1"/>
      <c r="C734" s="2"/>
      <c r="D734" s="1"/>
    </row>
    <row r="735" spans="2:4" ht="15.75" customHeight="1" x14ac:dyDescent="0.2">
      <c r="B735" s="1"/>
      <c r="C735" s="2"/>
      <c r="D735" s="1"/>
    </row>
    <row r="736" spans="2:4" ht="15.75" customHeight="1" x14ac:dyDescent="0.2">
      <c r="B736" s="1"/>
      <c r="C736" s="2"/>
      <c r="D736" s="1"/>
    </row>
    <row r="737" spans="2:4" ht="15.75" customHeight="1" x14ac:dyDescent="0.2">
      <c r="B737" s="1"/>
      <c r="C737" s="2"/>
      <c r="D737" s="1"/>
    </row>
    <row r="738" spans="2:4" ht="15.75" customHeight="1" x14ac:dyDescent="0.2">
      <c r="B738" s="1"/>
      <c r="C738" s="2"/>
      <c r="D738" s="1"/>
    </row>
    <row r="739" spans="2:4" ht="15.75" customHeight="1" x14ac:dyDescent="0.2">
      <c r="B739" s="1"/>
      <c r="C739" s="2"/>
      <c r="D739" s="1"/>
    </row>
    <row r="740" spans="2:4" ht="15.75" customHeight="1" x14ac:dyDescent="0.2">
      <c r="B740" s="1"/>
      <c r="C740" s="2"/>
      <c r="D740" s="1"/>
    </row>
    <row r="741" spans="2:4" ht="15.75" customHeight="1" x14ac:dyDescent="0.2">
      <c r="B741" s="1"/>
      <c r="C741" s="2"/>
      <c r="D741" s="1"/>
    </row>
    <row r="742" spans="2:4" ht="15.75" customHeight="1" x14ac:dyDescent="0.2">
      <c r="B742" s="1"/>
      <c r="C742" s="2"/>
      <c r="D742" s="1"/>
    </row>
    <row r="743" spans="2:4" ht="15.75" customHeight="1" x14ac:dyDescent="0.2">
      <c r="B743" s="1"/>
      <c r="C743" s="2"/>
      <c r="D743" s="1"/>
    </row>
    <row r="744" spans="2:4" ht="15.75" customHeight="1" x14ac:dyDescent="0.2">
      <c r="B744" s="1"/>
      <c r="C744" s="2"/>
      <c r="D744" s="1"/>
    </row>
    <row r="745" spans="2:4" ht="15.75" customHeight="1" x14ac:dyDescent="0.2">
      <c r="B745" s="1"/>
      <c r="C745" s="2"/>
      <c r="D745" s="1"/>
    </row>
    <row r="746" spans="2:4" ht="15.75" customHeight="1" x14ac:dyDescent="0.2">
      <c r="B746" s="1"/>
      <c r="C746" s="2"/>
      <c r="D746" s="1"/>
    </row>
    <row r="747" spans="2:4" ht="15.75" customHeight="1" x14ac:dyDescent="0.2">
      <c r="B747" s="1"/>
      <c r="C747" s="2"/>
      <c r="D747" s="1"/>
    </row>
    <row r="748" spans="2:4" ht="15.75" customHeight="1" x14ac:dyDescent="0.2">
      <c r="B748" s="1"/>
      <c r="C748" s="2"/>
      <c r="D748" s="1"/>
    </row>
    <row r="749" spans="2:4" ht="15.75" customHeight="1" x14ac:dyDescent="0.2">
      <c r="B749" s="1"/>
      <c r="C749" s="2"/>
      <c r="D749" s="1"/>
    </row>
    <row r="750" spans="2:4" ht="15.75" customHeight="1" x14ac:dyDescent="0.2">
      <c r="B750" s="1"/>
      <c r="C750" s="2"/>
      <c r="D750" s="1"/>
    </row>
    <row r="751" spans="2:4" ht="15.75" customHeight="1" x14ac:dyDescent="0.2">
      <c r="B751" s="1"/>
      <c r="C751" s="2"/>
      <c r="D751" s="1"/>
    </row>
    <row r="752" spans="2:4" ht="15.75" customHeight="1" x14ac:dyDescent="0.2">
      <c r="B752" s="1"/>
      <c r="C752" s="2"/>
      <c r="D752" s="1"/>
    </row>
    <row r="753" spans="2:4" ht="15.75" customHeight="1" x14ac:dyDescent="0.2">
      <c r="B753" s="1"/>
      <c r="C753" s="2"/>
      <c r="D753" s="1"/>
    </row>
    <row r="754" spans="2:4" ht="15.75" customHeight="1" x14ac:dyDescent="0.2">
      <c r="B754" s="1"/>
      <c r="C754" s="2"/>
      <c r="D754" s="1"/>
    </row>
    <row r="755" spans="2:4" ht="15.75" customHeight="1" x14ac:dyDescent="0.2">
      <c r="B755" s="1"/>
      <c r="C755" s="2"/>
      <c r="D755" s="1"/>
    </row>
    <row r="756" spans="2:4" ht="15.75" customHeight="1" x14ac:dyDescent="0.2">
      <c r="B756" s="1"/>
      <c r="C756" s="2"/>
      <c r="D756" s="1"/>
    </row>
    <row r="757" spans="2:4" ht="15.75" customHeight="1" x14ac:dyDescent="0.2">
      <c r="B757" s="1"/>
      <c r="C757" s="2"/>
      <c r="D757" s="1"/>
    </row>
    <row r="758" spans="2:4" ht="15.75" customHeight="1" x14ac:dyDescent="0.2">
      <c r="B758" s="1"/>
      <c r="C758" s="2"/>
      <c r="D758" s="1"/>
    </row>
    <row r="759" spans="2:4" ht="15.75" customHeight="1" x14ac:dyDescent="0.2">
      <c r="B759" s="1"/>
      <c r="C759" s="2"/>
      <c r="D759" s="1"/>
    </row>
    <row r="760" spans="2:4" ht="15.75" customHeight="1" x14ac:dyDescent="0.2">
      <c r="B760" s="1"/>
      <c r="C760" s="2"/>
      <c r="D760" s="1"/>
    </row>
    <row r="761" spans="2:4" ht="15.75" customHeight="1" x14ac:dyDescent="0.2">
      <c r="B761" s="1"/>
      <c r="C761" s="2"/>
      <c r="D761" s="1"/>
    </row>
    <row r="762" spans="2:4" ht="15.75" customHeight="1" x14ac:dyDescent="0.2">
      <c r="B762" s="1"/>
      <c r="C762" s="2"/>
      <c r="D762" s="1"/>
    </row>
    <row r="763" spans="2:4" ht="15.75" customHeight="1" x14ac:dyDescent="0.2">
      <c r="B763" s="1"/>
      <c r="C763" s="2"/>
      <c r="D763" s="1"/>
    </row>
    <row r="764" spans="2:4" ht="15.75" customHeight="1" x14ac:dyDescent="0.2">
      <c r="B764" s="1"/>
      <c r="C764" s="2"/>
      <c r="D764" s="1"/>
    </row>
    <row r="765" spans="2:4" ht="15.75" customHeight="1" x14ac:dyDescent="0.2">
      <c r="B765" s="1"/>
      <c r="C765" s="2"/>
      <c r="D765" s="1"/>
    </row>
    <row r="766" spans="2:4" ht="15.75" customHeight="1" x14ac:dyDescent="0.2">
      <c r="B766" s="1"/>
      <c r="C766" s="2"/>
      <c r="D766" s="1"/>
    </row>
    <row r="767" spans="2:4" ht="15.75" customHeight="1" x14ac:dyDescent="0.2">
      <c r="B767" s="1"/>
      <c r="C767" s="2"/>
      <c r="D767" s="1"/>
    </row>
    <row r="768" spans="2:4" ht="15.75" customHeight="1" x14ac:dyDescent="0.2">
      <c r="B768" s="1"/>
      <c r="C768" s="2"/>
      <c r="D768" s="1"/>
    </row>
    <row r="769" spans="2:4" ht="15.75" customHeight="1" x14ac:dyDescent="0.2">
      <c r="B769" s="1"/>
      <c r="C769" s="2"/>
      <c r="D769" s="1"/>
    </row>
    <row r="770" spans="2:4" ht="15.75" customHeight="1" x14ac:dyDescent="0.2">
      <c r="B770" s="1"/>
      <c r="C770" s="2"/>
      <c r="D770" s="1"/>
    </row>
    <row r="771" spans="2:4" ht="15.75" customHeight="1" x14ac:dyDescent="0.2">
      <c r="B771" s="1"/>
      <c r="C771" s="2"/>
      <c r="D771" s="1"/>
    </row>
    <row r="772" spans="2:4" ht="15.75" customHeight="1" x14ac:dyDescent="0.2">
      <c r="B772" s="1"/>
      <c r="C772" s="2"/>
      <c r="D772" s="1"/>
    </row>
    <row r="773" spans="2:4" ht="15.75" customHeight="1" x14ac:dyDescent="0.2">
      <c r="B773" s="1"/>
      <c r="C773" s="2"/>
      <c r="D773" s="1"/>
    </row>
    <row r="774" spans="2:4" ht="15.75" customHeight="1" x14ac:dyDescent="0.2">
      <c r="B774" s="1"/>
      <c r="C774" s="2"/>
      <c r="D774" s="1"/>
    </row>
    <row r="775" spans="2:4" ht="15.75" customHeight="1" x14ac:dyDescent="0.2">
      <c r="B775" s="1"/>
      <c r="C775" s="2"/>
      <c r="D775" s="1"/>
    </row>
    <row r="776" spans="2:4" ht="15.75" customHeight="1" x14ac:dyDescent="0.2">
      <c r="B776" s="1"/>
      <c r="C776" s="2"/>
      <c r="D776" s="1"/>
    </row>
    <row r="777" spans="2:4" ht="15.75" customHeight="1" x14ac:dyDescent="0.2">
      <c r="B777" s="1"/>
      <c r="C777" s="2"/>
      <c r="D777" s="1"/>
    </row>
    <row r="778" spans="2:4" ht="15.75" customHeight="1" x14ac:dyDescent="0.2">
      <c r="B778" s="1"/>
      <c r="C778" s="2"/>
      <c r="D778" s="1"/>
    </row>
    <row r="779" spans="2:4" ht="15.75" customHeight="1" x14ac:dyDescent="0.2">
      <c r="B779" s="1"/>
      <c r="C779" s="2"/>
      <c r="D779" s="1"/>
    </row>
    <row r="780" spans="2:4" ht="15.75" customHeight="1" x14ac:dyDescent="0.2">
      <c r="B780" s="1"/>
      <c r="C780" s="2"/>
      <c r="D780" s="1"/>
    </row>
    <row r="781" spans="2:4" ht="15.75" customHeight="1" x14ac:dyDescent="0.2">
      <c r="B781" s="1"/>
      <c r="C781" s="2"/>
      <c r="D781" s="1"/>
    </row>
    <row r="782" spans="2:4" ht="15.75" customHeight="1" x14ac:dyDescent="0.2">
      <c r="B782" s="1"/>
      <c r="C782" s="2"/>
      <c r="D782" s="1"/>
    </row>
    <row r="783" spans="2:4" ht="15.75" customHeight="1" x14ac:dyDescent="0.2">
      <c r="B783" s="1"/>
      <c r="C783" s="2"/>
      <c r="D783" s="1"/>
    </row>
    <row r="784" spans="2:4" ht="15.75" customHeight="1" x14ac:dyDescent="0.2">
      <c r="B784" s="1"/>
      <c r="C784" s="2"/>
      <c r="D784" s="1"/>
    </row>
    <row r="785" spans="2:4" ht="15.75" customHeight="1" x14ac:dyDescent="0.2">
      <c r="B785" s="1"/>
      <c r="C785" s="2"/>
      <c r="D785" s="1"/>
    </row>
    <row r="786" spans="2:4" ht="15.75" customHeight="1" x14ac:dyDescent="0.2">
      <c r="B786" s="1"/>
      <c r="C786" s="2"/>
      <c r="D786" s="1"/>
    </row>
    <row r="787" spans="2:4" ht="15.75" customHeight="1" x14ac:dyDescent="0.2">
      <c r="B787" s="1"/>
      <c r="C787" s="2"/>
      <c r="D787" s="1"/>
    </row>
    <row r="788" spans="2:4" ht="15.75" customHeight="1" x14ac:dyDescent="0.2">
      <c r="B788" s="1"/>
      <c r="C788" s="2"/>
      <c r="D788" s="1"/>
    </row>
    <row r="789" spans="2:4" ht="15.75" customHeight="1" x14ac:dyDescent="0.2">
      <c r="B789" s="1"/>
      <c r="C789" s="2"/>
      <c r="D789" s="1"/>
    </row>
    <row r="790" spans="2:4" ht="15.75" customHeight="1" x14ac:dyDescent="0.2">
      <c r="B790" s="1"/>
      <c r="C790" s="2"/>
      <c r="D790" s="1"/>
    </row>
    <row r="791" spans="2:4" ht="15.75" customHeight="1" x14ac:dyDescent="0.2">
      <c r="B791" s="1"/>
      <c r="C791" s="2"/>
      <c r="D791" s="1"/>
    </row>
    <row r="792" spans="2:4" ht="15.75" customHeight="1" x14ac:dyDescent="0.2">
      <c r="B792" s="1"/>
      <c r="C792" s="2"/>
      <c r="D792" s="1"/>
    </row>
    <row r="793" spans="2:4" ht="15.75" customHeight="1" x14ac:dyDescent="0.2">
      <c r="B793" s="1"/>
      <c r="C793" s="2"/>
      <c r="D793" s="1"/>
    </row>
    <row r="794" spans="2:4" ht="15.75" customHeight="1" x14ac:dyDescent="0.2">
      <c r="B794" s="1"/>
      <c r="C794" s="2"/>
      <c r="D794" s="1"/>
    </row>
    <row r="795" spans="2:4" ht="15.75" customHeight="1" x14ac:dyDescent="0.2">
      <c r="B795" s="1"/>
      <c r="C795" s="2"/>
      <c r="D795" s="1"/>
    </row>
    <row r="796" spans="2:4" ht="15.75" customHeight="1" x14ac:dyDescent="0.2">
      <c r="B796" s="1"/>
      <c r="C796" s="2"/>
      <c r="D796" s="1"/>
    </row>
    <row r="797" spans="2:4" ht="15.75" customHeight="1" x14ac:dyDescent="0.2">
      <c r="B797" s="1"/>
      <c r="C797" s="2"/>
      <c r="D797" s="1"/>
    </row>
    <row r="798" spans="2:4" ht="15.75" customHeight="1" x14ac:dyDescent="0.2">
      <c r="B798" s="1"/>
      <c r="C798" s="2"/>
      <c r="D798" s="1"/>
    </row>
    <row r="799" spans="2:4" ht="15.75" customHeight="1" x14ac:dyDescent="0.2">
      <c r="B799" s="1"/>
      <c r="C799" s="2"/>
      <c r="D799" s="1"/>
    </row>
    <row r="800" spans="2:4" ht="15.75" customHeight="1" x14ac:dyDescent="0.2">
      <c r="B800" s="1"/>
      <c r="C800" s="2"/>
      <c r="D800" s="1"/>
    </row>
    <row r="801" spans="2:4" ht="15.75" customHeight="1" x14ac:dyDescent="0.2">
      <c r="B801" s="1"/>
      <c r="C801" s="2"/>
      <c r="D801" s="1"/>
    </row>
    <row r="802" spans="2:4" ht="15.75" customHeight="1" x14ac:dyDescent="0.2">
      <c r="B802" s="1"/>
      <c r="C802" s="2"/>
      <c r="D802" s="1"/>
    </row>
    <row r="803" spans="2:4" ht="15.75" customHeight="1" x14ac:dyDescent="0.2">
      <c r="B803" s="1"/>
      <c r="C803" s="2"/>
      <c r="D803" s="1"/>
    </row>
    <row r="804" spans="2:4" ht="15.75" customHeight="1" x14ac:dyDescent="0.2">
      <c r="B804" s="1"/>
      <c r="C804" s="2"/>
      <c r="D804" s="1"/>
    </row>
    <row r="805" spans="2:4" ht="15.75" customHeight="1" x14ac:dyDescent="0.2">
      <c r="B805" s="1"/>
      <c r="C805" s="2"/>
      <c r="D805" s="1"/>
    </row>
    <row r="806" spans="2:4" ht="15.75" customHeight="1" x14ac:dyDescent="0.2">
      <c r="B806" s="1"/>
      <c r="C806" s="2"/>
      <c r="D806" s="1"/>
    </row>
    <row r="807" spans="2:4" ht="15.75" customHeight="1" x14ac:dyDescent="0.2">
      <c r="B807" s="1"/>
      <c r="C807" s="2"/>
      <c r="D807" s="1"/>
    </row>
    <row r="808" spans="2:4" ht="15.75" customHeight="1" x14ac:dyDescent="0.2">
      <c r="B808" s="1"/>
      <c r="C808" s="2"/>
      <c r="D808" s="1"/>
    </row>
    <row r="809" spans="2:4" ht="15.75" customHeight="1" x14ac:dyDescent="0.2">
      <c r="B809" s="1"/>
      <c r="C809" s="2"/>
      <c r="D809" s="1"/>
    </row>
    <row r="810" spans="2:4" ht="15.75" customHeight="1" x14ac:dyDescent="0.2">
      <c r="B810" s="1"/>
      <c r="C810" s="2"/>
      <c r="D810" s="1"/>
    </row>
    <row r="811" spans="2:4" ht="15.75" customHeight="1" x14ac:dyDescent="0.2">
      <c r="B811" s="1"/>
      <c r="C811" s="2"/>
      <c r="D811" s="1"/>
    </row>
    <row r="812" spans="2:4" ht="15.75" customHeight="1" x14ac:dyDescent="0.2">
      <c r="B812" s="1"/>
      <c r="C812" s="2"/>
      <c r="D812" s="1"/>
    </row>
    <row r="813" spans="2:4" ht="15.75" customHeight="1" x14ac:dyDescent="0.2">
      <c r="B813" s="1"/>
      <c r="C813" s="2"/>
      <c r="D813" s="1"/>
    </row>
    <row r="814" spans="2:4" ht="15.75" customHeight="1" x14ac:dyDescent="0.2">
      <c r="B814" s="1"/>
      <c r="C814" s="2"/>
      <c r="D814" s="1"/>
    </row>
    <row r="815" spans="2:4" ht="15.75" customHeight="1" x14ac:dyDescent="0.2">
      <c r="B815" s="1"/>
      <c r="C815" s="2"/>
      <c r="D815" s="1"/>
    </row>
    <row r="816" spans="2:4" ht="15.75" customHeight="1" x14ac:dyDescent="0.2">
      <c r="B816" s="1"/>
      <c r="C816" s="2"/>
      <c r="D816" s="1"/>
    </row>
    <row r="817" spans="2:4" ht="15.75" customHeight="1" x14ac:dyDescent="0.2">
      <c r="B817" s="1"/>
      <c r="C817" s="2"/>
      <c r="D817" s="1"/>
    </row>
    <row r="818" spans="2:4" ht="15.75" customHeight="1" x14ac:dyDescent="0.2">
      <c r="B818" s="1"/>
      <c r="C818" s="2"/>
      <c r="D818" s="1"/>
    </row>
    <row r="819" spans="2:4" ht="15.75" customHeight="1" x14ac:dyDescent="0.2">
      <c r="B819" s="1"/>
      <c r="C819" s="2"/>
      <c r="D819" s="1"/>
    </row>
    <row r="820" spans="2:4" ht="15.75" customHeight="1" x14ac:dyDescent="0.2">
      <c r="B820" s="1"/>
      <c r="C820" s="2"/>
      <c r="D820" s="1"/>
    </row>
    <row r="821" spans="2:4" ht="15.75" customHeight="1" x14ac:dyDescent="0.2">
      <c r="B821" s="1"/>
      <c r="C821" s="2"/>
      <c r="D821" s="1"/>
    </row>
    <row r="822" spans="2:4" ht="15.75" customHeight="1" x14ac:dyDescent="0.2">
      <c r="B822" s="1"/>
      <c r="C822" s="2"/>
      <c r="D822" s="1"/>
    </row>
    <row r="823" spans="2:4" ht="15.75" customHeight="1" x14ac:dyDescent="0.2">
      <c r="B823" s="1"/>
      <c r="C823" s="2"/>
      <c r="D823" s="1"/>
    </row>
    <row r="824" spans="2:4" ht="15.75" customHeight="1" x14ac:dyDescent="0.2">
      <c r="B824" s="1"/>
      <c r="C824" s="2"/>
      <c r="D824" s="1"/>
    </row>
    <row r="825" spans="2:4" ht="15.75" customHeight="1" x14ac:dyDescent="0.2">
      <c r="B825" s="1"/>
      <c r="C825" s="2"/>
      <c r="D825" s="1"/>
    </row>
    <row r="826" spans="2:4" ht="15.75" customHeight="1" x14ac:dyDescent="0.2">
      <c r="B826" s="1"/>
      <c r="C826" s="2"/>
      <c r="D826" s="1"/>
    </row>
    <row r="827" spans="2:4" ht="15.75" customHeight="1" x14ac:dyDescent="0.2">
      <c r="B827" s="1"/>
      <c r="C827" s="2"/>
      <c r="D827" s="1"/>
    </row>
    <row r="828" spans="2:4" ht="15.75" customHeight="1" x14ac:dyDescent="0.2">
      <c r="B828" s="1"/>
      <c r="C828" s="2"/>
      <c r="D828" s="1"/>
    </row>
    <row r="829" spans="2:4" ht="15.75" customHeight="1" x14ac:dyDescent="0.2">
      <c r="B829" s="1"/>
      <c r="C829" s="2"/>
      <c r="D829" s="1"/>
    </row>
    <row r="830" spans="2:4" ht="15.75" customHeight="1" x14ac:dyDescent="0.2">
      <c r="B830" s="1"/>
      <c r="C830" s="2"/>
      <c r="D830" s="1"/>
    </row>
    <row r="831" spans="2:4" ht="15.75" customHeight="1" x14ac:dyDescent="0.2">
      <c r="B831" s="1"/>
      <c r="C831" s="2"/>
      <c r="D831" s="1"/>
    </row>
    <row r="832" spans="2:4" ht="15.75" customHeight="1" x14ac:dyDescent="0.2">
      <c r="B832" s="1"/>
      <c r="C832" s="2"/>
      <c r="D832" s="1"/>
    </row>
    <row r="833" spans="2:4" ht="15.75" customHeight="1" x14ac:dyDescent="0.2">
      <c r="B833" s="1"/>
      <c r="C833" s="2"/>
      <c r="D833" s="1"/>
    </row>
    <row r="834" spans="2:4" ht="15.75" customHeight="1" x14ac:dyDescent="0.2">
      <c r="B834" s="1"/>
      <c r="C834" s="2"/>
      <c r="D834" s="1"/>
    </row>
    <row r="835" spans="2:4" ht="15.75" customHeight="1" x14ac:dyDescent="0.2">
      <c r="B835" s="1"/>
      <c r="C835" s="2"/>
      <c r="D835" s="1"/>
    </row>
    <row r="836" spans="2:4" ht="15.75" customHeight="1" x14ac:dyDescent="0.2">
      <c r="B836" s="1"/>
      <c r="C836" s="2"/>
      <c r="D836" s="1"/>
    </row>
    <row r="837" spans="2:4" ht="15.75" customHeight="1" x14ac:dyDescent="0.2">
      <c r="B837" s="1"/>
      <c r="C837" s="2"/>
      <c r="D837" s="1"/>
    </row>
    <row r="838" spans="2:4" ht="15.75" customHeight="1" x14ac:dyDescent="0.2">
      <c r="B838" s="1"/>
      <c r="C838" s="2"/>
      <c r="D838" s="1"/>
    </row>
    <row r="839" spans="2:4" ht="15.75" customHeight="1" x14ac:dyDescent="0.2">
      <c r="B839" s="1"/>
      <c r="C839" s="2"/>
      <c r="D839" s="1"/>
    </row>
    <row r="840" spans="2:4" ht="15.75" customHeight="1" x14ac:dyDescent="0.2">
      <c r="B840" s="1"/>
      <c r="C840" s="2"/>
      <c r="D840" s="1"/>
    </row>
    <row r="841" spans="2:4" ht="15.75" customHeight="1" x14ac:dyDescent="0.2">
      <c r="B841" s="1"/>
      <c r="C841" s="2"/>
      <c r="D841" s="1"/>
    </row>
    <row r="842" spans="2:4" ht="15.75" customHeight="1" x14ac:dyDescent="0.2">
      <c r="B842" s="1"/>
      <c r="C842" s="2"/>
      <c r="D842" s="1"/>
    </row>
    <row r="843" spans="2:4" ht="15.75" customHeight="1" x14ac:dyDescent="0.2">
      <c r="B843" s="1"/>
      <c r="C843" s="2"/>
      <c r="D843" s="1"/>
    </row>
    <row r="844" spans="2:4" ht="15.75" customHeight="1" x14ac:dyDescent="0.2">
      <c r="B844" s="1"/>
      <c r="C844" s="2"/>
      <c r="D844" s="1"/>
    </row>
    <row r="845" spans="2:4" ht="15.75" customHeight="1" x14ac:dyDescent="0.2">
      <c r="B845" s="1"/>
      <c r="C845" s="2"/>
      <c r="D845" s="1"/>
    </row>
    <row r="846" spans="2:4" ht="15.75" customHeight="1" x14ac:dyDescent="0.2">
      <c r="B846" s="1"/>
      <c r="C846" s="2"/>
      <c r="D846" s="1"/>
    </row>
    <row r="847" spans="2:4" ht="15.75" customHeight="1" x14ac:dyDescent="0.2">
      <c r="B847" s="1"/>
      <c r="C847" s="2"/>
      <c r="D847" s="1"/>
    </row>
    <row r="848" spans="2:4" ht="15.75" customHeight="1" x14ac:dyDescent="0.2">
      <c r="B848" s="1"/>
      <c r="C848" s="2"/>
      <c r="D848" s="1"/>
    </row>
    <row r="849" spans="2:4" ht="15.75" customHeight="1" x14ac:dyDescent="0.2">
      <c r="B849" s="1"/>
      <c r="C849" s="2"/>
      <c r="D849" s="1"/>
    </row>
    <row r="850" spans="2:4" ht="15.75" customHeight="1" x14ac:dyDescent="0.2">
      <c r="B850" s="1"/>
      <c r="C850" s="2"/>
      <c r="D850" s="1"/>
    </row>
    <row r="851" spans="2:4" ht="15.75" customHeight="1" x14ac:dyDescent="0.2">
      <c r="B851" s="1"/>
      <c r="C851" s="2"/>
      <c r="D851" s="1"/>
    </row>
    <row r="852" spans="2:4" ht="15.75" customHeight="1" x14ac:dyDescent="0.2">
      <c r="B852" s="1"/>
      <c r="C852" s="2"/>
      <c r="D852" s="1"/>
    </row>
    <row r="853" spans="2:4" ht="15.75" customHeight="1" x14ac:dyDescent="0.2">
      <c r="B853" s="1"/>
      <c r="C853" s="2"/>
      <c r="D853" s="1"/>
    </row>
    <row r="854" spans="2:4" ht="15.75" customHeight="1" x14ac:dyDescent="0.2">
      <c r="B854" s="1"/>
      <c r="C854" s="2"/>
      <c r="D854" s="1"/>
    </row>
    <row r="855" spans="2:4" ht="15.75" customHeight="1" x14ac:dyDescent="0.2">
      <c r="B855" s="1"/>
      <c r="C855" s="2"/>
      <c r="D855" s="1"/>
    </row>
    <row r="856" spans="2:4" ht="15.75" customHeight="1" x14ac:dyDescent="0.2">
      <c r="B856" s="1"/>
      <c r="C856" s="2"/>
      <c r="D856" s="1"/>
    </row>
    <row r="857" spans="2:4" ht="15.75" customHeight="1" x14ac:dyDescent="0.2">
      <c r="B857" s="1"/>
      <c r="C857" s="2"/>
      <c r="D857" s="1"/>
    </row>
    <row r="858" spans="2:4" ht="15.75" customHeight="1" x14ac:dyDescent="0.2">
      <c r="B858" s="1"/>
      <c r="C858" s="2"/>
      <c r="D858" s="1"/>
    </row>
    <row r="859" spans="2:4" ht="15.75" customHeight="1" x14ac:dyDescent="0.2">
      <c r="B859" s="1"/>
      <c r="C859" s="2"/>
      <c r="D859" s="1"/>
    </row>
    <row r="860" spans="2:4" ht="15.75" customHeight="1" x14ac:dyDescent="0.2">
      <c r="B860" s="1"/>
      <c r="C860" s="2"/>
      <c r="D860" s="1"/>
    </row>
    <row r="861" spans="2:4" ht="15.75" customHeight="1" x14ac:dyDescent="0.2">
      <c r="B861" s="1"/>
      <c r="C861" s="2"/>
      <c r="D861" s="1"/>
    </row>
    <row r="862" spans="2:4" ht="15.75" customHeight="1" x14ac:dyDescent="0.2">
      <c r="B862" s="1"/>
      <c r="C862" s="2"/>
      <c r="D862" s="1"/>
    </row>
    <row r="863" spans="2:4" ht="15.75" customHeight="1" x14ac:dyDescent="0.2">
      <c r="B863" s="1"/>
      <c r="C863" s="2"/>
      <c r="D863" s="1"/>
    </row>
    <row r="864" spans="2:4" ht="15.75" customHeight="1" x14ac:dyDescent="0.2">
      <c r="B864" s="1"/>
      <c r="C864" s="2"/>
      <c r="D864" s="1"/>
    </row>
    <row r="865" spans="2:4" ht="15.75" customHeight="1" x14ac:dyDescent="0.2">
      <c r="B865" s="1"/>
      <c r="C865" s="2"/>
      <c r="D865" s="1"/>
    </row>
    <row r="866" spans="2:4" ht="15.75" customHeight="1" x14ac:dyDescent="0.2">
      <c r="B866" s="1"/>
      <c r="C866" s="2"/>
      <c r="D866" s="1"/>
    </row>
    <row r="867" spans="2:4" ht="15.75" customHeight="1" x14ac:dyDescent="0.2">
      <c r="B867" s="1"/>
      <c r="C867" s="2"/>
      <c r="D867" s="1"/>
    </row>
    <row r="868" spans="2:4" ht="15.75" customHeight="1" x14ac:dyDescent="0.2">
      <c r="B868" s="1"/>
      <c r="C868" s="2"/>
      <c r="D868" s="1"/>
    </row>
    <row r="869" spans="2:4" ht="15.75" customHeight="1" x14ac:dyDescent="0.2">
      <c r="B869" s="1"/>
      <c r="C869" s="2"/>
      <c r="D869" s="1"/>
    </row>
    <row r="870" spans="2:4" ht="15.75" customHeight="1" x14ac:dyDescent="0.2">
      <c r="B870" s="1"/>
      <c r="C870" s="2"/>
      <c r="D870" s="1"/>
    </row>
    <row r="871" spans="2:4" ht="15.75" customHeight="1" x14ac:dyDescent="0.2">
      <c r="B871" s="1"/>
      <c r="C871" s="2"/>
      <c r="D871" s="1"/>
    </row>
    <row r="872" spans="2:4" ht="15.75" customHeight="1" x14ac:dyDescent="0.2">
      <c r="B872" s="1"/>
      <c r="C872" s="2"/>
      <c r="D872" s="1"/>
    </row>
    <row r="873" spans="2:4" ht="15.75" customHeight="1" x14ac:dyDescent="0.2">
      <c r="B873" s="1"/>
      <c r="C873" s="2"/>
      <c r="D873" s="1"/>
    </row>
    <row r="874" spans="2:4" ht="15.75" customHeight="1" x14ac:dyDescent="0.2">
      <c r="B874" s="1"/>
      <c r="C874" s="2"/>
      <c r="D874" s="1"/>
    </row>
    <row r="875" spans="2:4" ht="15.75" customHeight="1" x14ac:dyDescent="0.2">
      <c r="B875" s="1"/>
      <c r="C875" s="2"/>
      <c r="D875" s="1"/>
    </row>
    <row r="876" spans="2:4" ht="15.75" customHeight="1" x14ac:dyDescent="0.2">
      <c r="B876" s="1"/>
      <c r="C876" s="2"/>
      <c r="D876" s="1"/>
    </row>
    <row r="877" spans="2:4" ht="15.75" customHeight="1" x14ac:dyDescent="0.2">
      <c r="B877" s="1"/>
      <c r="C877" s="2"/>
      <c r="D877" s="1"/>
    </row>
    <row r="878" spans="2:4" ht="15.75" customHeight="1" x14ac:dyDescent="0.2">
      <c r="B878" s="1"/>
      <c r="C878" s="2"/>
      <c r="D878" s="1"/>
    </row>
    <row r="879" spans="2:4" ht="15.75" customHeight="1" x14ac:dyDescent="0.2">
      <c r="B879" s="1"/>
      <c r="C879" s="2"/>
      <c r="D879" s="1"/>
    </row>
    <row r="880" spans="2:4" ht="15.75" customHeight="1" x14ac:dyDescent="0.2">
      <c r="B880" s="1"/>
      <c r="C880" s="2"/>
      <c r="D880" s="1"/>
    </row>
    <row r="881" spans="2:4" ht="15.75" customHeight="1" x14ac:dyDescent="0.2">
      <c r="B881" s="1"/>
      <c r="C881" s="2"/>
      <c r="D881" s="1"/>
    </row>
    <row r="882" spans="2:4" ht="15.75" customHeight="1" x14ac:dyDescent="0.2">
      <c r="B882" s="1"/>
      <c r="C882" s="2"/>
      <c r="D882" s="1"/>
    </row>
    <row r="883" spans="2:4" ht="15.75" customHeight="1" x14ac:dyDescent="0.2">
      <c r="B883" s="1"/>
      <c r="C883" s="2"/>
      <c r="D883" s="1"/>
    </row>
    <row r="884" spans="2:4" ht="15.75" customHeight="1" x14ac:dyDescent="0.2">
      <c r="B884" s="1"/>
      <c r="C884" s="2"/>
      <c r="D884" s="1"/>
    </row>
    <row r="885" spans="2:4" ht="15.75" customHeight="1" x14ac:dyDescent="0.2">
      <c r="B885" s="1"/>
      <c r="C885" s="2"/>
      <c r="D885" s="1"/>
    </row>
    <row r="886" spans="2:4" ht="15.75" customHeight="1" x14ac:dyDescent="0.2">
      <c r="B886" s="1"/>
      <c r="C886" s="2"/>
      <c r="D886" s="1"/>
    </row>
    <row r="887" spans="2:4" ht="15.75" customHeight="1" x14ac:dyDescent="0.2">
      <c r="B887" s="1"/>
      <c r="C887" s="2"/>
      <c r="D887" s="1"/>
    </row>
    <row r="888" spans="2:4" ht="15.75" customHeight="1" x14ac:dyDescent="0.2">
      <c r="B888" s="1"/>
      <c r="C888" s="2"/>
      <c r="D888" s="1"/>
    </row>
    <row r="889" spans="2:4" ht="15.75" customHeight="1" x14ac:dyDescent="0.2">
      <c r="B889" s="1"/>
      <c r="C889" s="2"/>
      <c r="D889" s="1"/>
    </row>
    <row r="890" spans="2:4" ht="15.75" customHeight="1" x14ac:dyDescent="0.2">
      <c r="B890" s="1"/>
      <c r="C890" s="2"/>
      <c r="D890" s="1"/>
    </row>
    <row r="891" spans="2:4" ht="15.75" customHeight="1" x14ac:dyDescent="0.2">
      <c r="B891" s="1"/>
      <c r="C891" s="2"/>
      <c r="D891" s="1"/>
    </row>
    <row r="892" spans="2:4" ht="15.75" customHeight="1" x14ac:dyDescent="0.2">
      <c r="B892" s="1"/>
      <c r="C892" s="2"/>
      <c r="D892" s="1"/>
    </row>
    <row r="893" spans="2:4" ht="15.75" customHeight="1" x14ac:dyDescent="0.2">
      <c r="B893" s="1"/>
      <c r="C893" s="2"/>
      <c r="D893" s="1"/>
    </row>
    <row r="894" spans="2:4" ht="15.75" customHeight="1" x14ac:dyDescent="0.2">
      <c r="B894" s="1"/>
      <c r="C894" s="2"/>
      <c r="D894" s="1"/>
    </row>
    <row r="895" spans="2:4" ht="15.75" customHeight="1" x14ac:dyDescent="0.2">
      <c r="B895" s="1"/>
      <c r="C895" s="2"/>
      <c r="D895" s="1"/>
    </row>
    <row r="896" spans="2:4" ht="15.75" customHeight="1" x14ac:dyDescent="0.2">
      <c r="B896" s="1"/>
      <c r="C896" s="2"/>
      <c r="D896" s="1"/>
    </row>
    <row r="897" spans="2:4" ht="15.75" customHeight="1" x14ac:dyDescent="0.2">
      <c r="B897" s="1"/>
      <c r="C897" s="2"/>
      <c r="D897" s="1"/>
    </row>
    <row r="898" spans="2:4" ht="15.75" customHeight="1" x14ac:dyDescent="0.2">
      <c r="B898" s="1"/>
      <c r="C898" s="2"/>
      <c r="D898" s="1"/>
    </row>
    <row r="899" spans="2:4" ht="15.75" customHeight="1" x14ac:dyDescent="0.2">
      <c r="B899" s="1"/>
      <c r="C899" s="2"/>
      <c r="D899" s="1"/>
    </row>
    <row r="900" spans="2:4" ht="15.75" customHeight="1" x14ac:dyDescent="0.2">
      <c r="B900" s="1"/>
      <c r="C900" s="2"/>
      <c r="D900" s="1"/>
    </row>
    <row r="901" spans="2:4" ht="15.75" customHeight="1" x14ac:dyDescent="0.2">
      <c r="B901" s="1"/>
      <c r="C901" s="2"/>
      <c r="D901" s="1"/>
    </row>
    <row r="902" spans="2:4" ht="15.75" customHeight="1" x14ac:dyDescent="0.2">
      <c r="B902" s="1"/>
      <c r="C902" s="2"/>
      <c r="D902" s="1"/>
    </row>
    <row r="903" spans="2:4" ht="15.75" customHeight="1" x14ac:dyDescent="0.2">
      <c r="B903" s="1"/>
      <c r="C903" s="2"/>
      <c r="D903" s="1"/>
    </row>
    <row r="904" spans="2:4" ht="15.75" customHeight="1" x14ac:dyDescent="0.2">
      <c r="B904" s="1"/>
      <c r="C904" s="2"/>
      <c r="D904" s="1"/>
    </row>
    <row r="905" spans="2:4" ht="15.75" customHeight="1" x14ac:dyDescent="0.2">
      <c r="B905" s="1"/>
      <c r="C905" s="2"/>
      <c r="D905" s="1"/>
    </row>
    <row r="906" spans="2:4" ht="15.75" customHeight="1" x14ac:dyDescent="0.2">
      <c r="B906" s="1"/>
      <c r="C906" s="2"/>
      <c r="D906" s="1"/>
    </row>
    <row r="907" spans="2:4" ht="15.75" customHeight="1" x14ac:dyDescent="0.2">
      <c r="B907" s="1"/>
      <c r="C907" s="2"/>
      <c r="D907" s="1"/>
    </row>
    <row r="908" spans="2:4" ht="15.75" customHeight="1" x14ac:dyDescent="0.2">
      <c r="B908" s="1"/>
      <c r="C908" s="2"/>
      <c r="D908" s="1"/>
    </row>
    <row r="909" spans="2:4" ht="15.75" customHeight="1" x14ac:dyDescent="0.2">
      <c r="B909" s="1"/>
      <c r="C909" s="2"/>
      <c r="D909" s="1"/>
    </row>
    <row r="910" spans="2:4" ht="15.75" customHeight="1" x14ac:dyDescent="0.2">
      <c r="B910" s="1"/>
      <c r="C910" s="2"/>
      <c r="D910" s="1"/>
    </row>
    <row r="911" spans="2:4" ht="15.75" customHeight="1" x14ac:dyDescent="0.2">
      <c r="B911" s="1"/>
      <c r="C911" s="2"/>
      <c r="D911" s="1"/>
    </row>
    <row r="912" spans="2:4" ht="15.75" customHeight="1" x14ac:dyDescent="0.2">
      <c r="B912" s="1"/>
      <c r="C912" s="2"/>
      <c r="D912" s="1"/>
    </row>
    <row r="913" spans="2:4" ht="15.75" customHeight="1" x14ac:dyDescent="0.2">
      <c r="B913" s="1"/>
      <c r="C913" s="2"/>
      <c r="D913" s="1"/>
    </row>
    <row r="914" spans="2:4" ht="15.75" customHeight="1" x14ac:dyDescent="0.2">
      <c r="B914" s="1"/>
      <c r="C914" s="2"/>
      <c r="D914" s="1"/>
    </row>
    <row r="915" spans="2:4" ht="15.75" customHeight="1" x14ac:dyDescent="0.2">
      <c r="B915" s="1"/>
      <c r="C915" s="2"/>
      <c r="D915" s="1"/>
    </row>
    <row r="916" spans="2:4" ht="15.75" customHeight="1" x14ac:dyDescent="0.2">
      <c r="B916" s="1"/>
      <c r="C916" s="2"/>
      <c r="D916" s="1"/>
    </row>
    <row r="917" spans="2:4" ht="15.75" customHeight="1" x14ac:dyDescent="0.2">
      <c r="B917" s="1"/>
      <c r="C917" s="2"/>
      <c r="D917" s="1"/>
    </row>
    <row r="918" spans="2:4" ht="15.75" customHeight="1" x14ac:dyDescent="0.2">
      <c r="B918" s="1"/>
      <c r="C918" s="2"/>
      <c r="D918" s="1"/>
    </row>
    <row r="919" spans="2:4" ht="15.75" customHeight="1" x14ac:dyDescent="0.2">
      <c r="B919" s="1"/>
      <c r="C919" s="2"/>
      <c r="D919" s="1"/>
    </row>
    <row r="920" spans="2:4" ht="15.75" customHeight="1" x14ac:dyDescent="0.2">
      <c r="B920" s="1"/>
      <c r="C920" s="2"/>
      <c r="D920" s="1"/>
    </row>
    <row r="921" spans="2:4" ht="15.75" customHeight="1" x14ac:dyDescent="0.2">
      <c r="B921" s="1"/>
      <c r="C921" s="2"/>
      <c r="D921" s="1"/>
    </row>
    <row r="922" spans="2:4" ht="15.75" customHeight="1" x14ac:dyDescent="0.2">
      <c r="B922" s="1"/>
      <c r="C922" s="2"/>
      <c r="D922" s="1"/>
    </row>
    <row r="923" spans="2:4" ht="15.75" customHeight="1" x14ac:dyDescent="0.2">
      <c r="B923" s="1"/>
      <c r="C923" s="2"/>
      <c r="D923" s="1"/>
    </row>
    <row r="924" spans="2:4" ht="15.75" customHeight="1" x14ac:dyDescent="0.2">
      <c r="B924" s="1"/>
      <c r="C924" s="2"/>
      <c r="D924" s="1"/>
    </row>
    <row r="925" spans="2:4" ht="15.75" customHeight="1" x14ac:dyDescent="0.2">
      <c r="B925" s="1"/>
      <c r="C925" s="2"/>
      <c r="D925" s="1"/>
    </row>
    <row r="926" spans="2:4" ht="15.75" customHeight="1" x14ac:dyDescent="0.2">
      <c r="B926" s="1"/>
      <c r="C926" s="2"/>
      <c r="D926" s="1"/>
    </row>
    <row r="927" spans="2:4" ht="15.75" customHeight="1" x14ac:dyDescent="0.2">
      <c r="B927" s="1"/>
      <c r="C927" s="2"/>
      <c r="D927" s="1"/>
    </row>
    <row r="928" spans="2:4" ht="15.75" customHeight="1" x14ac:dyDescent="0.2">
      <c r="B928" s="1"/>
      <c r="C928" s="2"/>
      <c r="D928" s="1"/>
    </row>
    <row r="929" spans="2:4" ht="15.75" customHeight="1" x14ac:dyDescent="0.2">
      <c r="B929" s="1"/>
      <c r="C929" s="2"/>
      <c r="D929" s="1"/>
    </row>
    <row r="930" spans="2:4" ht="15.75" customHeight="1" x14ac:dyDescent="0.2">
      <c r="B930" s="1"/>
      <c r="C930" s="2"/>
      <c r="D930" s="1"/>
    </row>
    <row r="931" spans="2:4" ht="15.75" customHeight="1" x14ac:dyDescent="0.2">
      <c r="B931" s="1"/>
      <c r="C931" s="2"/>
      <c r="D931" s="1"/>
    </row>
    <row r="932" spans="2:4" ht="15.75" customHeight="1" x14ac:dyDescent="0.2">
      <c r="B932" s="1"/>
      <c r="C932" s="2"/>
      <c r="D932" s="1"/>
    </row>
    <row r="933" spans="2:4" ht="15.75" customHeight="1" x14ac:dyDescent="0.2">
      <c r="B933" s="1"/>
      <c r="C933" s="2"/>
      <c r="D933" s="1"/>
    </row>
    <row r="934" spans="2:4" ht="15.75" customHeight="1" x14ac:dyDescent="0.2">
      <c r="B934" s="1"/>
      <c r="C934" s="2"/>
      <c r="D934" s="1"/>
    </row>
    <row r="935" spans="2:4" ht="15.75" customHeight="1" x14ac:dyDescent="0.2">
      <c r="B935" s="1"/>
      <c r="C935" s="2"/>
      <c r="D935" s="1"/>
    </row>
    <row r="936" spans="2:4" ht="15.75" customHeight="1" x14ac:dyDescent="0.2">
      <c r="B936" s="1"/>
      <c r="C936" s="2"/>
      <c r="D936" s="1"/>
    </row>
    <row r="937" spans="2:4" ht="15.75" customHeight="1" x14ac:dyDescent="0.2">
      <c r="B937" s="1"/>
      <c r="C937" s="2"/>
      <c r="D937" s="1"/>
    </row>
    <row r="938" spans="2:4" ht="15.75" customHeight="1" x14ac:dyDescent="0.2">
      <c r="B938" s="1"/>
      <c r="C938" s="2"/>
      <c r="D938" s="1"/>
    </row>
    <row r="939" spans="2:4" ht="15.75" customHeight="1" x14ac:dyDescent="0.2">
      <c r="B939" s="1"/>
      <c r="C939" s="2"/>
      <c r="D939" s="1"/>
    </row>
    <row r="940" spans="2:4" ht="15.75" customHeight="1" x14ac:dyDescent="0.2">
      <c r="B940" s="1"/>
      <c r="C940" s="2"/>
      <c r="D940" s="1"/>
    </row>
    <row r="941" spans="2:4" ht="15.75" customHeight="1" x14ac:dyDescent="0.2">
      <c r="B941" s="1"/>
      <c r="C941" s="2"/>
      <c r="D941" s="1"/>
    </row>
    <row r="942" spans="2:4" ht="15.75" customHeight="1" x14ac:dyDescent="0.2">
      <c r="B942" s="1"/>
      <c r="C942" s="2"/>
      <c r="D942" s="1"/>
    </row>
    <row r="943" spans="2:4" ht="15.75" customHeight="1" x14ac:dyDescent="0.2">
      <c r="B943" s="1"/>
      <c r="C943" s="2"/>
      <c r="D943" s="1"/>
    </row>
    <row r="944" spans="2:4" ht="15.75" customHeight="1" x14ac:dyDescent="0.2">
      <c r="B944" s="1"/>
      <c r="C944" s="2"/>
      <c r="D944" s="1"/>
    </row>
    <row r="945" spans="2:4" ht="15.75" customHeight="1" x14ac:dyDescent="0.2">
      <c r="B945" s="1"/>
      <c r="C945" s="2"/>
      <c r="D945" s="1"/>
    </row>
    <row r="946" spans="2:4" ht="15.75" customHeight="1" x14ac:dyDescent="0.2">
      <c r="B946" s="1"/>
      <c r="C946" s="2"/>
      <c r="D946" s="1"/>
    </row>
    <row r="947" spans="2:4" ht="15.75" customHeight="1" x14ac:dyDescent="0.2">
      <c r="B947" s="1"/>
      <c r="C947" s="2"/>
      <c r="D947" s="1"/>
    </row>
    <row r="948" spans="2:4" ht="15.75" customHeight="1" x14ac:dyDescent="0.2">
      <c r="B948" s="1"/>
      <c r="C948" s="2"/>
      <c r="D948" s="1"/>
    </row>
    <row r="949" spans="2:4" ht="15.75" customHeight="1" x14ac:dyDescent="0.2">
      <c r="B949" s="1"/>
      <c r="C949" s="2"/>
      <c r="D949" s="1"/>
    </row>
    <row r="950" spans="2:4" ht="15.75" customHeight="1" x14ac:dyDescent="0.2">
      <c r="B950" s="1"/>
      <c r="C950" s="2"/>
      <c r="D950" s="1"/>
    </row>
    <row r="951" spans="2:4" ht="15.75" customHeight="1" x14ac:dyDescent="0.2">
      <c r="B951" s="1"/>
      <c r="C951" s="2"/>
      <c r="D951" s="1"/>
    </row>
    <row r="952" spans="2:4" ht="15.75" customHeight="1" x14ac:dyDescent="0.2">
      <c r="B952" s="1"/>
      <c r="C952" s="2"/>
      <c r="D952" s="1"/>
    </row>
    <row r="953" spans="2:4" ht="15.75" customHeight="1" x14ac:dyDescent="0.2">
      <c r="B953" s="1"/>
      <c r="C953" s="2"/>
      <c r="D953" s="1"/>
    </row>
    <row r="954" spans="2:4" ht="15.75" customHeight="1" x14ac:dyDescent="0.2">
      <c r="B954" s="1"/>
      <c r="C954" s="2"/>
      <c r="D954" s="1"/>
    </row>
    <row r="955" spans="2:4" ht="15.75" customHeight="1" x14ac:dyDescent="0.2">
      <c r="B955" s="1"/>
      <c r="C955" s="2"/>
      <c r="D955" s="1"/>
    </row>
    <row r="956" spans="2:4" ht="15.75" customHeight="1" x14ac:dyDescent="0.2">
      <c r="B956" s="1"/>
      <c r="C956" s="2"/>
      <c r="D956" s="1"/>
    </row>
    <row r="957" spans="2:4" ht="15.75" customHeight="1" x14ac:dyDescent="0.2">
      <c r="B957" s="1"/>
      <c r="C957" s="2"/>
      <c r="D957" s="1"/>
    </row>
    <row r="958" spans="2:4" ht="15.75" customHeight="1" x14ac:dyDescent="0.2">
      <c r="B958" s="1"/>
      <c r="C958" s="2"/>
      <c r="D958" s="1"/>
    </row>
    <row r="959" spans="2:4" ht="15.75" customHeight="1" x14ac:dyDescent="0.2">
      <c r="B959" s="1"/>
      <c r="C959" s="2"/>
      <c r="D959" s="1"/>
    </row>
    <row r="960" spans="2:4" ht="15.75" customHeight="1" x14ac:dyDescent="0.2">
      <c r="B960" s="1"/>
      <c r="C960" s="2"/>
      <c r="D960" s="1"/>
    </row>
    <row r="961" spans="2:4" ht="15.75" customHeight="1" x14ac:dyDescent="0.2">
      <c r="B961" s="1"/>
      <c r="C961" s="2"/>
      <c r="D961" s="1"/>
    </row>
    <row r="962" spans="2:4" ht="15.75" customHeight="1" x14ac:dyDescent="0.2">
      <c r="B962" s="1"/>
      <c r="C962" s="2"/>
      <c r="D962" s="1"/>
    </row>
    <row r="963" spans="2:4" ht="15.75" customHeight="1" x14ac:dyDescent="0.2">
      <c r="B963" s="1"/>
      <c r="C963" s="2"/>
      <c r="D963" s="1"/>
    </row>
    <row r="964" spans="2:4" ht="15.75" customHeight="1" x14ac:dyDescent="0.2">
      <c r="B964" s="1"/>
      <c r="C964" s="2"/>
      <c r="D964" s="1"/>
    </row>
    <row r="965" spans="2:4" ht="15.75" customHeight="1" x14ac:dyDescent="0.2">
      <c r="B965" s="1"/>
      <c r="C965" s="2"/>
      <c r="D965" s="1"/>
    </row>
    <row r="966" spans="2:4" ht="15.75" customHeight="1" x14ac:dyDescent="0.2">
      <c r="B966" s="1"/>
      <c r="C966" s="2"/>
      <c r="D966" s="1"/>
    </row>
    <row r="967" spans="2:4" ht="15.75" customHeight="1" x14ac:dyDescent="0.2">
      <c r="B967" s="1"/>
      <c r="C967" s="2"/>
      <c r="D967" s="1"/>
    </row>
    <row r="968" spans="2:4" ht="15.75" customHeight="1" x14ac:dyDescent="0.2">
      <c r="B968" s="1"/>
      <c r="C968" s="2"/>
      <c r="D968" s="1"/>
    </row>
    <row r="969" spans="2:4" ht="15.75" customHeight="1" x14ac:dyDescent="0.2">
      <c r="B969" s="1"/>
      <c r="C969" s="2"/>
      <c r="D969" s="1"/>
    </row>
    <row r="970" spans="2:4" ht="15.75" customHeight="1" x14ac:dyDescent="0.2">
      <c r="B970" s="1"/>
      <c r="C970" s="2"/>
      <c r="D970" s="1"/>
    </row>
    <row r="971" spans="2:4" ht="15.75" customHeight="1" x14ac:dyDescent="0.2">
      <c r="B971" s="1"/>
      <c r="C971" s="2"/>
      <c r="D971" s="1"/>
    </row>
    <row r="972" spans="2:4" ht="15.75" customHeight="1" x14ac:dyDescent="0.2">
      <c r="B972" s="1"/>
      <c r="C972" s="2"/>
      <c r="D972" s="1"/>
    </row>
    <row r="973" spans="2:4" ht="15.75" customHeight="1" x14ac:dyDescent="0.2">
      <c r="B973" s="1"/>
      <c r="C973" s="2"/>
      <c r="D973" s="1"/>
    </row>
    <row r="974" spans="2:4" ht="15.75" customHeight="1" x14ac:dyDescent="0.2">
      <c r="B974" s="1"/>
      <c r="C974" s="2"/>
      <c r="D974" s="1"/>
    </row>
    <row r="975" spans="2:4" ht="15.75" customHeight="1" x14ac:dyDescent="0.2">
      <c r="B975" s="1"/>
      <c r="C975" s="2"/>
      <c r="D975" s="1"/>
    </row>
    <row r="976" spans="2:4" ht="15.75" customHeight="1" x14ac:dyDescent="0.2">
      <c r="B976" s="1"/>
      <c r="C976" s="2"/>
      <c r="D976" s="1"/>
    </row>
    <row r="977" spans="2:4" ht="15.75" customHeight="1" x14ac:dyDescent="0.2">
      <c r="B977" s="1"/>
      <c r="C977" s="2"/>
      <c r="D977" s="1"/>
    </row>
    <row r="978" spans="2:4" ht="15.75" customHeight="1" x14ac:dyDescent="0.2">
      <c r="B978" s="1"/>
      <c r="C978" s="2"/>
      <c r="D978" s="1"/>
    </row>
    <row r="979" spans="2:4" ht="15.75" customHeight="1" x14ac:dyDescent="0.2">
      <c r="B979" s="1"/>
      <c r="C979" s="2"/>
      <c r="D979" s="1"/>
    </row>
    <row r="980" spans="2:4" ht="15.75" customHeight="1" x14ac:dyDescent="0.2">
      <c r="B980" s="1"/>
      <c r="C980" s="2"/>
      <c r="D980" s="1"/>
    </row>
    <row r="981" spans="2:4" ht="15.75" customHeight="1" x14ac:dyDescent="0.2">
      <c r="B981" s="1"/>
      <c r="C981" s="2"/>
      <c r="D981" s="1"/>
    </row>
    <row r="982" spans="2:4" ht="15.75" customHeight="1" x14ac:dyDescent="0.2">
      <c r="B982" s="1"/>
      <c r="C982" s="2"/>
      <c r="D982" s="1"/>
    </row>
    <row r="983" spans="2:4" ht="15.75" customHeight="1" x14ac:dyDescent="0.2">
      <c r="B983" s="1"/>
      <c r="C983" s="2"/>
      <c r="D983" s="1"/>
    </row>
    <row r="984" spans="2:4" ht="15.75" customHeight="1" x14ac:dyDescent="0.2">
      <c r="B984" s="1"/>
      <c r="C984" s="2"/>
      <c r="D984" s="1"/>
    </row>
    <row r="985" spans="2:4" ht="15.75" customHeight="1" x14ac:dyDescent="0.2">
      <c r="B985" s="1"/>
      <c r="C985" s="2"/>
      <c r="D985" s="1"/>
    </row>
    <row r="986" spans="2:4" ht="15.75" customHeight="1" x14ac:dyDescent="0.2">
      <c r="B986" s="1"/>
      <c r="C986" s="2"/>
      <c r="D986" s="1"/>
    </row>
    <row r="987" spans="2:4" ht="15.75" customHeight="1" x14ac:dyDescent="0.2">
      <c r="B987" s="1"/>
      <c r="C987" s="2"/>
      <c r="D987" s="1"/>
    </row>
    <row r="988" spans="2:4" ht="15.75" customHeight="1" x14ac:dyDescent="0.2">
      <c r="B988" s="1"/>
      <c r="C988" s="2"/>
      <c r="D988" s="1"/>
    </row>
    <row r="989" spans="2:4" ht="15.75" customHeight="1" x14ac:dyDescent="0.2">
      <c r="B989" s="1"/>
      <c r="C989" s="2"/>
      <c r="D989" s="1"/>
    </row>
    <row r="990" spans="2:4" ht="15.75" customHeight="1" x14ac:dyDescent="0.2">
      <c r="B990" s="1"/>
      <c r="C990" s="2"/>
      <c r="D990" s="1"/>
    </row>
    <row r="991" spans="2:4" ht="15.75" customHeight="1" x14ac:dyDescent="0.2">
      <c r="B991" s="1"/>
      <c r="C991" s="2"/>
      <c r="D991" s="1"/>
    </row>
    <row r="992" spans="2:4" ht="15.75" customHeight="1" x14ac:dyDescent="0.2">
      <c r="B992" s="1"/>
      <c r="C992" s="2"/>
      <c r="D992" s="1"/>
    </row>
    <row r="993" spans="2:4" ht="15.75" customHeight="1" x14ac:dyDescent="0.2">
      <c r="B993" s="1"/>
      <c r="C993" s="2"/>
      <c r="D993" s="1"/>
    </row>
    <row r="994" spans="2:4" ht="15.75" customHeight="1" x14ac:dyDescent="0.2">
      <c r="B994" s="1"/>
      <c r="C994" s="2"/>
      <c r="D994" s="1"/>
    </row>
    <row r="995" spans="2:4" ht="15.75" customHeight="1" x14ac:dyDescent="0.2">
      <c r="B995" s="1"/>
      <c r="C995" s="2"/>
      <c r="D995" s="1"/>
    </row>
    <row r="996" spans="2:4" ht="15.75" customHeight="1" x14ac:dyDescent="0.2">
      <c r="B996" s="1"/>
      <c r="C996" s="2"/>
      <c r="D996" s="1"/>
    </row>
    <row r="997" spans="2:4" ht="15.75" customHeight="1" x14ac:dyDescent="0.2">
      <c r="B997" s="1"/>
      <c r="C997" s="2"/>
      <c r="D997" s="1"/>
    </row>
    <row r="998" spans="2:4" ht="15.75" customHeight="1" x14ac:dyDescent="0.2">
      <c r="B998" s="1"/>
      <c r="C998" s="2"/>
      <c r="D998" s="1"/>
    </row>
    <row r="999" spans="2:4" ht="15.75" customHeight="1" x14ac:dyDescent="0.2">
      <c r="B999" s="1"/>
      <c r="C999" s="2"/>
      <c r="D999" s="1"/>
    </row>
    <row r="1000" spans="2:4" ht="15.75" customHeight="1" x14ac:dyDescent="0.2">
      <c r="B1000" s="1"/>
      <c r="C1000" s="2"/>
      <c r="D1000" s="1"/>
    </row>
  </sheetData>
  <hyperlinks>
    <hyperlink ref="D4" r:id="rId1" xr:uid="{00000000-0004-0000-0000-000000000000}"/>
    <hyperlink ref="D6" r:id="rId2" xr:uid="{00000000-0004-0000-0000-000001000000}"/>
    <hyperlink ref="D21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10"/>
  <sheetViews>
    <sheetView showGridLines="0" tabSelected="1" workbookViewId="0">
      <pane xSplit="2" ySplit="5" topLeftCell="K8" activePane="bottomRight" state="frozen"/>
      <selection pane="topRight" activeCell="C1" sqref="C1"/>
      <selection pane="bottomLeft" activeCell="A6" sqref="A6"/>
      <selection pane="bottomRight" activeCell="K28" sqref="K28"/>
    </sheetView>
  </sheetViews>
  <sheetFormatPr baseColWidth="10" defaultColWidth="11.1640625" defaultRowHeight="15" customHeight="1" outlineLevelRow="1" x14ac:dyDescent="0.2"/>
  <cols>
    <col min="1" max="1" width="3.33203125" customWidth="1"/>
    <col min="2" max="2" width="52.83203125" customWidth="1"/>
    <col min="3" max="3" width="17.1640625" customWidth="1"/>
    <col min="4" max="4" width="14.6640625" customWidth="1"/>
    <col min="5" max="8" width="14" customWidth="1"/>
    <col min="9" max="9" width="15.83203125" customWidth="1"/>
    <col min="10" max="10" width="15.1640625" customWidth="1"/>
    <col min="11" max="23" width="16.33203125" customWidth="1"/>
    <col min="24" max="24" width="14" customWidth="1"/>
    <col min="25" max="31" width="11.1640625" customWidth="1"/>
  </cols>
  <sheetData>
    <row r="1" spans="1:24" ht="15.75" customHeight="1" x14ac:dyDescent="0.2">
      <c r="A1" s="4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4" ht="15.75" customHeight="1" x14ac:dyDescent="0.2">
      <c r="A2" s="7"/>
      <c r="B2" s="7" t="s">
        <v>11</v>
      </c>
      <c r="C2" s="13">
        <v>55.8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4" ht="15.75" customHeight="1" x14ac:dyDescent="0.2">
      <c r="A3" s="7"/>
      <c r="B3" s="7"/>
      <c r="C3" s="13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4" ht="15.75" customHeight="1" x14ac:dyDescent="0.2">
      <c r="A4" s="21"/>
      <c r="B4" s="21"/>
      <c r="C4" s="21" t="s">
        <v>19</v>
      </c>
      <c r="D4" s="21" t="s">
        <v>19</v>
      </c>
      <c r="E4" s="21" t="s">
        <v>19</v>
      </c>
      <c r="F4" s="21" t="s">
        <v>19</v>
      </c>
      <c r="G4" s="21" t="s">
        <v>19</v>
      </c>
      <c r="H4" s="21" t="s">
        <v>19</v>
      </c>
      <c r="I4" s="21" t="s">
        <v>19</v>
      </c>
      <c r="J4" s="21" t="s">
        <v>19</v>
      </c>
      <c r="K4" s="21" t="s">
        <v>19</v>
      </c>
      <c r="L4" s="21" t="s">
        <v>19</v>
      </c>
      <c r="M4" s="21" t="s">
        <v>19</v>
      </c>
      <c r="N4" s="21" t="s">
        <v>19</v>
      </c>
      <c r="O4" s="21" t="s">
        <v>19</v>
      </c>
      <c r="P4" s="21" t="s">
        <v>19</v>
      </c>
      <c r="Q4" s="21" t="s">
        <v>19</v>
      </c>
      <c r="R4" s="21" t="s">
        <v>19</v>
      </c>
      <c r="S4" s="21" t="s">
        <v>19</v>
      </c>
      <c r="T4" s="21" t="s">
        <v>19</v>
      </c>
      <c r="U4" s="21" t="s">
        <v>19</v>
      </c>
      <c r="V4" s="21" t="s">
        <v>19</v>
      </c>
      <c r="W4" s="21" t="s">
        <v>19</v>
      </c>
    </row>
    <row r="5" spans="1:24" ht="15.75" customHeight="1" x14ac:dyDescent="0.2">
      <c r="A5" s="7"/>
      <c r="B5" s="24"/>
      <c r="C5" s="24">
        <v>45688</v>
      </c>
      <c r="D5" s="24">
        <v>45716</v>
      </c>
      <c r="E5" s="24">
        <v>45747</v>
      </c>
      <c r="F5" s="24">
        <v>45777</v>
      </c>
      <c r="G5" s="24">
        <v>45808</v>
      </c>
      <c r="H5" s="24">
        <v>45838</v>
      </c>
      <c r="I5" s="24">
        <v>45869</v>
      </c>
      <c r="J5" s="24">
        <v>45900</v>
      </c>
      <c r="K5" s="24">
        <v>45930</v>
      </c>
      <c r="L5" s="24">
        <v>45961</v>
      </c>
      <c r="M5" s="24">
        <v>45991</v>
      </c>
      <c r="N5" s="24">
        <v>46022</v>
      </c>
      <c r="O5" s="24">
        <v>46053</v>
      </c>
      <c r="P5" s="24">
        <v>46081</v>
      </c>
      <c r="Q5" s="24">
        <v>46112</v>
      </c>
      <c r="R5" s="24">
        <v>46142</v>
      </c>
      <c r="S5" s="24">
        <v>46173</v>
      </c>
      <c r="T5" s="24">
        <v>46203</v>
      </c>
      <c r="U5" s="24">
        <v>46234</v>
      </c>
      <c r="V5" s="24">
        <v>46265</v>
      </c>
      <c r="W5" s="24">
        <v>46295</v>
      </c>
    </row>
    <row r="6" spans="1:24" ht="15.75" customHeight="1" x14ac:dyDescent="0.2">
      <c r="A6" s="26"/>
      <c r="B6" s="27" t="s">
        <v>58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1:24" ht="15.75" customHeight="1" x14ac:dyDescent="0.2">
      <c r="A7" s="21"/>
      <c r="B7" s="30" t="s">
        <v>61</v>
      </c>
      <c r="C7" s="31">
        <v>400</v>
      </c>
      <c r="D7" s="31">
        <v>477</v>
      </c>
      <c r="E7" s="31">
        <v>554</v>
      </c>
      <c r="F7" s="31">
        <v>705</v>
      </c>
      <c r="G7" s="31">
        <v>912</v>
      </c>
      <c r="H7" s="31">
        <v>1354</v>
      </c>
      <c r="I7" s="31">
        <v>1596</v>
      </c>
      <c r="J7" s="31">
        <v>1892</v>
      </c>
      <c r="K7" s="31">
        <v>2391</v>
      </c>
      <c r="L7" s="31">
        <v>2431</v>
      </c>
      <c r="M7" s="31">
        <v>2429</v>
      </c>
      <c r="N7" s="31">
        <v>2672</v>
      </c>
      <c r="O7" s="31">
        <v>2767</v>
      </c>
      <c r="P7" s="31">
        <v>3406</v>
      </c>
      <c r="Q7" s="31">
        <v>4243</v>
      </c>
      <c r="R7" s="31">
        <v>5339</v>
      </c>
      <c r="S7" s="31">
        <v>6252</v>
      </c>
      <c r="T7" s="31">
        <v>7638</v>
      </c>
      <c r="U7" s="31">
        <v>8555</v>
      </c>
      <c r="V7" s="31">
        <v>9269</v>
      </c>
      <c r="W7" s="31">
        <v>11608</v>
      </c>
    </row>
    <row r="8" spans="1:24" ht="15.75" customHeight="1" x14ac:dyDescent="0.2">
      <c r="A8" s="21"/>
      <c r="B8" s="33" t="s">
        <v>8</v>
      </c>
      <c r="C8" s="37">
        <f t="shared" ref="C8:W8" si="0">C7/C23</f>
        <v>0.91012514220705343</v>
      </c>
      <c r="D8" s="37">
        <f t="shared" si="0"/>
        <v>0.82525951557093424</v>
      </c>
      <c r="E8" s="37">
        <f t="shared" si="0"/>
        <v>0.79597701149425293</v>
      </c>
      <c r="F8" s="37">
        <f t="shared" si="0"/>
        <v>0.8284371327849589</v>
      </c>
      <c r="G8" s="37">
        <f t="shared" si="0"/>
        <v>0.80886917960088689</v>
      </c>
      <c r="H8" s="37">
        <f t="shared" si="0"/>
        <v>0.86324513866751673</v>
      </c>
      <c r="I8" s="37">
        <f t="shared" si="0"/>
        <v>0.77306853959796562</v>
      </c>
      <c r="J8" s="37">
        <f t="shared" si="0"/>
        <v>0.70994371482176355</v>
      </c>
      <c r="K8" s="37">
        <f t="shared" si="0"/>
        <v>0.74917750274165751</v>
      </c>
      <c r="L8" s="37">
        <f t="shared" si="0"/>
        <v>0.71944362237348325</v>
      </c>
      <c r="M8" s="37">
        <f t="shared" si="0"/>
        <v>0.70620729757232159</v>
      </c>
      <c r="N8" s="37">
        <f t="shared" si="0"/>
        <v>0.73225541244176484</v>
      </c>
      <c r="O8" s="37">
        <f t="shared" si="0"/>
        <v>0.7030872824291704</v>
      </c>
      <c r="P8" s="37">
        <f t="shared" si="0"/>
        <v>0.74423686223096253</v>
      </c>
      <c r="Q8" s="37">
        <f t="shared" si="0"/>
        <v>0.73060697374085237</v>
      </c>
      <c r="R8" s="37">
        <f t="shared" si="0"/>
        <v>0.75929744720187731</v>
      </c>
      <c r="S8" s="37">
        <f t="shared" si="0"/>
        <v>0.75388882189798623</v>
      </c>
      <c r="T8" s="37">
        <f t="shared" si="0"/>
        <v>0.74915403854641749</v>
      </c>
      <c r="U8" s="37">
        <f t="shared" si="0"/>
        <v>0.72139303482587069</v>
      </c>
      <c r="V8" s="37">
        <f t="shared" si="0"/>
        <v>0.72558612861560134</v>
      </c>
      <c r="W8" s="37">
        <f t="shared" si="0"/>
        <v>0.78700972914336076</v>
      </c>
    </row>
    <row r="9" spans="1:24" ht="15.75" customHeight="1" x14ac:dyDescent="0.2">
      <c r="A9" s="21"/>
      <c r="B9" s="33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4" ht="15.75" customHeight="1" x14ac:dyDescent="0.2">
      <c r="A10" s="7"/>
      <c r="B10" s="30" t="s">
        <v>62</v>
      </c>
      <c r="C10" s="44">
        <f t="shared" ref="C10:W10" si="1">C40/C7</f>
        <v>577.53859999999997</v>
      </c>
      <c r="D10" s="44">
        <f t="shared" si="1"/>
        <v>483.81593291404613</v>
      </c>
      <c r="E10" s="44">
        <f t="shared" si="1"/>
        <v>475.31238267148001</v>
      </c>
      <c r="F10" s="44">
        <f t="shared" si="1"/>
        <v>442.19066666666657</v>
      </c>
      <c r="G10" s="44">
        <f t="shared" si="1"/>
        <v>384.11937499999993</v>
      </c>
      <c r="H10" s="44">
        <f t="shared" si="1"/>
        <v>346.408988183161</v>
      </c>
      <c r="I10" s="44">
        <f t="shared" si="1"/>
        <v>361.28971804511269</v>
      </c>
      <c r="J10" s="44">
        <f t="shared" si="1"/>
        <v>332.1909090909092</v>
      </c>
      <c r="K10" s="44">
        <f t="shared" si="1"/>
        <v>390.74666248431623</v>
      </c>
      <c r="L10" s="44">
        <f t="shared" si="1"/>
        <v>395.35131221719456</v>
      </c>
      <c r="M10" s="44">
        <f t="shared" si="1"/>
        <v>385.43275833676427</v>
      </c>
      <c r="N10" s="44">
        <f t="shared" si="1"/>
        <v>406.91565868263478</v>
      </c>
      <c r="O10" s="44">
        <f t="shared" si="1"/>
        <v>313.94162631008311</v>
      </c>
      <c r="P10" s="44">
        <f t="shared" si="1"/>
        <v>331.7087522019965</v>
      </c>
      <c r="Q10" s="44">
        <f t="shared" si="1"/>
        <v>446.55996003894279</v>
      </c>
      <c r="R10" s="44">
        <f t="shared" si="1"/>
        <v>409.73461509646</v>
      </c>
      <c r="S10" s="44">
        <f t="shared" si="1"/>
        <v>361.90635058660416</v>
      </c>
      <c r="T10" s="44">
        <f t="shared" si="1"/>
        <v>446.73101734747303</v>
      </c>
      <c r="U10" s="44">
        <f t="shared" si="1"/>
        <v>478.81363493863239</v>
      </c>
      <c r="V10" s="44">
        <f t="shared" si="1"/>
        <v>511.23620412040196</v>
      </c>
      <c r="W10" s="44">
        <f t="shared" si="1"/>
        <v>509.39483184011033</v>
      </c>
    </row>
    <row r="11" spans="1:24" ht="15.75" customHeight="1" x14ac:dyDescent="0.2">
      <c r="A11" s="21"/>
      <c r="B11" s="33" t="s">
        <v>63</v>
      </c>
      <c r="C11" s="49">
        <f t="shared" ref="C11:W11" si="2">C10/$C$2</f>
        <v>10.350154121863799</v>
      </c>
      <c r="D11" s="49">
        <f t="shared" si="2"/>
        <v>8.6705364321513656</v>
      </c>
      <c r="E11" s="49">
        <f t="shared" si="2"/>
        <v>8.5181430586286737</v>
      </c>
      <c r="F11" s="49">
        <f t="shared" si="2"/>
        <v>7.9245639187574657</v>
      </c>
      <c r="G11" s="49">
        <f t="shared" si="2"/>
        <v>6.8838597670250889</v>
      </c>
      <c r="H11" s="49">
        <f t="shared" si="2"/>
        <v>6.2080463832107711</v>
      </c>
      <c r="I11" s="49">
        <f t="shared" si="2"/>
        <v>6.4747261298407297</v>
      </c>
      <c r="J11" s="49">
        <f t="shared" si="2"/>
        <v>5.9532420984033907</v>
      </c>
      <c r="K11" s="49">
        <f t="shared" si="2"/>
        <v>7.0026283599339827</v>
      </c>
      <c r="L11" s="49">
        <f t="shared" si="2"/>
        <v>7.0851489644658523</v>
      </c>
      <c r="M11" s="49">
        <f t="shared" si="2"/>
        <v>6.9073971028093961</v>
      </c>
      <c r="N11" s="49">
        <f t="shared" si="2"/>
        <v>7.2923953168930966</v>
      </c>
      <c r="O11" s="49">
        <f t="shared" si="2"/>
        <v>5.6261940198939628</v>
      </c>
      <c r="P11" s="49">
        <f t="shared" si="2"/>
        <v>5.9446012939425898</v>
      </c>
      <c r="Q11" s="49">
        <f t="shared" si="2"/>
        <v>8.0028666673645663</v>
      </c>
      <c r="R11" s="49">
        <f t="shared" si="2"/>
        <v>7.3429142490405024</v>
      </c>
      <c r="S11" s="49">
        <f t="shared" si="2"/>
        <v>6.4857768922330497</v>
      </c>
      <c r="T11" s="49">
        <f t="shared" si="2"/>
        <v>8.00593221052819</v>
      </c>
      <c r="U11" s="49">
        <f t="shared" si="2"/>
        <v>8.5808895150292539</v>
      </c>
      <c r="V11" s="49">
        <f t="shared" si="2"/>
        <v>9.1619391419426872</v>
      </c>
      <c r="W11" s="49">
        <f t="shared" si="2"/>
        <v>9.128939638711655</v>
      </c>
      <c r="X11" s="51">
        <f>15/X68</f>
        <v>4.6012193564645074E-2</v>
      </c>
    </row>
    <row r="12" spans="1:24" ht="15.75" customHeight="1" x14ac:dyDescent="0.2">
      <c r="A12" s="52"/>
      <c r="B12" s="53" t="s">
        <v>64</v>
      </c>
      <c r="C12" s="54">
        <f>C10/581.56-1</f>
        <v>-6.9148497145608001E-3</v>
      </c>
      <c r="D12" s="54">
        <f t="shared" ref="D12:W12" si="3">D10/C10-1</f>
        <v>-0.16227948588363417</v>
      </c>
      <c r="E12" s="54">
        <f t="shared" si="3"/>
        <v>-1.7576002905379418E-2</v>
      </c>
      <c r="F12" s="54">
        <f t="shared" si="3"/>
        <v>-6.9684100840490926E-2</v>
      </c>
      <c r="G12" s="54">
        <f t="shared" si="3"/>
        <v>-0.13132636223288296</v>
      </c>
      <c r="H12" s="54">
        <f t="shared" si="3"/>
        <v>-9.8173612869277838E-2</v>
      </c>
      <c r="I12" s="54">
        <f t="shared" si="3"/>
        <v>4.2957112458305025E-2</v>
      </c>
      <c r="J12" s="54">
        <f t="shared" si="3"/>
        <v>-8.0541480980009683E-2</v>
      </c>
      <c r="K12" s="54">
        <f t="shared" si="3"/>
        <v>0.17627139030882488</v>
      </c>
      <c r="L12" s="54">
        <f t="shared" si="3"/>
        <v>1.1784233046553849E-2</v>
      </c>
      <c r="M12" s="54">
        <f t="shared" si="3"/>
        <v>-2.5087949815584043E-2</v>
      </c>
      <c r="N12" s="54">
        <f t="shared" si="3"/>
        <v>5.5737090014285284E-2</v>
      </c>
      <c r="O12" s="54">
        <f t="shared" si="3"/>
        <v>-0.22848477415086355</v>
      </c>
      <c r="P12" s="54">
        <f t="shared" si="3"/>
        <v>5.6593724447246974E-2</v>
      </c>
      <c r="Q12" s="54">
        <f t="shared" si="3"/>
        <v>0.34624111385221101</v>
      </c>
      <c r="R12" s="54">
        <f t="shared" si="3"/>
        <v>-8.2464502503250325E-2</v>
      </c>
      <c r="S12" s="54">
        <f t="shared" si="3"/>
        <v>-0.11672986061623347</v>
      </c>
      <c r="T12" s="54">
        <f t="shared" si="3"/>
        <v>0.23438291873955475</v>
      </c>
      <c r="U12" s="54">
        <f t="shared" si="3"/>
        <v>7.1816409305210938E-2</v>
      </c>
      <c r="V12" s="54">
        <f t="shared" si="3"/>
        <v>6.771438157964127E-2</v>
      </c>
      <c r="W12" s="54">
        <f t="shared" si="3"/>
        <v>-3.6018033649627412E-3</v>
      </c>
    </row>
    <row r="13" spans="1:24" ht="15.75" customHeight="1" x14ac:dyDescent="0.2">
      <c r="A13" s="21"/>
      <c r="B13" s="33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</row>
    <row r="14" spans="1:24" ht="15.75" customHeight="1" outlineLevel="1" x14ac:dyDescent="0.2">
      <c r="A14" s="7"/>
      <c r="B14" s="30" t="s">
        <v>66</v>
      </c>
      <c r="C14" s="31">
        <v>398</v>
      </c>
      <c r="D14" s="31">
        <v>483</v>
      </c>
      <c r="E14" s="31">
        <v>567</v>
      </c>
      <c r="F14" s="31">
        <v>715</v>
      </c>
      <c r="G14" s="31">
        <v>951</v>
      </c>
      <c r="H14" s="31">
        <v>1369</v>
      </c>
      <c r="I14" s="31">
        <v>1628</v>
      </c>
      <c r="J14" s="31">
        <v>1985</v>
      </c>
      <c r="K14" s="31">
        <v>2380</v>
      </c>
      <c r="L14" s="31">
        <v>2459</v>
      </c>
      <c r="M14" s="31">
        <v>2490</v>
      </c>
      <c r="N14" s="31">
        <v>2699</v>
      </c>
      <c r="O14" s="31">
        <v>2695</v>
      </c>
      <c r="P14" s="31">
        <v>3350</v>
      </c>
      <c r="Q14" s="31">
        <v>4178</v>
      </c>
      <c r="R14" s="31">
        <v>5252</v>
      </c>
      <c r="S14" s="31">
        <v>6143</v>
      </c>
      <c r="T14" s="31">
        <v>7479</v>
      </c>
      <c r="U14" s="31">
        <v>8387</v>
      </c>
      <c r="V14" s="31">
        <v>9089</v>
      </c>
      <c r="W14" s="31">
        <v>11374</v>
      </c>
    </row>
    <row r="15" spans="1:24" ht="15.75" customHeight="1" outlineLevel="1" x14ac:dyDescent="0.2">
      <c r="A15" s="52"/>
      <c r="B15" s="53" t="s">
        <v>64</v>
      </c>
      <c r="C15" s="54">
        <f>C14/296-1</f>
        <v>0.34459459459459452</v>
      </c>
      <c r="D15" s="54">
        <f t="shared" ref="D15:W15" si="4">D14/C14-1</f>
        <v>0.21356783919597988</v>
      </c>
      <c r="E15" s="54">
        <f t="shared" si="4"/>
        <v>0.17391304347826098</v>
      </c>
      <c r="F15" s="54">
        <f t="shared" si="4"/>
        <v>0.26102292768959434</v>
      </c>
      <c r="G15" s="54">
        <f t="shared" si="4"/>
        <v>0.33006993006993013</v>
      </c>
      <c r="H15" s="54">
        <f t="shared" si="4"/>
        <v>0.43953732912723442</v>
      </c>
      <c r="I15" s="54">
        <f t="shared" si="4"/>
        <v>0.18918918918918926</v>
      </c>
      <c r="J15" s="54">
        <f t="shared" si="4"/>
        <v>0.21928746928746934</v>
      </c>
      <c r="K15" s="54">
        <f t="shared" si="4"/>
        <v>0.19899244332493704</v>
      </c>
      <c r="L15" s="54">
        <f t="shared" si="4"/>
        <v>3.3193277310924474E-2</v>
      </c>
      <c r="M15" s="54">
        <f t="shared" si="4"/>
        <v>1.2606750711671388E-2</v>
      </c>
      <c r="N15" s="54">
        <f t="shared" si="4"/>
        <v>8.3935742971887439E-2</v>
      </c>
      <c r="O15" s="54">
        <f t="shared" si="4"/>
        <v>-1.4820303816228675E-3</v>
      </c>
      <c r="P15" s="54">
        <f t="shared" si="4"/>
        <v>0.24304267161410009</v>
      </c>
      <c r="Q15" s="54">
        <f t="shared" si="4"/>
        <v>0.24716417910447763</v>
      </c>
      <c r="R15" s="54">
        <f t="shared" si="4"/>
        <v>0.257060794638583</v>
      </c>
      <c r="S15" s="54">
        <f t="shared" si="4"/>
        <v>0.16964965727341963</v>
      </c>
      <c r="T15" s="54">
        <f t="shared" si="4"/>
        <v>0.2174833143415269</v>
      </c>
      <c r="U15" s="54">
        <f t="shared" si="4"/>
        <v>0.12140660516111779</v>
      </c>
      <c r="V15" s="54">
        <f t="shared" si="4"/>
        <v>8.3700965780374448E-2</v>
      </c>
      <c r="W15" s="61">
        <f t="shared" si="4"/>
        <v>0.25140279458686332</v>
      </c>
    </row>
    <row r="16" spans="1:24" ht="15.75" customHeight="1" outlineLevel="1" x14ac:dyDescent="0.2">
      <c r="A16" s="21"/>
      <c r="B16" s="33" t="s">
        <v>69</v>
      </c>
      <c r="C16" s="37">
        <f t="shared" ref="C16:W16" si="5">C14/C23</f>
        <v>0.90557451649601817</v>
      </c>
      <c r="D16" s="37">
        <f t="shared" si="5"/>
        <v>0.83564013840830453</v>
      </c>
      <c r="E16" s="37">
        <f t="shared" si="5"/>
        <v>0.81465517241379315</v>
      </c>
      <c r="F16" s="37">
        <f t="shared" si="5"/>
        <v>0.84018801410105759</v>
      </c>
      <c r="G16" s="37">
        <f t="shared" si="5"/>
        <v>0.84345898004434594</v>
      </c>
      <c r="H16" s="37">
        <f t="shared" si="5"/>
        <v>0.87280841568377432</v>
      </c>
      <c r="I16" s="37">
        <f t="shared" si="5"/>
        <v>0.78856866069266163</v>
      </c>
      <c r="J16" s="37">
        <f t="shared" si="5"/>
        <v>0.74484052532833023</v>
      </c>
      <c r="K16" s="37">
        <f t="shared" si="5"/>
        <v>0.74573084756384145</v>
      </c>
      <c r="L16" s="37">
        <f t="shared" si="5"/>
        <v>0.72773009766203023</v>
      </c>
      <c r="M16" s="37">
        <f t="shared" si="5"/>
        <v>0.72394243349324028</v>
      </c>
      <c r="N16" s="37">
        <f t="shared" si="5"/>
        <v>0.73965469991778565</v>
      </c>
      <c r="O16" s="37">
        <f t="shared" si="5"/>
        <v>0.68479227544149412</v>
      </c>
      <c r="P16" s="37">
        <f t="shared" si="5"/>
        <v>0.73200043701518624</v>
      </c>
      <c r="Q16" s="37">
        <f t="shared" si="5"/>
        <v>0.71941455015066724</v>
      </c>
      <c r="R16" s="37">
        <f t="shared" si="5"/>
        <v>0.74692455379364286</v>
      </c>
      <c r="S16" s="37">
        <f t="shared" si="5"/>
        <v>0.74074520680091649</v>
      </c>
      <c r="T16" s="37">
        <f t="shared" si="5"/>
        <v>0.7335589230542886</v>
      </c>
      <c r="U16" s="37">
        <f t="shared" si="5"/>
        <v>0.70722657896955898</v>
      </c>
      <c r="V16" s="37">
        <f t="shared" si="5"/>
        <v>0.71149555755606875</v>
      </c>
      <c r="W16" s="37">
        <f t="shared" si="5"/>
        <v>0.7711447845689684</v>
      </c>
    </row>
    <row r="17" spans="1:24" ht="15.75" customHeight="1" outlineLevel="1" x14ac:dyDescent="0.2">
      <c r="A17" s="52"/>
      <c r="B17" s="53" t="s">
        <v>64</v>
      </c>
      <c r="C17" s="54">
        <f>C16/296-1</f>
        <v>-0.99694062663345939</v>
      </c>
      <c r="D17" s="54">
        <f t="shared" ref="D17:W17" si="6">D16/C16-1</f>
        <v>-7.72265305767591E-2</v>
      </c>
      <c r="E17" s="54">
        <f t="shared" si="6"/>
        <v>-2.5112443778110949E-2</v>
      </c>
      <c r="F17" s="54">
        <f t="shared" si="6"/>
        <v>3.1341900907118303E-2</v>
      </c>
      <c r="G17" s="54">
        <f t="shared" si="6"/>
        <v>3.8931356891445112E-3</v>
      </c>
      <c r="H17" s="54">
        <f t="shared" si="6"/>
        <v>3.4796518068828108E-2</v>
      </c>
      <c r="I17" s="54">
        <f t="shared" si="6"/>
        <v>-9.6515745583316437E-2</v>
      </c>
      <c r="J17" s="54">
        <f t="shared" si="6"/>
        <v>-5.5452540208637657E-2</v>
      </c>
      <c r="K17" s="54">
        <f t="shared" si="6"/>
        <v>1.1953192733689111E-3</v>
      </c>
      <c r="L17" s="54">
        <f t="shared" si="6"/>
        <v>-2.4138400551105277E-2</v>
      </c>
      <c r="M17" s="54">
        <f t="shared" si="6"/>
        <v>-5.204765037145731E-3</v>
      </c>
      <c r="N17" s="54">
        <f t="shared" si="6"/>
        <v>2.1703751151495476E-2</v>
      </c>
      <c r="O17" s="54">
        <f t="shared" si="6"/>
        <v>-7.4173022198587568E-2</v>
      </c>
      <c r="P17" s="54">
        <f t="shared" si="6"/>
        <v>6.8937929452046465E-2</v>
      </c>
      <c r="Q17" s="54">
        <f t="shared" si="6"/>
        <v>-1.7193824249394418E-2</v>
      </c>
      <c r="R17" s="54">
        <f t="shared" si="6"/>
        <v>3.8239431823020809E-2</v>
      </c>
      <c r="S17" s="54">
        <f t="shared" si="6"/>
        <v>-8.2730537660615777E-3</v>
      </c>
      <c r="T17" s="54">
        <f t="shared" si="6"/>
        <v>-9.7014245663006315E-3</v>
      </c>
      <c r="U17" s="54">
        <f t="shared" si="6"/>
        <v>-3.5896699306840585E-2</v>
      </c>
      <c r="V17" s="54">
        <f t="shared" si="6"/>
        <v>6.0362247594394347E-3</v>
      </c>
      <c r="W17" s="54">
        <f t="shared" si="6"/>
        <v>8.3836401196642818E-2</v>
      </c>
    </row>
    <row r="18" spans="1:24" ht="15.75" customHeight="1" outlineLevel="1" x14ac:dyDescent="0.2">
      <c r="A18" s="21"/>
      <c r="B18" s="33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19" spans="1:24" ht="15.75" customHeight="1" x14ac:dyDescent="0.2">
      <c r="A19" s="26"/>
      <c r="B19" s="27" t="s">
        <v>70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spans="1:24" ht="15.75" customHeight="1" x14ac:dyDescent="0.2">
      <c r="A20" s="7"/>
      <c r="B20" s="63" t="s">
        <v>71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4" ht="15.75" customHeight="1" x14ac:dyDescent="0.2">
      <c r="A21" s="7"/>
      <c r="B21" s="30" t="s">
        <v>72</v>
      </c>
      <c r="C21" s="64">
        <v>512</v>
      </c>
      <c r="D21" s="64">
        <v>644</v>
      </c>
      <c r="E21" s="64">
        <v>748</v>
      </c>
      <c r="F21" s="64">
        <v>954</v>
      </c>
      <c r="G21" s="64">
        <v>1301</v>
      </c>
      <c r="H21" s="64">
        <v>1836</v>
      </c>
      <c r="I21" s="64">
        <v>2293</v>
      </c>
      <c r="J21" s="64">
        <v>3037</v>
      </c>
      <c r="K21" s="64">
        <v>3346</v>
      </c>
      <c r="L21" s="64">
        <v>3412</v>
      </c>
      <c r="M21" s="64">
        <f>Daily!LX8</f>
        <v>3467</v>
      </c>
      <c r="N21" s="64">
        <f>Daily!NC8</f>
        <v>3831</v>
      </c>
      <c r="O21" s="64">
        <f>Daily!OH8</f>
        <v>4040</v>
      </c>
      <c r="P21" s="64">
        <f>Daily!PJ8</f>
        <v>5113</v>
      </c>
      <c r="Q21" s="64">
        <f>Daily!QO8</f>
        <v>6502</v>
      </c>
      <c r="R21" s="64">
        <f>Daily!RS8</f>
        <v>7561</v>
      </c>
      <c r="S21" s="64">
        <f>Daily!SX8</f>
        <v>9025</v>
      </c>
      <c r="T21" s="65">
        <v>11366</v>
      </c>
      <c r="U21" s="65">
        <f>Daily!VH8</f>
        <v>12352</v>
      </c>
      <c r="V21" s="65">
        <f>Daily!WM8</f>
        <v>13197</v>
      </c>
      <c r="W21" s="65">
        <f>Daily!XQ8</f>
        <v>16302</v>
      </c>
    </row>
    <row r="22" spans="1:24" ht="15.75" customHeight="1" x14ac:dyDescent="0.2">
      <c r="A22" s="52"/>
      <c r="B22" s="53" t="s">
        <v>64</v>
      </c>
      <c r="C22" s="54">
        <f>C21/296-1</f>
        <v>0.72972972972972983</v>
      </c>
      <c r="D22" s="54">
        <f t="shared" ref="D22:W22" si="7">D21/C21-1</f>
        <v>0.2578125</v>
      </c>
      <c r="E22" s="54">
        <f t="shared" si="7"/>
        <v>0.16149068322981375</v>
      </c>
      <c r="F22" s="54">
        <f t="shared" si="7"/>
        <v>0.27540106951871657</v>
      </c>
      <c r="G22" s="54">
        <f t="shared" si="7"/>
        <v>0.36373165618448633</v>
      </c>
      <c r="H22" s="54">
        <f t="shared" si="7"/>
        <v>0.41122213681783237</v>
      </c>
      <c r="I22" s="54">
        <f t="shared" si="7"/>
        <v>0.24891067538126355</v>
      </c>
      <c r="J22" s="54">
        <f t="shared" si="7"/>
        <v>0.32446576537287397</v>
      </c>
      <c r="K22" s="54">
        <f t="shared" si="7"/>
        <v>0.10174514323345396</v>
      </c>
      <c r="L22" s="54">
        <f t="shared" si="7"/>
        <v>1.972504482964732E-2</v>
      </c>
      <c r="M22" s="54">
        <f t="shared" si="7"/>
        <v>1.611957796014063E-2</v>
      </c>
      <c r="N22" s="54">
        <f t="shared" si="7"/>
        <v>0.10498990481684456</v>
      </c>
      <c r="O22" s="54">
        <f t="shared" si="7"/>
        <v>5.4554946489167255E-2</v>
      </c>
      <c r="P22" s="54">
        <f t="shared" si="7"/>
        <v>0.2655940594059405</v>
      </c>
      <c r="Q22" s="54">
        <f t="shared" si="7"/>
        <v>0.27166047330334431</v>
      </c>
      <c r="R22" s="54">
        <f t="shared" si="7"/>
        <v>0.16287296216548763</v>
      </c>
      <c r="S22" s="54">
        <f t="shared" si="7"/>
        <v>0.19362518185425204</v>
      </c>
      <c r="T22" s="54">
        <f t="shared" si="7"/>
        <v>0.25939058171745155</v>
      </c>
      <c r="U22" s="54">
        <f t="shared" si="7"/>
        <v>8.6749956009150031E-2</v>
      </c>
      <c r="V22" s="54">
        <f t="shared" si="7"/>
        <v>6.8409974093264214E-2</v>
      </c>
      <c r="W22" s="61">
        <f t="shared" si="7"/>
        <v>0.23528074562400536</v>
      </c>
    </row>
    <row r="23" spans="1:24" ht="15.75" customHeight="1" x14ac:dyDescent="0.2">
      <c r="A23" s="7"/>
      <c r="B23" s="30" t="s">
        <v>74</v>
      </c>
      <c r="C23" s="64">
        <f>AVERAGE(367,C21)</f>
        <v>439.5</v>
      </c>
      <c r="D23" s="64">
        <f t="shared" ref="D23:W23" si="8">AVERAGE(C21,D21)</f>
        <v>578</v>
      </c>
      <c r="E23" s="64">
        <f t="shared" si="8"/>
        <v>696</v>
      </c>
      <c r="F23" s="64">
        <f t="shared" si="8"/>
        <v>851</v>
      </c>
      <c r="G23" s="64">
        <f t="shared" si="8"/>
        <v>1127.5</v>
      </c>
      <c r="H23" s="64">
        <f t="shared" si="8"/>
        <v>1568.5</v>
      </c>
      <c r="I23" s="64">
        <f t="shared" si="8"/>
        <v>2064.5</v>
      </c>
      <c r="J23" s="64">
        <f t="shared" si="8"/>
        <v>2665</v>
      </c>
      <c r="K23" s="64">
        <f t="shared" si="8"/>
        <v>3191.5</v>
      </c>
      <c r="L23" s="64">
        <f t="shared" si="8"/>
        <v>3379</v>
      </c>
      <c r="M23" s="64">
        <f t="shared" si="8"/>
        <v>3439.5</v>
      </c>
      <c r="N23" s="64">
        <f t="shared" si="8"/>
        <v>3649</v>
      </c>
      <c r="O23" s="64">
        <f t="shared" si="8"/>
        <v>3935.5</v>
      </c>
      <c r="P23" s="64">
        <f t="shared" si="8"/>
        <v>4576.5</v>
      </c>
      <c r="Q23" s="64">
        <f t="shared" si="8"/>
        <v>5807.5</v>
      </c>
      <c r="R23" s="64">
        <f t="shared" si="8"/>
        <v>7031.5</v>
      </c>
      <c r="S23" s="64">
        <f t="shared" si="8"/>
        <v>8293</v>
      </c>
      <c r="T23" s="64">
        <f t="shared" si="8"/>
        <v>10195.5</v>
      </c>
      <c r="U23" s="64">
        <f t="shared" si="8"/>
        <v>11859</v>
      </c>
      <c r="V23" s="64">
        <f t="shared" si="8"/>
        <v>12774.5</v>
      </c>
      <c r="W23" s="64">
        <f t="shared" si="8"/>
        <v>14749.5</v>
      </c>
    </row>
    <row r="24" spans="1:24" ht="15.75" customHeight="1" x14ac:dyDescent="0.2">
      <c r="A24" s="7"/>
      <c r="B24" s="30" t="s">
        <v>75</v>
      </c>
      <c r="C24" s="64"/>
      <c r="D24" s="64">
        <f t="shared" ref="D24:W24" si="9">D21-C21</f>
        <v>132</v>
      </c>
      <c r="E24" s="64">
        <f t="shared" si="9"/>
        <v>104</v>
      </c>
      <c r="F24" s="64">
        <f t="shared" si="9"/>
        <v>206</v>
      </c>
      <c r="G24" s="64">
        <f t="shared" si="9"/>
        <v>347</v>
      </c>
      <c r="H24" s="64">
        <f t="shared" si="9"/>
        <v>535</v>
      </c>
      <c r="I24" s="64">
        <f t="shared" si="9"/>
        <v>457</v>
      </c>
      <c r="J24" s="64">
        <f t="shared" si="9"/>
        <v>744</v>
      </c>
      <c r="K24" s="64">
        <f t="shared" si="9"/>
        <v>309</v>
      </c>
      <c r="L24" s="64">
        <f t="shared" si="9"/>
        <v>66</v>
      </c>
      <c r="M24" s="64">
        <f t="shared" si="9"/>
        <v>55</v>
      </c>
      <c r="N24" s="64">
        <f t="shared" si="9"/>
        <v>364</v>
      </c>
      <c r="O24" s="64">
        <f t="shared" si="9"/>
        <v>209</v>
      </c>
      <c r="P24" s="64">
        <f t="shared" si="9"/>
        <v>1073</v>
      </c>
      <c r="Q24" s="64">
        <f t="shared" si="9"/>
        <v>1389</v>
      </c>
      <c r="R24" s="64">
        <f t="shared" si="9"/>
        <v>1059</v>
      </c>
      <c r="S24" s="64">
        <f t="shared" si="9"/>
        <v>1464</v>
      </c>
      <c r="T24" s="64">
        <f t="shared" si="9"/>
        <v>2341</v>
      </c>
      <c r="U24" s="64">
        <f t="shared" si="9"/>
        <v>986</v>
      </c>
      <c r="V24" s="64">
        <f t="shared" si="9"/>
        <v>845</v>
      </c>
      <c r="W24" s="64">
        <f t="shared" si="9"/>
        <v>3105</v>
      </c>
    </row>
    <row r="25" spans="1:24" ht="15.75" customHeight="1" x14ac:dyDescent="0.2">
      <c r="A25" s="7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4" ht="15.75" customHeight="1" x14ac:dyDescent="0.2">
      <c r="A26" s="7"/>
      <c r="B26" s="63" t="s">
        <v>76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75">
        <f>O27*12</f>
        <v>186812.14623655914</v>
      </c>
      <c r="P26" s="30"/>
      <c r="Q26" s="30"/>
      <c r="R26" s="30"/>
      <c r="S26" s="30"/>
      <c r="T26" s="30"/>
      <c r="U26" s="30"/>
      <c r="V26" s="30"/>
      <c r="W26" s="76">
        <f>W27*12</f>
        <v>1271624.7759139785</v>
      </c>
    </row>
    <row r="27" spans="1:24" ht="15.75" customHeight="1" x14ac:dyDescent="0.2">
      <c r="A27" s="7"/>
      <c r="B27" s="63" t="s">
        <v>77</v>
      </c>
      <c r="C27" s="77">
        <f t="shared" ref="C27:K27" si="10">SUM(C28,C32)</f>
        <v>4140.06164874552</v>
      </c>
      <c r="D27" s="77">
        <f t="shared" si="10"/>
        <v>4135.8458781362015</v>
      </c>
      <c r="E27" s="77">
        <f t="shared" si="10"/>
        <v>4719.0512544802859</v>
      </c>
      <c r="F27" s="77">
        <f t="shared" si="10"/>
        <v>5586.8175627240134</v>
      </c>
      <c r="G27" s="77">
        <f t="shared" si="10"/>
        <v>6278.080107526881</v>
      </c>
      <c r="H27" s="77">
        <f t="shared" si="10"/>
        <v>8405.6948028673833</v>
      </c>
      <c r="I27" s="77">
        <f t="shared" si="10"/>
        <v>10333.662903225804</v>
      </c>
      <c r="J27" s="77">
        <f t="shared" si="10"/>
        <v>11263.534050179214</v>
      </c>
      <c r="K27" s="77">
        <f t="shared" si="10"/>
        <v>16743.284408602154</v>
      </c>
      <c r="L27" s="77">
        <f t="shared" ref="L27:S27" si="11">SUM(L28,L32,L34)</f>
        <v>17223.997132616489</v>
      </c>
      <c r="M27" s="77">
        <f t="shared" si="11"/>
        <v>16778.067562724023</v>
      </c>
      <c r="N27" s="77">
        <f t="shared" si="11"/>
        <v>19485.280286738354</v>
      </c>
      <c r="O27" s="77">
        <f t="shared" si="11"/>
        <v>15567.678853046596</v>
      </c>
      <c r="P27" s="77">
        <f t="shared" si="11"/>
        <v>20247.312007168461</v>
      </c>
      <c r="Q27" s="77">
        <f t="shared" si="11"/>
        <v>33956.163269627854</v>
      </c>
      <c r="R27" s="77">
        <f t="shared" si="11"/>
        <v>39203.819175627243</v>
      </c>
      <c r="S27" s="77">
        <f t="shared" si="11"/>
        <v>40549.077130241028</v>
      </c>
      <c r="T27" s="77">
        <f t="shared" ref="T27:W27" si="12">SUM(T28,T32,T34,T38)</f>
        <v>61149.310224014334</v>
      </c>
      <c r="U27" s="77">
        <f t="shared" si="12"/>
        <v>73409.50980107527</v>
      </c>
      <c r="V27" s="77">
        <f t="shared" si="12"/>
        <v>84922.013906666776</v>
      </c>
      <c r="W27" s="77">
        <f t="shared" si="12"/>
        <v>105968.73132616488</v>
      </c>
      <c r="X27" s="7">
        <f>W27/O27</f>
        <v>6.8069705398262883</v>
      </c>
    </row>
    <row r="28" spans="1:24" ht="15.75" customHeight="1" x14ac:dyDescent="0.2">
      <c r="A28" s="7"/>
      <c r="B28" s="30" t="s">
        <v>25</v>
      </c>
      <c r="C28" s="79">
        <f t="shared" ref="C28:W28" si="13">SUM(C29:C30)</f>
        <v>4140.06164874552</v>
      </c>
      <c r="D28" s="79">
        <f t="shared" si="13"/>
        <v>4135.8458781362015</v>
      </c>
      <c r="E28" s="79">
        <f t="shared" si="13"/>
        <v>4719.0512544802859</v>
      </c>
      <c r="F28" s="79">
        <f t="shared" si="13"/>
        <v>5586.8175627240134</v>
      </c>
      <c r="G28" s="79">
        <f t="shared" si="13"/>
        <v>6278.080107526881</v>
      </c>
      <c r="H28" s="79">
        <f t="shared" si="13"/>
        <v>8405.6948028673833</v>
      </c>
      <c r="I28" s="79">
        <f t="shared" si="13"/>
        <v>10333.662903225804</v>
      </c>
      <c r="J28" s="79">
        <f t="shared" si="13"/>
        <v>10940.77419354839</v>
      </c>
      <c r="K28" s="79">
        <f t="shared" si="13"/>
        <v>15741.121863799286</v>
      </c>
      <c r="L28" s="79">
        <f t="shared" si="13"/>
        <v>16256.255197132617</v>
      </c>
      <c r="M28" s="79">
        <f t="shared" si="13"/>
        <v>15971.615949820796</v>
      </c>
      <c r="N28" s="79">
        <f t="shared" si="13"/>
        <v>18911.803584229394</v>
      </c>
      <c r="O28" s="79">
        <f t="shared" si="13"/>
        <v>14345.286021505377</v>
      </c>
      <c r="P28" s="79">
        <f t="shared" si="13"/>
        <v>15495.213799283156</v>
      </c>
      <c r="Q28" s="79">
        <f t="shared" si="13"/>
        <v>24455.567929126064</v>
      </c>
      <c r="R28" s="79">
        <f t="shared" si="13"/>
        <v>27267.621326164874</v>
      </c>
      <c r="S28" s="79">
        <f t="shared" si="13"/>
        <v>27699.079280778664</v>
      </c>
      <c r="T28" s="79">
        <f t="shared" si="13"/>
        <v>35182.690152329757</v>
      </c>
      <c r="U28" s="79">
        <f t="shared" si="13"/>
        <v>32463.167507168462</v>
      </c>
      <c r="V28" s="79">
        <f t="shared" si="13"/>
        <v>33910.575913835237</v>
      </c>
      <c r="W28" s="79">
        <f t="shared" si="13"/>
        <v>47148.562688172038</v>
      </c>
    </row>
    <row r="29" spans="1:24" ht="15.75" customHeight="1" x14ac:dyDescent="0.2">
      <c r="A29" s="7"/>
      <c r="B29" s="80" t="s">
        <v>79</v>
      </c>
      <c r="C29" s="79">
        <f t="shared" ref="C29:W29" si="14">C43/ForEx</f>
        <v>2380.5781362007169</v>
      </c>
      <c r="D29" s="79">
        <f t="shared" si="14"/>
        <v>2588.7736559139789</v>
      </c>
      <c r="E29" s="79">
        <f t="shared" si="14"/>
        <v>2744.3315412186371</v>
      </c>
      <c r="F29" s="79">
        <f t="shared" si="14"/>
        <v>3411.8666666666659</v>
      </c>
      <c r="G29" s="79">
        <f t="shared" si="14"/>
        <v>3983.1867383512536</v>
      </c>
      <c r="H29" s="79">
        <f t="shared" si="14"/>
        <v>5110.1625448028672</v>
      </c>
      <c r="I29" s="79">
        <f t="shared" si="14"/>
        <v>6305.7428315412162</v>
      </c>
      <c r="J29" s="79">
        <f t="shared" si="14"/>
        <v>6711.6912186379968</v>
      </c>
      <c r="K29" s="79">
        <f t="shared" si="14"/>
        <v>9407.4543010752714</v>
      </c>
      <c r="L29" s="79">
        <f t="shared" si="14"/>
        <v>9164.3491039426535</v>
      </c>
      <c r="M29" s="79">
        <f t="shared" si="14"/>
        <v>9394.0924731182859</v>
      </c>
      <c r="N29" s="79">
        <f t="shared" si="14"/>
        <v>11024.573476702511</v>
      </c>
      <c r="O29" s="79">
        <f t="shared" si="14"/>
        <v>7670.7964157706101</v>
      </c>
      <c r="P29" s="79">
        <f t="shared" si="14"/>
        <v>8432.2232974910403</v>
      </c>
      <c r="Q29" s="79">
        <f t="shared" si="14"/>
        <v>12787.589605734767</v>
      </c>
      <c r="R29" s="79">
        <f t="shared" si="14"/>
        <v>13363.043727598566</v>
      </c>
      <c r="S29" s="79">
        <f t="shared" si="14"/>
        <v>15447.844802867385</v>
      </c>
      <c r="T29" s="79">
        <f t="shared" si="14"/>
        <v>18015.858781362011</v>
      </c>
      <c r="U29" s="79">
        <f t="shared" si="14"/>
        <v>15243.879569892473</v>
      </c>
      <c r="V29" s="79">
        <f t="shared" si="14"/>
        <v>15413.82311827957</v>
      </c>
      <c r="W29" s="79">
        <f t="shared" si="14"/>
        <v>24756.700716845877</v>
      </c>
    </row>
    <row r="30" spans="1:24" ht="15.75" customHeight="1" x14ac:dyDescent="0.2">
      <c r="A30" s="7"/>
      <c r="B30" s="80" t="s">
        <v>81</v>
      </c>
      <c r="C30" s="79">
        <f t="shared" ref="C30:W30" si="15">C44/ForEx</f>
        <v>1759.4835125448028</v>
      </c>
      <c r="D30" s="79">
        <f t="shared" si="15"/>
        <v>1547.0722222222223</v>
      </c>
      <c r="E30" s="79">
        <f t="shared" si="15"/>
        <v>1974.7197132616488</v>
      </c>
      <c r="F30" s="79">
        <f t="shared" si="15"/>
        <v>2174.9508960573476</v>
      </c>
      <c r="G30" s="79">
        <f t="shared" si="15"/>
        <v>2294.8933691756274</v>
      </c>
      <c r="H30" s="79">
        <f t="shared" si="15"/>
        <v>3295.5322580645166</v>
      </c>
      <c r="I30" s="79">
        <f t="shared" si="15"/>
        <v>4027.920071684588</v>
      </c>
      <c r="J30" s="79">
        <f t="shared" si="15"/>
        <v>4229.0829749103941</v>
      </c>
      <c r="K30" s="79">
        <f t="shared" si="15"/>
        <v>6333.6675627240147</v>
      </c>
      <c r="L30" s="79">
        <f t="shared" si="15"/>
        <v>7091.9060931899639</v>
      </c>
      <c r="M30" s="79">
        <f t="shared" si="15"/>
        <v>6577.5234767025095</v>
      </c>
      <c r="N30" s="79">
        <f t="shared" si="15"/>
        <v>7887.2301075268824</v>
      </c>
      <c r="O30" s="79">
        <f t="shared" si="15"/>
        <v>6674.4896057347678</v>
      </c>
      <c r="P30" s="79">
        <f t="shared" si="15"/>
        <v>7062.9905017921146</v>
      </c>
      <c r="Q30" s="79">
        <f t="shared" si="15"/>
        <v>11667.978323391297</v>
      </c>
      <c r="R30" s="79">
        <f t="shared" si="15"/>
        <v>13904.577598566309</v>
      </c>
      <c r="S30" s="79">
        <f t="shared" si="15"/>
        <v>12251.234477911277</v>
      </c>
      <c r="T30" s="79">
        <f t="shared" si="15"/>
        <v>17166.831370967742</v>
      </c>
      <c r="U30" s="79">
        <f t="shared" si="15"/>
        <v>17219.287937275989</v>
      </c>
      <c r="V30" s="79">
        <f t="shared" si="15"/>
        <v>18496.752795555665</v>
      </c>
      <c r="W30" s="79">
        <f t="shared" si="15"/>
        <v>22391.861971326165</v>
      </c>
    </row>
    <row r="31" spans="1:24" ht="15.75" customHeight="1" x14ac:dyDescent="0.2">
      <c r="A31" s="7"/>
      <c r="B31" s="80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</row>
    <row r="32" spans="1:24" ht="15.75" customHeight="1" x14ac:dyDescent="0.2">
      <c r="A32" s="7"/>
      <c r="B32" s="30" t="s">
        <v>28</v>
      </c>
      <c r="C32" s="79">
        <f t="shared" ref="C32:W32" si="16">C49/ForEx</f>
        <v>0</v>
      </c>
      <c r="D32" s="79">
        <f t="shared" si="16"/>
        <v>0</v>
      </c>
      <c r="E32" s="79">
        <f t="shared" si="16"/>
        <v>0</v>
      </c>
      <c r="F32" s="79">
        <f t="shared" si="16"/>
        <v>0</v>
      </c>
      <c r="G32" s="79">
        <f t="shared" si="16"/>
        <v>0</v>
      </c>
      <c r="H32" s="79">
        <f t="shared" si="16"/>
        <v>0</v>
      </c>
      <c r="I32" s="79">
        <f t="shared" si="16"/>
        <v>0</v>
      </c>
      <c r="J32" s="79">
        <f t="shared" si="16"/>
        <v>322.7598566308244</v>
      </c>
      <c r="K32" s="79">
        <f t="shared" si="16"/>
        <v>1002.1625448028674</v>
      </c>
      <c r="L32" s="79">
        <f t="shared" si="16"/>
        <v>967.74193548387098</v>
      </c>
      <c r="M32" s="79">
        <f t="shared" si="16"/>
        <v>806.45161290322585</v>
      </c>
      <c r="N32" s="79">
        <f t="shared" si="16"/>
        <v>573.47670250896056</v>
      </c>
      <c r="O32" s="79">
        <f t="shared" si="16"/>
        <v>1159.6347670250898</v>
      </c>
      <c r="P32" s="79">
        <f t="shared" si="16"/>
        <v>1272.5998207885307</v>
      </c>
      <c r="Q32" s="79">
        <f t="shared" si="16"/>
        <v>1878.2313620071684</v>
      </c>
      <c r="R32" s="79">
        <f t="shared" si="16"/>
        <v>2475.1326164874554</v>
      </c>
      <c r="S32" s="79">
        <f t="shared" si="16"/>
        <v>2491.9342293906811</v>
      </c>
      <c r="T32" s="79">
        <f t="shared" si="16"/>
        <v>1520.9962365591398</v>
      </c>
      <c r="U32" s="79">
        <f t="shared" si="16"/>
        <v>1602.5356630824374</v>
      </c>
      <c r="V32" s="79">
        <f t="shared" si="16"/>
        <v>1938.6141577060932</v>
      </c>
      <c r="W32" s="79">
        <f t="shared" si="16"/>
        <v>2265.7060931899641</v>
      </c>
    </row>
    <row r="33" spans="1:25" ht="15.75" customHeight="1" x14ac:dyDescent="0.2">
      <c r="A33" s="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7">
        <f>X34/W7</f>
        <v>5.6866219718696041</v>
      </c>
    </row>
    <row r="34" spans="1:25" ht="15.75" customHeight="1" x14ac:dyDescent="0.2">
      <c r="A34" s="4"/>
      <c r="B34" s="84" t="s">
        <v>84</v>
      </c>
      <c r="C34" s="85">
        <f t="shared" ref="C34:W34" si="17">SUM(C35:C36)</f>
        <v>0</v>
      </c>
      <c r="D34" s="85">
        <f t="shared" si="17"/>
        <v>0</v>
      </c>
      <c r="E34" s="85">
        <f t="shared" si="17"/>
        <v>0</v>
      </c>
      <c r="F34" s="85">
        <f t="shared" si="17"/>
        <v>0</v>
      </c>
      <c r="G34" s="85">
        <f t="shared" si="17"/>
        <v>0</v>
      </c>
      <c r="H34" s="85">
        <f t="shared" si="17"/>
        <v>0</v>
      </c>
      <c r="I34" s="85">
        <f t="shared" si="17"/>
        <v>0</v>
      </c>
      <c r="J34" s="85">
        <f t="shared" si="17"/>
        <v>0</v>
      </c>
      <c r="K34" s="85">
        <f t="shared" si="17"/>
        <v>0</v>
      </c>
      <c r="L34" s="85">
        <f t="shared" si="17"/>
        <v>0</v>
      </c>
      <c r="M34" s="85">
        <f t="shared" si="17"/>
        <v>0</v>
      </c>
      <c r="N34" s="85">
        <f t="shared" si="17"/>
        <v>0</v>
      </c>
      <c r="O34" s="85">
        <f t="shared" si="17"/>
        <v>62.758064516129039</v>
      </c>
      <c r="P34" s="85">
        <f t="shared" si="17"/>
        <v>3479.4983870967744</v>
      </c>
      <c r="Q34" s="85">
        <f t="shared" si="17"/>
        <v>7622.3639784946245</v>
      </c>
      <c r="R34" s="85">
        <f t="shared" si="17"/>
        <v>9461.06523297491</v>
      </c>
      <c r="S34" s="85">
        <f t="shared" si="17"/>
        <v>10358.063620071685</v>
      </c>
      <c r="T34" s="85">
        <f t="shared" si="17"/>
        <v>12161.333333333336</v>
      </c>
      <c r="U34" s="85">
        <f t="shared" si="17"/>
        <v>12432.786917562724</v>
      </c>
      <c r="V34" s="85">
        <f t="shared" si="17"/>
        <v>14098.056272401434</v>
      </c>
      <c r="W34" s="85">
        <f t="shared" si="17"/>
        <v>16596.039068100359</v>
      </c>
      <c r="X34" s="86">
        <f>W34+W32+W28</f>
        <v>66010.307849462362</v>
      </c>
    </row>
    <row r="35" spans="1:25" ht="15.75" customHeight="1" x14ac:dyDescent="0.2">
      <c r="A35" s="7"/>
      <c r="B35" s="30" t="s">
        <v>85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8">
        <f t="shared" ref="O35:W35" si="18">O52/ForEx</f>
        <v>23.587992831541222</v>
      </c>
      <c r="P35" s="88">
        <f t="shared" si="18"/>
        <v>856.01218637992838</v>
      </c>
      <c r="Q35" s="88">
        <f t="shared" si="18"/>
        <v>2401.7299283154125</v>
      </c>
      <c r="R35" s="88">
        <f t="shared" si="18"/>
        <v>3943.9240143369175</v>
      </c>
      <c r="S35" s="88">
        <f t="shared" si="18"/>
        <v>4616.1650537634414</v>
      </c>
      <c r="T35" s="88">
        <f t="shared" si="18"/>
        <v>6108.4777777777781</v>
      </c>
      <c r="U35" s="88">
        <f t="shared" si="18"/>
        <v>7226.4523297491041</v>
      </c>
      <c r="V35" s="88">
        <f t="shared" si="18"/>
        <v>7978.7299283154125</v>
      </c>
      <c r="W35" s="88">
        <f t="shared" si="18"/>
        <v>8715.5026881720441</v>
      </c>
    </row>
    <row r="36" spans="1:25" ht="15.75" customHeight="1" x14ac:dyDescent="0.2">
      <c r="A36" s="7"/>
      <c r="B36" s="30" t="s">
        <v>88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8">
        <f t="shared" ref="O36:W36" si="19">O53/ForEx</f>
        <v>39.170071684587818</v>
      </c>
      <c r="P36" s="88">
        <f t="shared" si="19"/>
        <v>2623.4862007168458</v>
      </c>
      <c r="Q36" s="88">
        <f t="shared" si="19"/>
        <v>5220.634050179212</v>
      </c>
      <c r="R36" s="88">
        <f t="shared" si="19"/>
        <v>5517.141218637993</v>
      </c>
      <c r="S36" s="88">
        <f t="shared" si="19"/>
        <v>5741.898566308244</v>
      </c>
      <c r="T36" s="88">
        <f t="shared" si="19"/>
        <v>6052.8555555555567</v>
      </c>
      <c r="U36" s="88">
        <f t="shared" si="19"/>
        <v>5206.3345878136197</v>
      </c>
      <c r="V36" s="88">
        <f t="shared" si="19"/>
        <v>6119.326344086021</v>
      </c>
      <c r="W36" s="88">
        <f t="shared" si="19"/>
        <v>7880.5363799283159</v>
      </c>
    </row>
    <row r="37" spans="1:25" ht="15.75" customHeight="1" x14ac:dyDescent="0.2">
      <c r="A37" s="7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X37" s="7">
        <f>W38/W7</f>
        <v>3.4423176668420501</v>
      </c>
    </row>
    <row r="38" spans="1:25" ht="15.75" customHeight="1" x14ac:dyDescent="0.2">
      <c r="A38" s="4"/>
      <c r="B38" s="84" t="s">
        <v>90</v>
      </c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8">
        <f>T55/ForEx</f>
        <v>12284.290501792097</v>
      </c>
      <c r="U38" s="88">
        <f>U55/ForEx</f>
        <v>26911.019713261649</v>
      </c>
      <c r="V38" s="88">
        <f>V55/ForEx</f>
        <v>34974.76756272401</v>
      </c>
      <c r="W38" s="88">
        <f>W55/ForEx</f>
        <v>39958.423476702519</v>
      </c>
    </row>
    <row r="39" spans="1:25" ht="15.75" customHeight="1" x14ac:dyDescent="0.2">
      <c r="A39" s="7"/>
      <c r="B39" s="84"/>
      <c r="C39" s="85"/>
      <c r="D39" s="85"/>
      <c r="E39" s="85"/>
      <c r="F39" s="85"/>
      <c r="G39" s="85"/>
      <c r="H39" s="85"/>
      <c r="I39" s="85"/>
      <c r="J39" s="85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</row>
    <row r="40" spans="1:25" ht="15.75" customHeight="1" x14ac:dyDescent="0.2">
      <c r="A40" s="7"/>
      <c r="B40" s="63" t="s">
        <v>91</v>
      </c>
      <c r="C40" s="93">
        <f t="shared" ref="C40:S40" si="20">SUM(C42,C49,C51)</f>
        <v>231015.44</v>
      </c>
      <c r="D40" s="93">
        <f t="shared" si="20"/>
        <v>230780.2</v>
      </c>
      <c r="E40" s="93">
        <f t="shared" si="20"/>
        <v>263323.05999999994</v>
      </c>
      <c r="F40" s="93">
        <f t="shared" si="20"/>
        <v>311744.41999999993</v>
      </c>
      <c r="G40" s="93">
        <f t="shared" si="20"/>
        <v>350316.86999999994</v>
      </c>
      <c r="H40" s="93">
        <f t="shared" si="20"/>
        <v>469037.76999999996</v>
      </c>
      <c r="I40" s="93">
        <f t="shared" si="20"/>
        <v>576618.3899999999</v>
      </c>
      <c r="J40" s="93">
        <f t="shared" si="20"/>
        <v>628505.20000000019</v>
      </c>
      <c r="K40" s="93">
        <f t="shared" si="20"/>
        <v>934275.27000000014</v>
      </c>
      <c r="L40" s="93">
        <f t="shared" si="20"/>
        <v>961099.04</v>
      </c>
      <c r="M40" s="93">
        <f t="shared" si="20"/>
        <v>936216.17000000039</v>
      </c>
      <c r="N40" s="93">
        <f t="shared" si="20"/>
        <v>1087278.6400000001</v>
      </c>
      <c r="O40" s="93">
        <f t="shared" si="20"/>
        <v>868676.48</v>
      </c>
      <c r="P40" s="93">
        <f t="shared" si="20"/>
        <v>1129800.01</v>
      </c>
      <c r="Q40" s="93">
        <f t="shared" si="20"/>
        <v>1894753.9104452343</v>
      </c>
      <c r="R40" s="93">
        <f t="shared" si="20"/>
        <v>2187573.11</v>
      </c>
      <c r="S40" s="93">
        <f t="shared" si="20"/>
        <v>2262638.5038674492</v>
      </c>
      <c r="T40" s="93">
        <f t="shared" ref="T40:W40" si="21">SUM(T42,T49,T51,T55)</f>
        <v>3412131.5104999989</v>
      </c>
      <c r="U40" s="93">
        <f t="shared" si="21"/>
        <v>4096250.6469000001</v>
      </c>
      <c r="V40" s="93">
        <f t="shared" si="21"/>
        <v>4738648.3759920057</v>
      </c>
      <c r="W40" s="93">
        <f t="shared" si="21"/>
        <v>5913055.2080000006</v>
      </c>
      <c r="X40" s="95">
        <f>W40/W67</f>
        <v>2.8002835846424119E-2</v>
      </c>
      <c r="Y40" s="7">
        <f>W40/O40</f>
        <v>6.8069705398262892</v>
      </c>
    </row>
    <row r="41" spans="1:25" ht="15.75" customHeight="1" x14ac:dyDescent="0.2">
      <c r="A41" s="52"/>
      <c r="B41" s="53" t="s">
        <v>64</v>
      </c>
      <c r="C41" s="54">
        <f>C40/296-1</f>
        <v>779.45756756756759</v>
      </c>
      <c r="D41" s="54">
        <f t="shared" ref="D41:W41" si="22">D40/C40-1</f>
        <v>-1.0182869162337349E-3</v>
      </c>
      <c r="E41" s="54">
        <f t="shared" si="22"/>
        <v>0.14101235721262007</v>
      </c>
      <c r="F41" s="54">
        <f t="shared" si="22"/>
        <v>0.18388575615063862</v>
      </c>
      <c r="G41" s="54">
        <f t="shared" si="22"/>
        <v>0.1237310037498025</v>
      </c>
      <c r="H41" s="54">
        <f t="shared" si="22"/>
        <v>0.33889575457784837</v>
      </c>
      <c r="I41" s="54">
        <f t="shared" si="22"/>
        <v>0.22936451365100075</v>
      </c>
      <c r="J41" s="54">
        <f t="shared" si="22"/>
        <v>8.9984660392118831E-2</v>
      </c>
      <c r="K41" s="54">
        <f t="shared" si="22"/>
        <v>0.48650364388393275</v>
      </c>
      <c r="L41" s="54">
        <f t="shared" si="22"/>
        <v>2.8710778141435744E-2</v>
      </c>
      <c r="M41" s="54">
        <f t="shared" si="22"/>
        <v>-2.5890016496114332E-2</v>
      </c>
      <c r="N41" s="54">
        <f t="shared" si="22"/>
        <v>0.16135426287285726</v>
      </c>
      <c r="O41" s="54">
        <f t="shared" si="22"/>
        <v>-0.20105440496835303</v>
      </c>
      <c r="P41" s="54">
        <f t="shared" si="22"/>
        <v>0.30059928639946598</v>
      </c>
      <c r="Q41" s="54">
        <f t="shared" si="22"/>
        <v>0.6770701838153057</v>
      </c>
      <c r="R41" s="54">
        <f t="shared" si="22"/>
        <v>0.15454207427177602</v>
      </c>
      <c r="S41" s="54">
        <f t="shared" si="22"/>
        <v>3.4314461776982386E-2</v>
      </c>
      <c r="T41" s="54">
        <f t="shared" si="22"/>
        <v>0.50803210705897617</v>
      </c>
      <c r="U41" s="54">
        <f t="shared" si="22"/>
        <v>0.20049612223174629</v>
      </c>
      <c r="V41" s="54">
        <f t="shared" si="22"/>
        <v>0.15682578642451128</v>
      </c>
      <c r="W41" s="61">
        <f t="shared" si="22"/>
        <v>0.24783582549784366</v>
      </c>
    </row>
    <row r="42" spans="1:25" ht="15.75" customHeight="1" x14ac:dyDescent="0.2">
      <c r="A42" s="4"/>
      <c r="B42" s="84" t="s">
        <v>93</v>
      </c>
      <c r="C42" s="85">
        <f t="shared" ref="C42:W42" si="23">SUM(C43:C44)</f>
        <v>231015.44</v>
      </c>
      <c r="D42" s="85">
        <f t="shared" si="23"/>
        <v>230780.2</v>
      </c>
      <c r="E42" s="85">
        <f t="shared" si="23"/>
        <v>263323.05999999994</v>
      </c>
      <c r="F42" s="85">
        <f t="shared" si="23"/>
        <v>311744.41999999993</v>
      </c>
      <c r="G42" s="85">
        <f t="shared" si="23"/>
        <v>350316.86999999994</v>
      </c>
      <c r="H42" s="85">
        <f t="shared" si="23"/>
        <v>469037.76999999996</v>
      </c>
      <c r="I42" s="85">
        <f t="shared" si="23"/>
        <v>576618.3899999999</v>
      </c>
      <c r="J42" s="85">
        <f t="shared" si="23"/>
        <v>610495.20000000019</v>
      </c>
      <c r="K42" s="85">
        <f t="shared" si="23"/>
        <v>878354.60000000009</v>
      </c>
      <c r="L42" s="85">
        <f t="shared" si="23"/>
        <v>907099.04</v>
      </c>
      <c r="M42" s="85">
        <f t="shared" si="23"/>
        <v>891216.17000000039</v>
      </c>
      <c r="N42" s="85">
        <f t="shared" si="23"/>
        <v>1055278.6400000001</v>
      </c>
      <c r="O42" s="85">
        <f t="shared" si="23"/>
        <v>800466.96</v>
      </c>
      <c r="P42" s="85">
        <f t="shared" si="23"/>
        <v>864632.92999999993</v>
      </c>
      <c r="Q42" s="85">
        <f t="shared" si="23"/>
        <v>1364620.6904452343</v>
      </c>
      <c r="R42" s="85">
        <f t="shared" si="23"/>
        <v>1521533.27</v>
      </c>
      <c r="S42" s="85">
        <f t="shared" si="23"/>
        <v>1545608.6238674494</v>
      </c>
      <c r="T42" s="85">
        <f t="shared" si="23"/>
        <v>1963194.1105</v>
      </c>
      <c r="U42" s="85">
        <f t="shared" si="23"/>
        <v>1811444.7469000001</v>
      </c>
      <c r="V42" s="85">
        <f t="shared" si="23"/>
        <v>1892210.1359920059</v>
      </c>
      <c r="W42" s="85">
        <f t="shared" si="23"/>
        <v>2630889.798</v>
      </c>
      <c r="X42" s="95">
        <f>W42/$W$40</f>
        <v>0.44492900970052973</v>
      </c>
      <c r="Y42" s="95">
        <f>W42/W67</f>
        <v>1.2459274021955976E-2</v>
      </c>
    </row>
    <row r="43" spans="1:25" ht="15.75" customHeight="1" x14ac:dyDescent="0.2">
      <c r="A43" s="7"/>
      <c r="B43" s="80" t="s">
        <v>79</v>
      </c>
      <c r="C43" s="87">
        <v>132836.26</v>
      </c>
      <c r="D43" s="87">
        <v>144453.57</v>
      </c>
      <c r="E43" s="87">
        <v>153133.69999999995</v>
      </c>
      <c r="F43" s="87">
        <v>190382.15999999995</v>
      </c>
      <c r="G43" s="87">
        <v>222261.81999999995</v>
      </c>
      <c r="H43" s="87">
        <v>285147.06999999995</v>
      </c>
      <c r="I43" s="87">
        <v>351860.44999999984</v>
      </c>
      <c r="J43" s="87">
        <v>374512.37000000023</v>
      </c>
      <c r="K43" s="87">
        <v>524935.95000000007</v>
      </c>
      <c r="L43" s="87">
        <v>511370.68</v>
      </c>
      <c r="M43" s="87">
        <v>524190.36000000034</v>
      </c>
      <c r="N43" s="87">
        <f>570005.93+45165.27</f>
        <v>615171.20000000007</v>
      </c>
      <c r="O43" s="87">
        <f>473195.71-45165.27</f>
        <v>428030.44</v>
      </c>
      <c r="P43" s="87">
        <v>470518.06</v>
      </c>
      <c r="Q43" s="87">
        <v>713547.5</v>
      </c>
      <c r="R43" s="87">
        <v>745657.84</v>
      </c>
      <c r="S43" s="87">
        <v>861989.74</v>
      </c>
      <c r="T43" s="87">
        <v>1005284.92</v>
      </c>
      <c r="U43" s="87">
        <v>850608.48</v>
      </c>
      <c r="V43" s="87">
        <v>860091.33</v>
      </c>
      <c r="W43" s="87">
        <v>1381423.9</v>
      </c>
    </row>
    <row r="44" spans="1:25" ht="15.75" customHeight="1" x14ac:dyDescent="0.2">
      <c r="A44" s="7"/>
      <c r="B44" s="80" t="s">
        <v>81</v>
      </c>
      <c r="C44" s="87">
        <v>98179.18</v>
      </c>
      <c r="D44" s="87">
        <v>86326.63</v>
      </c>
      <c r="E44" s="87">
        <v>110189.36</v>
      </c>
      <c r="F44" s="87">
        <v>121362.26</v>
      </c>
      <c r="G44" s="87">
        <v>128055.05</v>
      </c>
      <c r="H44" s="87">
        <v>183890.7</v>
      </c>
      <c r="I44" s="87">
        <v>224757.94</v>
      </c>
      <c r="J44" s="87">
        <v>235982.83</v>
      </c>
      <c r="K44" s="87">
        <v>353418.65</v>
      </c>
      <c r="L44" s="87">
        <v>395728.36</v>
      </c>
      <c r="M44" s="87">
        <v>367025.81</v>
      </c>
      <c r="N44" s="87">
        <v>440107.44</v>
      </c>
      <c r="O44" s="87">
        <v>372436.52</v>
      </c>
      <c r="P44" s="87">
        <v>394114.87</v>
      </c>
      <c r="Q44" s="87">
        <v>651073.1904452343</v>
      </c>
      <c r="R44" s="87">
        <v>775875.43</v>
      </c>
      <c r="S44" s="87">
        <v>683618.88386744924</v>
      </c>
      <c r="T44" s="87">
        <v>957909.19050000003</v>
      </c>
      <c r="U44" s="87">
        <v>960836.26690000005</v>
      </c>
      <c r="V44" s="87">
        <v>1032118.8059920061</v>
      </c>
      <c r="W44" s="87">
        <v>1249465.898</v>
      </c>
    </row>
    <row r="45" spans="1:25" ht="15.75" customHeight="1" x14ac:dyDescent="0.2">
      <c r="A45" s="7"/>
      <c r="B45" s="80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95"/>
    </row>
    <row r="46" spans="1:25" ht="15.75" customHeight="1" x14ac:dyDescent="0.2">
      <c r="A46" s="13"/>
      <c r="B46" s="103" t="s">
        <v>81</v>
      </c>
      <c r="C46" s="104">
        <v>1671.15</v>
      </c>
      <c r="D46" s="104">
        <v>1483.93</v>
      </c>
      <c r="E46" s="104">
        <v>1917.09</v>
      </c>
      <c r="F46" s="104">
        <v>2126.46</v>
      </c>
      <c r="G46" s="104">
        <v>2297.8000000000002</v>
      </c>
      <c r="H46" s="104">
        <v>3261.93</v>
      </c>
      <c r="I46" s="104">
        <v>3954.72</v>
      </c>
      <c r="J46" s="104">
        <v>4120.67</v>
      </c>
      <c r="K46" s="104">
        <v>6171.23</v>
      </c>
      <c r="L46" s="104">
        <v>6784.49</v>
      </c>
      <c r="M46" s="104">
        <v>6224.82</v>
      </c>
      <c r="N46" s="104">
        <v>7472.84</v>
      </c>
      <c r="O46" s="104">
        <v>6294.13</v>
      </c>
      <c r="P46" s="104">
        <v>6657.78</v>
      </c>
      <c r="Q46" s="104">
        <v>10960.97</v>
      </c>
      <c r="R46" s="104">
        <v>12872.83</v>
      </c>
      <c r="S46" s="104">
        <v>11128.97</v>
      </c>
      <c r="T46" s="104">
        <v>15636.11</v>
      </c>
      <c r="U46" s="104">
        <v>15596.98</v>
      </c>
      <c r="V46" s="104">
        <v>16792.13</v>
      </c>
      <c r="W46" s="104">
        <v>19940.25</v>
      </c>
      <c r="X46" s="95"/>
    </row>
    <row r="47" spans="1:25" ht="15.75" customHeight="1" x14ac:dyDescent="0.2">
      <c r="A47" s="105"/>
      <c r="B47" s="106" t="s">
        <v>94</v>
      </c>
      <c r="C47" s="107">
        <f t="shared" ref="C47:T47" si="24">C44/C46</f>
        <v>58.749471920533757</v>
      </c>
      <c r="D47" s="107">
        <f t="shared" si="24"/>
        <v>58.1743276300095</v>
      </c>
      <c r="E47" s="107">
        <f t="shared" si="24"/>
        <v>57.477405859923117</v>
      </c>
      <c r="F47" s="107">
        <f t="shared" si="24"/>
        <v>57.072439641469856</v>
      </c>
      <c r="G47" s="107">
        <f t="shared" si="24"/>
        <v>55.729415092697359</v>
      </c>
      <c r="H47" s="107">
        <f t="shared" si="24"/>
        <v>56.374814910191212</v>
      </c>
      <c r="I47" s="107">
        <f t="shared" si="24"/>
        <v>56.832832665776593</v>
      </c>
      <c r="J47" s="107">
        <f t="shared" si="24"/>
        <v>57.268072910473293</v>
      </c>
      <c r="K47" s="107">
        <f t="shared" si="24"/>
        <v>57.26875355480189</v>
      </c>
      <c r="L47" s="107">
        <f t="shared" si="24"/>
        <v>58.328387247972948</v>
      </c>
      <c r="M47" s="107">
        <f t="shared" si="24"/>
        <v>58.961674393797736</v>
      </c>
      <c r="N47" s="107">
        <f t="shared" si="24"/>
        <v>58.894267775035999</v>
      </c>
      <c r="O47" s="107">
        <f t="shared" si="24"/>
        <v>59.172041251133997</v>
      </c>
      <c r="P47" s="107">
        <f t="shared" si="24"/>
        <v>59.196138953224647</v>
      </c>
      <c r="Q47" s="107">
        <f t="shared" si="24"/>
        <v>59.399231130569135</v>
      </c>
      <c r="R47" s="107">
        <f t="shared" si="24"/>
        <v>60.272327840886582</v>
      </c>
      <c r="S47" s="107">
        <f t="shared" si="24"/>
        <v>61.426967982432274</v>
      </c>
      <c r="T47" s="107">
        <f t="shared" si="24"/>
        <v>61.26262801297765</v>
      </c>
      <c r="U47" s="107" t="s">
        <v>95</v>
      </c>
      <c r="V47" s="107">
        <f t="shared" ref="V47:W47" si="25">V44/V46</f>
        <v>61.464436375373822</v>
      </c>
      <c r="W47" s="107">
        <f t="shared" si="25"/>
        <v>62.660493123205576</v>
      </c>
    </row>
    <row r="48" spans="1:25" ht="15.75" customHeight="1" x14ac:dyDescent="0.2">
      <c r="A48" s="7"/>
      <c r="B48" s="80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</row>
    <row r="49" spans="1:24" ht="15.75" customHeight="1" x14ac:dyDescent="0.2">
      <c r="A49" s="4"/>
      <c r="B49" s="84" t="s">
        <v>96</v>
      </c>
      <c r="C49" s="108">
        <v>0</v>
      </c>
      <c r="D49" s="108">
        <v>0</v>
      </c>
      <c r="E49" s="108">
        <v>0</v>
      </c>
      <c r="F49" s="108">
        <v>0</v>
      </c>
      <c r="G49" s="108">
        <v>0</v>
      </c>
      <c r="H49" s="108">
        <v>0</v>
      </c>
      <c r="I49" s="108">
        <v>0</v>
      </c>
      <c r="J49" s="108">
        <v>18010</v>
      </c>
      <c r="K49" s="108">
        <v>55920.67</v>
      </c>
      <c r="L49" s="108">
        <v>54000</v>
      </c>
      <c r="M49" s="108">
        <v>45000</v>
      </c>
      <c r="N49" s="108">
        <v>32000</v>
      </c>
      <c r="O49" s="108">
        <v>64707.62</v>
      </c>
      <c r="P49" s="108">
        <v>71011.070000000007</v>
      </c>
      <c r="Q49" s="108">
        <v>104805.31</v>
      </c>
      <c r="R49" s="108">
        <v>138112.4</v>
      </c>
      <c r="S49" s="108">
        <v>139049.93</v>
      </c>
      <c r="T49" s="108">
        <v>84871.59</v>
      </c>
      <c r="U49" s="108">
        <v>89421.49</v>
      </c>
      <c r="V49" s="108">
        <v>108174.67</v>
      </c>
      <c r="W49" s="108">
        <v>126426.4</v>
      </c>
    </row>
    <row r="50" spans="1:24" ht="15.75" customHeight="1" x14ac:dyDescent="0.2">
      <c r="A50" s="7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4" ht="15.75" customHeight="1" x14ac:dyDescent="0.2">
      <c r="A51" s="4"/>
      <c r="B51" s="84" t="s">
        <v>84</v>
      </c>
      <c r="C51" s="85">
        <f t="shared" ref="C51:W51" si="26">SUM(C52:C53)</f>
        <v>0</v>
      </c>
      <c r="D51" s="85">
        <f t="shared" si="26"/>
        <v>0</v>
      </c>
      <c r="E51" s="85">
        <f t="shared" si="26"/>
        <v>0</v>
      </c>
      <c r="F51" s="85">
        <f t="shared" si="26"/>
        <v>0</v>
      </c>
      <c r="G51" s="85">
        <f t="shared" si="26"/>
        <v>0</v>
      </c>
      <c r="H51" s="85">
        <f t="shared" si="26"/>
        <v>0</v>
      </c>
      <c r="I51" s="85">
        <f t="shared" si="26"/>
        <v>0</v>
      </c>
      <c r="J51" s="85">
        <f t="shared" si="26"/>
        <v>0</v>
      </c>
      <c r="K51" s="85">
        <f t="shared" si="26"/>
        <v>0</v>
      </c>
      <c r="L51" s="85">
        <f t="shared" si="26"/>
        <v>0</v>
      </c>
      <c r="M51" s="85">
        <f t="shared" si="26"/>
        <v>0</v>
      </c>
      <c r="N51" s="85">
        <f t="shared" si="26"/>
        <v>0</v>
      </c>
      <c r="O51" s="85">
        <f t="shared" si="26"/>
        <v>3501.9</v>
      </c>
      <c r="P51" s="85">
        <f t="shared" si="26"/>
        <v>194156.01</v>
      </c>
      <c r="Q51" s="85">
        <f t="shared" si="26"/>
        <v>425327.91000000003</v>
      </c>
      <c r="R51" s="85">
        <f t="shared" si="26"/>
        <v>527927.43999999994</v>
      </c>
      <c r="S51" s="85">
        <f t="shared" si="26"/>
        <v>577979.94999999995</v>
      </c>
      <c r="T51" s="85">
        <f t="shared" si="26"/>
        <v>678602.4</v>
      </c>
      <c r="U51" s="85">
        <f t="shared" si="26"/>
        <v>693749.51</v>
      </c>
      <c r="V51" s="85">
        <f t="shared" si="26"/>
        <v>786671.54</v>
      </c>
      <c r="W51" s="85">
        <f t="shared" si="26"/>
        <v>926058.98</v>
      </c>
    </row>
    <row r="52" spans="1:24" ht="15.75" customHeight="1" x14ac:dyDescent="0.2">
      <c r="A52" s="7"/>
      <c r="B52" s="30" t="s">
        <v>85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>
        <v>1316.21</v>
      </c>
      <c r="P52" s="87">
        <v>47765.48</v>
      </c>
      <c r="Q52" s="87">
        <v>134016.53</v>
      </c>
      <c r="R52" s="87">
        <v>220070.96</v>
      </c>
      <c r="S52" s="87">
        <v>257582.01</v>
      </c>
      <c r="T52" s="87">
        <v>340853.06</v>
      </c>
      <c r="U52" s="87">
        <v>403236.04</v>
      </c>
      <c r="V52" s="87">
        <v>445213.13</v>
      </c>
      <c r="W52" s="87">
        <f>473476.04+ 12849.01</f>
        <v>486325.05</v>
      </c>
    </row>
    <row r="53" spans="1:24" ht="15.75" customHeight="1" x14ac:dyDescent="0.2">
      <c r="A53" s="7"/>
      <c r="B53" s="30" t="s">
        <v>88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>
        <v>2185.69</v>
      </c>
      <c r="P53" s="87">
        <v>146390.53</v>
      </c>
      <c r="Q53" s="87">
        <v>291311.38</v>
      </c>
      <c r="R53" s="87">
        <v>307856.48</v>
      </c>
      <c r="S53" s="87">
        <v>320397.94</v>
      </c>
      <c r="T53" s="87">
        <v>337749.34</v>
      </c>
      <c r="U53" s="87">
        <v>290513.46999999997</v>
      </c>
      <c r="V53" s="87">
        <v>341458.41</v>
      </c>
      <c r="W53" s="87">
        <v>439733.93</v>
      </c>
    </row>
    <row r="54" spans="1:24" ht="15.75" customHeight="1" x14ac:dyDescent="0.2">
      <c r="A54" s="7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4" ht="15.75" customHeight="1" x14ac:dyDescent="0.2">
      <c r="A55" s="4"/>
      <c r="B55" s="84" t="s">
        <v>90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7">
        <v>685463.40999999898</v>
      </c>
      <c r="U55" s="87">
        <f>514130.54+1011603.98-24099.62</f>
        <v>1501634.9</v>
      </c>
      <c r="V55" s="87">
        <f>741444.8-7240.66+1217387.89</f>
        <v>1951592.0299999998</v>
      </c>
      <c r="W55" s="87">
        <f>859028.91+ 1376926.69 -4827.53-1448.04</f>
        <v>2229680.0300000003</v>
      </c>
      <c r="X55" s="109"/>
    </row>
    <row r="56" spans="1:24" ht="15.75" customHeight="1" x14ac:dyDescent="0.2">
      <c r="A56" s="7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4" ht="15.75" customHeight="1" x14ac:dyDescent="0.2">
      <c r="A57" s="4"/>
      <c r="B57" s="84" t="s">
        <v>97</v>
      </c>
      <c r="C57" s="92">
        <f t="shared" ref="C57:W57" si="27">C42/C127</f>
        <v>1.6235018326180139E-2</v>
      </c>
      <c r="D57" s="92">
        <f t="shared" si="27"/>
        <v>1.676083102492934E-2</v>
      </c>
      <c r="E57" s="92">
        <f t="shared" si="27"/>
        <v>1.514952884701593E-2</v>
      </c>
      <c r="F57" s="92">
        <f t="shared" si="27"/>
        <v>1.4876151427154538E-2</v>
      </c>
      <c r="G57" s="92">
        <f t="shared" si="27"/>
        <v>1.50745101694528E-2</v>
      </c>
      <c r="H57" s="92">
        <f t="shared" si="27"/>
        <v>1.4941220476582553E-2</v>
      </c>
      <c r="I57" s="92">
        <f t="shared" si="27"/>
        <v>1.4932899422398754E-2</v>
      </c>
      <c r="J57" s="92">
        <f t="shared" si="27"/>
        <v>1.5095442102207732E-2</v>
      </c>
      <c r="K57" s="92">
        <f t="shared" si="27"/>
        <v>1.5236882790847296E-2</v>
      </c>
      <c r="L57" s="92">
        <f t="shared" si="27"/>
        <v>1.5450046025509291E-2</v>
      </c>
      <c r="M57" s="92">
        <f t="shared" si="27"/>
        <v>1.4775922635647153E-2</v>
      </c>
      <c r="N57" s="92">
        <f t="shared" si="27"/>
        <v>1.5163555525831917E-2</v>
      </c>
      <c r="O57" s="92">
        <f t="shared" si="27"/>
        <v>1.3414528087960934E-2</v>
      </c>
      <c r="P57" s="92">
        <f t="shared" si="27"/>
        <v>1.4257804798012785E-2</v>
      </c>
      <c r="Q57" s="92">
        <f t="shared" si="27"/>
        <v>1.4312516671849284E-2</v>
      </c>
      <c r="R57" s="92">
        <f t="shared" si="27"/>
        <v>1.4361239209595778E-2</v>
      </c>
      <c r="S57" s="92">
        <f t="shared" si="27"/>
        <v>1.4000047151303771E-2</v>
      </c>
      <c r="T57" s="92">
        <f t="shared" si="27"/>
        <v>1.4314630224569034E-2</v>
      </c>
      <c r="U57" s="92">
        <f t="shared" si="27"/>
        <v>1.4235360560604446E-2</v>
      </c>
      <c r="V57" s="92">
        <f t="shared" si="27"/>
        <v>1.4512049622447712E-2</v>
      </c>
      <c r="W57" s="92">
        <f t="shared" si="27"/>
        <v>1.3784324252567585E-2</v>
      </c>
    </row>
    <row r="58" spans="1:24" ht="15.75" customHeight="1" x14ac:dyDescent="0.2">
      <c r="A58" s="7"/>
      <c r="B58" s="80" t="s">
        <v>98</v>
      </c>
      <c r="C58" s="110">
        <f t="shared" ref="C58:W58" si="28">C30/C123</f>
        <v>1.904742200329447E-2</v>
      </c>
      <c r="D58" s="110">
        <f t="shared" si="28"/>
        <v>1.8116002841072835E-2</v>
      </c>
      <c r="E58" s="110">
        <f t="shared" si="28"/>
        <v>1.5243768665260301E-2</v>
      </c>
      <c r="F58" s="110">
        <f t="shared" si="28"/>
        <v>1.4858216256877015E-2</v>
      </c>
      <c r="G58" s="110">
        <f t="shared" si="28"/>
        <v>1.528122671785701E-2</v>
      </c>
      <c r="H58" s="110">
        <f t="shared" si="28"/>
        <v>1.6966986639971361E-2</v>
      </c>
      <c r="I58" s="110">
        <f t="shared" si="28"/>
        <v>1.7948978666736903E-2</v>
      </c>
      <c r="J58" s="110">
        <f t="shared" si="28"/>
        <v>1.7969201312122787E-2</v>
      </c>
      <c r="K58" s="110">
        <f t="shared" si="28"/>
        <v>1.7342073941963691E-2</v>
      </c>
      <c r="L58" s="110">
        <f t="shared" si="28"/>
        <v>1.812357279942289E-2</v>
      </c>
      <c r="M58" s="110">
        <f t="shared" si="28"/>
        <v>1.8001957305127173E-2</v>
      </c>
      <c r="N58" s="110">
        <f t="shared" si="28"/>
        <v>1.8250185475726325E-2</v>
      </c>
      <c r="O58" s="110">
        <f t="shared" si="28"/>
        <v>1.8365692183461093E-2</v>
      </c>
      <c r="P58" s="110">
        <f t="shared" si="28"/>
        <v>1.8289032199957613E-2</v>
      </c>
      <c r="Q58" s="110">
        <f t="shared" si="28"/>
        <v>1.8202970240071691E-2</v>
      </c>
      <c r="R58" s="110">
        <f t="shared" si="28"/>
        <v>1.8525803782590163E-2</v>
      </c>
      <c r="S58" s="110">
        <f t="shared" si="28"/>
        <v>1.8384366510521756E-2</v>
      </c>
      <c r="T58" s="110">
        <f t="shared" si="28"/>
        <v>1.8312118312367252E-2</v>
      </c>
      <c r="U58" s="110">
        <f t="shared" si="28"/>
        <v>1.8367272792827839E-2</v>
      </c>
      <c r="V58" s="110">
        <f t="shared" si="28"/>
        <v>1.873754182528653E-2</v>
      </c>
      <c r="W58" s="110">
        <f t="shared" si="28"/>
        <v>1.8726427150233659E-2</v>
      </c>
    </row>
    <row r="59" spans="1:24" ht="15.75" customHeight="1" x14ac:dyDescent="0.2">
      <c r="A59" s="7"/>
      <c r="B59" s="80" t="s">
        <v>99</v>
      </c>
      <c r="C59" s="110">
        <f t="shared" ref="C59:W59" si="29">C43/C128</f>
        <v>1.4637615166159024E-2</v>
      </c>
      <c r="D59" s="110">
        <f t="shared" si="29"/>
        <v>1.6043613836739957E-2</v>
      </c>
      <c r="E59" s="110">
        <f t="shared" si="29"/>
        <v>1.5082435039491429E-2</v>
      </c>
      <c r="F59" s="110">
        <f t="shared" si="29"/>
        <v>1.4887607114015282E-2</v>
      </c>
      <c r="G59" s="110">
        <f t="shared" si="29"/>
        <v>1.4957931149667035E-2</v>
      </c>
      <c r="H59" s="110">
        <f t="shared" si="29"/>
        <v>1.3873034404842477E-2</v>
      </c>
      <c r="I59" s="110">
        <f t="shared" si="29"/>
        <v>1.3485420980269105E-2</v>
      </c>
      <c r="J59" s="110">
        <f t="shared" si="29"/>
        <v>1.3713516469120342E-2</v>
      </c>
      <c r="K59" s="110">
        <f t="shared" si="29"/>
        <v>1.4085680897734003E-2</v>
      </c>
      <c r="L59" s="110">
        <f t="shared" si="29"/>
        <v>1.3867029292322339E-2</v>
      </c>
      <c r="M59" s="110">
        <f t="shared" si="29"/>
        <v>1.3128611359794391E-2</v>
      </c>
      <c r="N59" s="110">
        <f t="shared" si="29"/>
        <v>1.3526829411994892E-2</v>
      </c>
      <c r="O59" s="110">
        <f t="shared" si="29"/>
        <v>1.0865724770300166E-2</v>
      </c>
      <c r="P59" s="110">
        <f t="shared" si="29"/>
        <v>1.2035700374526259E-2</v>
      </c>
      <c r="Q59" s="110">
        <f t="shared" si="29"/>
        <v>1.1976865086423193E-2</v>
      </c>
      <c r="R59" s="110">
        <f t="shared" si="29"/>
        <v>1.1638825576943191E-2</v>
      </c>
      <c r="S59" s="110">
        <f t="shared" si="29"/>
        <v>1.1773331168886713E-2</v>
      </c>
      <c r="T59" s="110">
        <f t="shared" si="29"/>
        <v>1.1849763473717322E-2</v>
      </c>
      <c r="U59" s="110">
        <f t="shared" si="29"/>
        <v>1.1350943514987414E-2</v>
      </c>
      <c r="V59" s="110">
        <f t="shared" si="29"/>
        <v>1.1421291457741262E-2</v>
      </c>
      <c r="W59" s="110">
        <f t="shared" si="29"/>
        <v>1.1916164396159954E-2</v>
      </c>
    </row>
    <row r="60" spans="1:24" ht="15.75" customHeight="1" x14ac:dyDescent="0.2">
      <c r="A60" s="7"/>
      <c r="B60" s="30"/>
      <c r="C60" s="11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spans="1:24" ht="15.75" customHeight="1" x14ac:dyDescent="0.2">
      <c r="A61" s="7"/>
      <c r="B61" s="63" t="s">
        <v>100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spans="1:24" ht="15.75" customHeight="1" x14ac:dyDescent="0.2">
      <c r="A62" s="7"/>
      <c r="B62" s="30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>
        <f>Q65/55.8</f>
        <v>1659628.8700716845</v>
      </c>
      <c r="R62" s="44"/>
      <c r="S62" s="44"/>
      <c r="T62" s="44"/>
      <c r="U62" s="44"/>
      <c r="V62" s="44"/>
      <c r="W62" s="44"/>
    </row>
    <row r="63" spans="1:24" ht="15.75" customHeight="1" x14ac:dyDescent="0.2">
      <c r="A63" s="7"/>
      <c r="B63" s="30" t="s">
        <v>101</v>
      </c>
      <c r="C63" s="112">
        <v>7536921.5999999996</v>
      </c>
      <c r="D63" s="112">
        <v>8266373.4699999997</v>
      </c>
      <c r="E63" s="112">
        <v>12309942.68</v>
      </c>
      <c r="F63" s="112">
        <v>14273934.75</v>
      </c>
      <c r="G63" s="112">
        <v>16971799.73</v>
      </c>
      <c r="H63" s="112">
        <v>24868851.449999999</v>
      </c>
      <c r="I63" s="112">
        <v>27338344.539999999</v>
      </c>
      <c r="J63" s="112">
        <v>32652518.960000001</v>
      </c>
      <c r="K63" s="112">
        <v>45714493.869999997</v>
      </c>
      <c r="L63" s="112">
        <v>48254788.799999997</v>
      </c>
      <c r="M63" s="112">
        <f>Daily!LX27</f>
        <v>53453370.890000001</v>
      </c>
      <c r="N63" s="112">
        <f>Daily!NC27</f>
        <v>62581043.140000001</v>
      </c>
      <c r="O63" s="112">
        <f>Daily!OH27</f>
        <v>59169325.140000001</v>
      </c>
      <c r="P63" s="112">
        <f>Daily!OI27</f>
        <v>57194020.149999999</v>
      </c>
      <c r="Q63" s="112">
        <f>Daily!QO27</f>
        <v>76890494.879999995</v>
      </c>
      <c r="R63" s="112">
        <f>Daily!RS27</f>
        <v>92395050.269999996</v>
      </c>
      <c r="S63" s="112">
        <f>Daily!SX27</f>
        <v>98705221.590000004</v>
      </c>
      <c r="T63" s="112">
        <f>Daily!UB27</f>
        <v>126905362.90000001</v>
      </c>
      <c r="U63" s="112">
        <f>Daily!VH27</f>
        <v>135674397</v>
      </c>
      <c r="V63" s="112">
        <f>Daily!WM27</f>
        <v>159481723.11000001</v>
      </c>
      <c r="W63" s="112">
        <f>Daily!XQ27</f>
        <v>199123576.03</v>
      </c>
    </row>
    <row r="64" spans="1:24" ht="15.75" customHeight="1" x14ac:dyDescent="0.2">
      <c r="A64" s="7"/>
      <c r="B64" s="30" t="s">
        <v>102</v>
      </c>
      <c r="C64" s="112">
        <v>0</v>
      </c>
      <c r="D64" s="112">
        <v>0</v>
      </c>
      <c r="E64" s="112">
        <v>0</v>
      </c>
      <c r="F64" s="112">
        <v>0</v>
      </c>
      <c r="G64" s="112">
        <v>0</v>
      </c>
      <c r="H64" s="112">
        <v>0</v>
      </c>
      <c r="I64" s="112">
        <v>0</v>
      </c>
      <c r="J64" s="112">
        <v>0</v>
      </c>
      <c r="K64" s="112">
        <v>0</v>
      </c>
      <c r="L64" s="112">
        <v>0</v>
      </c>
      <c r="M64" s="112">
        <v>0</v>
      </c>
      <c r="N64" s="112">
        <v>0</v>
      </c>
      <c r="O64" s="112">
        <v>3501.9</v>
      </c>
      <c r="P64" s="112">
        <v>6207404.0800000001</v>
      </c>
      <c r="Q64" s="112">
        <v>15716796.07</v>
      </c>
      <c r="R64" s="112">
        <v>25451026.219999999</v>
      </c>
      <c r="S64" s="112">
        <v>35805433</v>
      </c>
      <c r="T64" s="112">
        <f>Daily!UB28</f>
        <v>26476445.449999999</v>
      </c>
      <c r="U64" s="112">
        <f>Daily!VH28</f>
        <v>28153016.579999998</v>
      </c>
      <c r="V64" s="112">
        <f>Daily!WM28</f>
        <v>29941463.149999999</v>
      </c>
      <c r="W64" s="112">
        <f>Daily!XQ28</f>
        <v>33771551.5</v>
      </c>
    </row>
    <row r="65" spans="1:27" ht="15.75" customHeight="1" x14ac:dyDescent="0.2">
      <c r="A65" s="4"/>
      <c r="B65" s="63" t="s">
        <v>103</v>
      </c>
      <c r="C65" s="93">
        <f t="shared" ref="C65:W65" si="30">SUM(C63:C64)</f>
        <v>7536921.5999999996</v>
      </c>
      <c r="D65" s="93">
        <f t="shared" si="30"/>
        <v>8266373.4699999997</v>
      </c>
      <c r="E65" s="93">
        <f t="shared" si="30"/>
        <v>12309942.68</v>
      </c>
      <c r="F65" s="93">
        <f t="shared" si="30"/>
        <v>14273934.75</v>
      </c>
      <c r="G65" s="93">
        <f t="shared" si="30"/>
        <v>16971799.73</v>
      </c>
      <c r="H65" s="93">
        <f t="shared" si="30"/>
        <v>24868851.449999999</v>
      </c>
      <c r="I65" s="93">
        <f t="shared" si="30"/>
        <v>27338344.539999999</v>
      </c>
      <c r="J65" s="93">
        <f t="shared" si="30"/>
        <v>32652518.960000001</v>
      </c>
      <c r="K65" s="93">
        <f t="shared" si="30"/>
        <v>45714493.869999997</v>
      </c>
      <c r="L65" s="93">
        <f t="shared" si="30"/>
        <v>48254788.799999997</v>
      </c>
      <c r="M65" s="93">
        <f t="shared" si="30"/>
        <v>53453370.890000001</v>
      </c>
      <c r="N65" s="93">
        <f t="shared" si="30"/>
        <v>62581043.140000001</v>
      </c>
      <c r="O65" s="93">
        <f t="shared" si="30"/>
        <v>59172827.039999999</v>
      </c>
      <c r="P65" s="93">
        <f t="shared" si="30"/>
        <v>63401424.229999997</v>
      </c>
      <c r="Q65" s="93">
        <f t="shared" si="30"/>
        <v>92607290.949999988</v>
      </c>
      <c r="R65" s="93">
        <f t="shared" si="30"/>
        <v>117846076.48999999</v>
      </c>
      <c r="S65" s="93">
        <f t="shared" si="30"/>
        <v>134510654.59</v>
      </c>
      <c r="T65" s="93">
        <f t="shared" si="30"/>
        <v>153381808.34999999</v>
      </c>
      <c r="U65" s="93">
        <f t="shared" si="30"/>
        <v>163827413.57999998</v>
      </c>
      <c r="V65" s="93">
        <f t="shared" si="30"/>
        <v>189423186.26000002</v>
      </c>
      <c r="W65" s="93">
        <f t="shared" si="30"/>
        <v>232895127.53</v>
      </c>
      <c r="X65" s="93">
        <f>W65-W84</f>
        <v>216720859.21000001</v>
      </c>
      <c r="Y65" s="7">
        <v>252359625.80000001</v>
      </c>
    </row>
    <row r="66" spans="1:27" ht="15.75" customHeight="1" x14ac:dyDescent="0.2">
      <c r="A66" s="7"/>
      <c r="B66" s="30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110"/>
      <c r="P66" s="110">
        <f t="shared" ref="P66:W66" si="31">P65/O65-1</f>
        <v>7.1461807750735407E-2</v>
      </c>
      <c r="Q66" s="110">
        <f t="shared" si="31"/>
        <v>0.46065001022769603</v>
      </c>
      <c r="R66" s="110">
        <f t="shared" si="31"/>
        <v>0.2725356209116061</v>
      </c>
      <c r="S66" s="110">
        <f t="shared" si="31"/>
        <v>0.14140969811085835</v>
      </c>
      <c r="T66" s="110">
        <f t="shared" si="31"/>
        <v>0.14029486227333354</v>
      </c>
      <c r="U66" s="110">
        <f t="shared" si="31"/>
        <v>6.8101982512582593E-2</v>
      </c>
      <c r="V66" s="110">
        <f t="shared" si="31"/>
        <v>0.15623620077174172</v>
      </c>
      <c r="W66" s="110">
        <f t="shared" si="31"/>
        <v>0.22949641027751966</v>
      </c>
      <c r="Y66" s="95">
        <f>Y65/O65-1</f>
        <v>3.2647890665999189</v>
      </c>
    </row>
    <row r="67" spans="1:27" ht="15.75" customHeight="1" x14ac:dyDescent="0.2">
      <c r="A67" s="7"/>
      <c r="B67" s="30" t="s">
        <v>104</v>
      </c>
      <c r="C67" s="44"/>
      <c r="D67" s="44">
        <f t="shared" ref="D67:W67" si="32">AVERAGE(C65:D65)</f>
        <v>7901647.5350000001</v>
      </c>
      <c r="E67" s="113">
        <f t="shared" si="32"/>
        <v>10288158.074999999</v>
      </c>
      <c r="F67" s="44">
        <f t="shared" si="32"/>
        <v>13291938.715</v>
      </c>
      <c r="G67" s="44">
        <f t="shared" si="32"/>
        <v>15622867.24</v>
      </c>
      <c r="H67" s="44">
        <f t="shared" si="32"/>
        <v>20920325.59</v>
      </c>
      <c r="I67" s="44">
        <f t="shared" si="32"/>
        <v>26103597.994999997</v>
      </c>
      <c r="J67" s="44">
        <f t="shared" si="32"/>
        <v>29995431.75</v>
      </c>
      <c r="K67" s="44">
        <f t="shared" si="32"/>
        <v>39183506.414999999</v>
      </c>
      <c r="L67" s="44">
        <f t="shared" si="32"/>
        <v>46984641.334999993</v>
      </c>
      <c r="M67" s="44">
        <f t="shared" si="32"/>
        <v>50854079.844999999</v>
      </c>
      <c r="N67" s="44">
        <f t="shared" si="32"/>
        <v>58017207.015000001</v>
      </c>
      <c r="O67" s="44">
        <f t="shared" si="32"/>
        <v>60876935.090000004</v>
      </c>
      <c r="P67" s="44">
        <f t="shared" si="32"/>
        <v>61287125.634999998</v>
      </c>
      <c r="Q67" s="44">
        <f t="shared" si="32"/>
        <v>78004357.589999989</v>
      </c>
      <c r="R67" s="44">
        <f t="shared" si="32"/>
        <v>105226683.72</v>
      </c>
      <c r="S67" s="44">
        <f t="shared" si="32"/>
        <v>126178365.53999999</v>
      </c>
      <c r="T67" s="44">
        <f t="shared" si="32"/>
        <v>143946231.47</v>
      </c>
      <c r="U67" s="44">
        <f t="shared" si="32"/>
        <v>158604610.96499997</v>
      </c>
      <c r="V67" s="44">
        <f t="shared" si="32"/>
        <v>176625299.92000002</v>
      </c>
      <c r="W67" s="44">
        <f t="shared" si="32"/>
        <v>211159156.89500001</v>
      </c>
      <c r="X67" s="114">
        <f>W67/55.8</f>
        <v>3784214.281272402</v>
      </c>
    </row>
    <row r="68" spans="1:27" ht="15.75" customHeight="1" x14ac:dyDescent="0.2">
      <c r="A68" s="7"/>
      <c r="B68" s="30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4">
        <f>X67/W7</f>
        <v>326.00054111581687</v>
      </c>
    </row>
    <row r="69" spans="1:27" ht="15.75" customHeight="1" x14ac:dyDescent="0.2">
      <c r="A69" s="7"/>
      <c r="B69" s="30" t="s">
        <v>109</v>
      </c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87">
        <v>131622.28000000003</v>
      </c>
      <c r="P69" s="115">
        <f>SUM(Daily!OT34:PJ34)</f>
        <v>6088323.3300000001</v>
      </c>
      <c r="Q69" s="115">
        <v>9405672.9399999995</v>
      </c>
      <c r="R69" s="115">
        <v>9842937.3200000003</v>
      </c>
      <c r="S69" s="115">
        <v>9776427.0399999935</v>
      </c>
      <c r="T69" s="115">
        <v>10075552.260000002</v>
      </c>
      <c r="U69" s="115">
        <v>8525587.4600000009</v>
      </c>
      <c r="V69" s="115">
        <v>9858769.1199999992</v>
      </c>
      <c r="W69" s="115">
        <v>12255674.210000001</v>
      </c>
    </row>
    <row r="70" spans="1:27" ht="15.75" customHeight="1" x14ac:dyDescent="0.2">
      <c r="A70" s="7"/>
      <c r="B70" s="30" t="s">
        <v>110</v>
      </c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111">
        <f t="shared" ref="O70:W70" si="33">O69/O63</f>
        <v>2.2245019642960226E-3</v>
      </c>
      <c r="P70" s="111">
        <f t="shared" si="33"/>
        <v>0.10645034767677544</v>
      </c>
      <c r="Q70" s="111">
        <f t="shared" si="33"/>
        <v>0.12232556123717329</v>
      </c>
      <c r="R70" s="111">
        <f t="shared" si="33"/>
        <v>0.10653100237768831</v>
      </c>
      <c r="S70" s="111">
        <f t="shared" si="33"/>
        <v>9.9046705762022832E-2</v>
      </c>
      <c r="T70" s="111">
        <f t="shared" si="33"/>
        <v>7.9394219674856631E-2</v>
      </c>
      <c r="U70" s="111">
        <f t="shared" si="33"/>
        <v>6.2838587445500138E-2</v>
      </c>
      <c r="V70" s="111">
        <f t="shared" si="33"/>
        <v>6.1817548291725366E-2</v>
      </c>
      <c r="W70" s="111">
        <f t="shared" si="33"/>
        <v>6.1548082122397992E-2</v>
      </c>
      <c r="AA70">
        <v>75387049</v>
      </c>
    </row>
    <row r="71" spans="1:27" ht="15.75" customHeight="1" x14ac:dyDescent="0.2">
      <c r="A71" s="7"/>
      <c r="B71" s="30" t="s">
        <v>114</v>
      </c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>
        <f>SUM(Daily!OT35:PJ35)</f>
        <v>536</v>
      </c>
      <c r="Q71" s="79">
        <v>806</v>
      </c>
      <c r="R71" s="79">
        <f>SUM(Daily!QP35:RS35)</f>
        <v>853</v>
      </c>
      <c r="S71" s="87">
        <f>871-82</f>
        <v>789</v>
      </c>
      <c r="T71" s="87">
        <f>884-105</f>
        <v>779</v>
      </c>
      <c r="U71" s="87">
        <v>651</v>
      </c>
      <c r="V71" s="87">
        <v>738</v>
      </c>
      <c r="W71" s="87">
        <v>955</v>
      </c>
      <c r="AA71" s="202">
        <f>AA70/V65</f>
        <v>0.39798216094055472</v>
      </c>
    </row>
    <row r="72" spans="1:27" ht="15.75" customHeight="1" x14ac:dyDescent="0.2">
      <c r="A72" s="7"/>
      <c r="B72" s="30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</row>
    <row r="73" spans="1:27" ht="15.75" customHeight="1" x14ac:dyDescent="0.2">
      <c r="A73" s="7"/>
      <c r="B73" s="63" t="s">
        <v>106</v>
      </c>
      <c r="C73" s="30"/>
      <c r="D73" s="30"/>
      <c r="E73" s="30"/>
      <c r="F73" s="30"/>
      <c r="G73" s="30"/>
      <c r="H73" s="30"/>
      <c r="I73" s="30"/>
      <c r="J73" s="30"/>
      <c r="K73" s="30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7" ht="15.75" customHeight="1" x14ac:dyDescent="0.2">
      <c r="A74" s="4"/>
      <c r="B74" s="84" t="s">
        <v>107</v>
      </c>
      <c r="C74" s="93">
        <f t="shared" ref="C74:W74" si="34">SUM(C79:C84)</f>
        <v>316838.88</v>
      </c>
      <c r="D74" s="93">
        <f t="shared" si="34"/>
        <v>492021</v>
      </c>
      <c r="E74" s="93">
        <f t="shared" si="34"/>
        <v>552335.6399999999</v>
      </c>
      <c r="F74" s="93">
        <f t="shared" si="34"/>
        <v>451396.54000000004</v>
      </c>
      <c r="G74" s="93">
        <f t="shared" si="34"/>
        <v>730025.04</v>
      </c>
      <c r="H74" s="93">
        <f t="shared" si="34"/>
        <v>1051369.8900000001</v>
      </c>
      <c r="I74" s="93">
        <f t="shared" si="34"/>
        <v>1504737.6600000001</v>
      </c>
      <c r="J74" s="93">
        <f t="shared" si="34"/>
        <v>2300905.4699999997</v>
      </c>
      <c r="K74" s="93">
        <f t="shared" si="34"/>
        <v>2709078.7600000002</v>
      </c>
      <c r="L74" s="93">
        <f t="shared" si="34"/>
        <v>3901393.22</v>
      </c>
      <c r="M74" s="93">
        <f t="shared" si="34"/>
        <v>5558731.2400000002</v>
      </c>
      <c r="N74" s="93">
        <f t="shared" si="34"/>
        <v>8169456.3900000006</v>
      </c>
      <c r="O74" s="93">
        <f t="shared" si="34"/>
        <v>11372587.949999999</v>
      </c>
      <c r="P74" s="93">
        <f t="shared" si="34"/>
        <v>13444713.060000001</v>
      </c>
      <c r="Q74" s="93">
        <f t="shared" si="34"/>
        <v>15419582.379999999</v>
      </c>
      <c r="R74" s="93">
        <f t="shared" si="34"/>
        <v>15530398.77</v>
      </c>
      <c r="S74" s="93">
        <f t="shared" si="34"/>
        <v>17043395.16</v>
      </c>
      <c r="T74" s="93">
        <f t="shared" si="34"/>
        <v>18615458.969999999</v>
      </c>
      <c r="U74" s="93">
        <f t="shared" si="34"/>
        <v>19430259.079999998</v>
      </c>
      <c r="V74" s="93">
        <f t="shared" si="34"/>
        <v>20216917.829999998</v>
      </c>
      <c r="W74" s="93">
        <f t="shared" si="34"/>
        <v>21176742.289999999</v>
      </c>
    </row>
    <row r="75" spans="1:27" ht="15.75" customHeight="1" x14ac:dyDescent="0.2">
      <c r="A75" s="4"/>
      <c r="B75" s="30" t="s">
        <v>121</v>
      </c>
      <c r="C75" s="111">
        <f t="shared" ref="C75:W75" si="35">C74/C63</f>
        <v>4.2038234814595926E-2</v>
      </c>
      <c r="D75" s="111">
        <f t="shared" si="35"/>
        <v>5.9520780398517367E-2</v>
      </c>
      <c r="E75" s="111">
        <f t="shared" si="35"/>
        <v>4.4869066766442485E-2</v>
      </c>
      <c r="F75" s="111">
        <f t="shared" si="35"/>
        <v>3.1623833785564978E-2</v>
      </c>
      <c r="G75" s="111">
        <f t="shared" si="35"/>
        <v>4.3014002734758881E-2</v>
      </c>
      <c r="H75" s="111">
        <f t="shared" si="35"/>
        <v>4.2276576066000833E-2</v>
      </c>
      <c r="I75" s="111">
        <f t="shared" si="35"/>
        <v>5.5041286709893819E-2</v>
      </c>
      <c r="J75" s="111">
        <f t="shared" si="35"/>
        <v>7.0466400243688873E-2</v>
      </c>
      <c r="K75" s="111">
        <f t="shared" si="35"/>
        <v>5.9260828036375245E-2</v>
      </c>
      <c r="L75" s="111">
        <f t="shared" si="35"/>
        <v>8.0849866241669274E-2</v>
      </c>
      <c r="M75" s="111">
        <f t="shared" si="35"/>
        <v>0.10399215517088974</v>
      </c>
      <c r="N75" s="111">
        <f t="shared" si="35"/>
        <v>0.13054202966422462</v>
      </c>
      <c r="O75" s="111">
        <f t="shared" si="35"/>
        <v>0.19220411797990636</v>
      </c>
      <c r="P75" s="111">
        <f t="shared" si="35"/>
        <v>0.23507200621217392</v>
      </c>
      <c r="Q75" s="111">
        <f t="shared" si="35"/>
        <v>0.20053951277156873</v>
      </c>
      <c r="R75" s="111">
        <f t="shared" si="35"/>
        <v>0.1680869129311206</v>
      </c>
      <c r="S75" s="111">
        <f t="shared" si="35"/>
        <v>0.17266964083009259</v>
      </c>
      <c r="T75" s="111">
        <f t="shared" si="35"/>
        <v>0.14668772496768928</v>
      </c>
      <c r="U75" s="111">
        <f t="shared" si="35"/>
        <v>0.14321242260616052</v>
      </c>
      <c r="V75" s="111">
        <f t="shared" si="35"/>
        <v>0.1267663619113</v>
      </c>
      <c r="W75" s="111">
        <f t="shared" si="35"/>
        <v>0.10634974879523812</v>
      </c>
    </row>
    <row r="76" spans="1:27" ht="15.75" customHeight="1" x14ac:dyDescent="0.2">
      <c r="A76" s="4"/>
      <c r="B76" s="84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</row>
    <row r="77" spans="1:27" ht="15.75" customHeight="1" x14ac:dyDescent="0.2">
      <c r="A77" s="7"/>
      <c r="B77" s="84" t="s">
        <v>111</v>
      </c>
      <c r="C77" s="30"/>
      <c r="D77" s="30"/>
      <c r="E77" s="79"/>
      <c r="F77" s="30"/>
      <c r="G77" s="30"/>
      <c r="H77" s="79"/>
      <c r="I77" s="30"/>
      <c r="J77" s="30"/>
      <c r="K77" s="79"/>
      <c r="L77" s="30"/>
      <c r="M77" s="30"/>
      <c r="N77" s="79"/>
      <c r="O77" s="30"/>
      <c r="P77" s="30"/>
      <c r="Q77" s="30"/>
      <c r="R77" s="30"/>
      <c r="S77" s="30"/>
      <c r="T77" s="30"/>
      <c r="U77" s="30"/>
      <c r="V77" s="30"/>
      <c r="W77" s="30"/>
    </row>
    <row r="78" spans="1:27" ht="15.75" customHeight="1" x14ac:dyDescent="0.2">
      <c r="A78" s="7"/>
      <c r="B78" s="80" t="s">
        <v>112</v>
      </c>
      <c r="C78" s="117">
        <v>329309.03999999998</v>
      </c>
      <c r="D78" s="117">
        <v>392998.85</v>
      </c>
      <c r="E78" s="117">
        <v>25920.18</v>
      </c>
      <c r="F78" s="117">
        <v>283227.06</v>
      </c>
      <c r="G78" s="117">
        <v>425034.18</v>
      </c>
      <c r="H78" s="117">
        <v>1469964.59</v>
      </c>
      <c r="I78" s="117">
        <v>894713.62</v>
      </c>
      <c r="J78" s="117">
        <v>606355.27</v>
      </c>
      <c r="K78" s="117">
        <f>Daily!JO49</f>
        <v>1103872.51</v>
      </c>
      <c r="L78" s="117">
        <f>Daily!KT49</f>
        <v>1767002.53</v>
      </c>
      <c r="M78" s="117">
        <f>Daily!LX49</f>
        <v>2349152.36</v>
      </c>
      <c r="N78" s="117">
        <f>Daily!NC49</f>
        <v>3615006.48</v>
      </c>
      <c r="O78" s="117">
        <f>Daily!OH49</f>
        <v>2148853.09</v>
      </c>
      <c r="P78" s="117">
        <f>Daily!PJ49</f>
        <v>2666196.0699999998</v>
      </c>
      <c r="Q78" s="117">
        <f>Daily!QO49</f>
        <v>731936.44</v>
      </c>
      <c r="R78" s="117">
        <f>Daily!RS49</f>
        <v>2919677.07</v>
      </c>
      <c r="S78" s="117">
        <f>Daily!SX49</f>
        <v>2280707.88</v>
      </c>
      <c r="T78" s="117">
        <f>Daily!UB49</f>
        <v>1227233.9099999999</v>
      </c>
      <c r="U78" s="117">
        <f>Daily!VH49</f>
        <v>529446.71</v>
      </c>
      <c r="V78" s="117">
        <f>Daily!WM49</f>
        <v>343952.44</v>
      </c>
      <c r="W78" s="117">
        <f>Daily!XQ49</f>
        <v>467395.94</v>
      </c>
    </row>
    <row r="79" spans="1:27" ht="15.75" customHeight="1" x14ac:dyDescent="0.2">
      <c r="A79" s="7"/>
      <c r="B79" s="80" t="s">
        <v>113</v>
      </c>
      <c r="C79" s="117">
        <v>109767.06</v>
      </c>
      <c r="D79" s="117">
        <v>203375.7</v>
      </c>
      <c r="E79" s="117">
        <v>138781.44</v>
      </c>
      <c r="F79" s="117">
        <v>14625.23</v>
      </c>
      <c r="G79" s="117">
        <v>289863.5</v>
      </c>
      <c r="H79" s="117">
        <v>373574.03</v>
      </c>
      <c r="I79" s="117">
        <v>508270.59</v>
      </c>
      <c r="J79" s="117">
        <v>849122.97</v>
      </c>
      <c r="K79" s="117">
        <f>Daily!JO50</f>
        <v>592244.36</v>
      </c>
      <c r="L79" s="117">
        <f>Daily!KT50</f>
        <v>1282996.4099999999</v>
      </c>
      <c r="M79" s="117">
        <f>Daily!LX50</f>
        <v>1879959.78</v>
      </c>
      <c r="N79" s="117">
        <f>Daily!NC50</f>
        <v>2815060.67</v>
      </c>
      <c r="O79" s="117">
        <f>Daily!OH50</f>
        <v>3407674.26</v>
      </c>
      <c r="P79" s="117">
        <f>Daily!PJ50</f>
        <v>2215107.63</v>
      </c>
      <c r="Q79" s="117">
        <f>Daily!QO50</f>
        <v>2478456.88</v>
      </c>
      <c r="R79" s="117">
        <f>Daily!RS50</f>
        <v>709621.31</v>
      </c>
      <c r="S79" s="117">
        <f>Daily!SX50</f>
        <v>1772861.5</v>
      </c>
      <c r="T79" s="117">
        <f>Daily!UB50</f>
        <v>1996865.37</v>
      </c>
      <c r="U79" s="117">
        <f>Daily!VH50</f>
        <v>876699.89</v>
      </c>
      <c r="V79" s="117">
        <f>Daily!WM50</f>
        <v>333636.5</v>
      </c>
      <c r="W79" s="117">
        <f>Daily!XQ50</f>
        <v>334949.09000000003</v>
      </c>
    </row>
    <row r="80" spans="1:27" ht="15.75" customHeight="1" x14ac:dyDescent="0.2">
      <c r="A80" s="7"/>
      <c r="B80" s="80" t="s">
        <v>115</v>
      </c>
      <c r="C80" s="117">
        <v>24966.240000000002</v>
      </c>
      <c r="D80" s="117">
        <v>96353.48</v>
      </c>
      <c r="E80" s="117">
        <v>176860.04</v>
      </c>
      <c r="F80" s="117">
        <v>134291.44</v>
      </c>
      <c r="G80" s="117">
        <v>14625.23</v>
      </c>
      <c r="H80" s="117">
        <v>258969.32</v>
      </c>
      <c r="I80" s="117">
        <v>198079.38</v>
      </c>
      <c r="J80" s="117">
        <v>270266.15999999997</v>
      </c>
      <c r="K80" s="117">
        <f>Daily!JO51</f>
        <v>658035.01</v>
      </c>
      <c r="L80" s="117">
        <f>Daily!KT51</f>
        <v>489301.38</v>
      </c>
      <c r="M80" s="117">
        <f>Daily!LX51</f>
        <v>1184214.8999999999</v>
      </c>
      <c r="N80" s="117">
        <f>Daily!NC51</f>
        <v>1500280.11</v>
      </c>
      <c r="O80" s="117">
        <f>Daily!OH51</f>
        <v>2824665.05</v>
      </c>
      <c r="P80" s="117">
        <f>Daily!PJ51</f>
        <v>3401447.27</v>
      </c>
      <c r="Q80" s="117">
        <f>Daily!QO51</f>
        <v>2012679.59</v>
      </c>
      <c r="R80" s="117">
        <f>Daily!RS51</f>
        <v>2085741.7</v>
      </c>
      <c r="S80" s="117">
        <f>Daily!SX51</f>
        <v>662531.81999999995</v>
      </c>
      <c r="T80" s="117">
        <f>Daily!UB51</f>
        <v>1707617.13</v>
      </c>
      <c r="U80" s="117">
        <f>Daily!VH51</f>
        <v>1914170.74</v>
      </c>
      <c r="V80" s="117">
        <f>Daily!WM51</f>
        <v>436983.4</v>
      </c>
      <c r="W80" s="117">
        <f>Daily!XQ51</f>
        <v>219942.45</v>
      </c>
    </row>
    <row r="81" spans="1:27" ht="15.75" customHeight="1" x14ac:dyDescent="0.2">
      <c r="A81" s="7"/>
      <c r="B81" s="80" t="s">
        <v>116</v>
      </c>
      <c r="C81" s="117">
        <v>75384.44</v>
      </c>
      <c r="D81" s="117">
        <v>24966.240000000002</v>
      </c>
      <c r="E81" s="117">
        <v>96353.48</v>
      </c>
      <c r="F81" s="117">
        <v>154622.13</v>
      </c>
      <c r="G81" s="117">
        <v>134291.44</v>
      </c>
      <c r="H81" s="117">
        <v>14625.23</v>
      </c>
      <c r="I81" s="117">
        <v>390796.15</v>
      </c>
      <c r="J81" s="117">
        <v>412491.96</v>
      </c>
      <c r="K81" s="117">
        <f>Daily!JO52</f>
        <v>595623.85</v>
      </c>
      <c r="L81" s="117">
        <f>Daily!KT52</f>
        <v>687235.16</v>
      </c>
      <c r="M81" s="117">
        <f>Daily!LX52</f>
        <v>545741.89</v>
      </c>
      <c r="N81" s="117">
        <f>Daily!NC52</f>
        <v>1348928.17</v>
      </c>
      <c r="O81" s="117">
        <f>Daily!OH52</f>
        <v>1283885.1399999999</v>
      </c>
      <c r="P81" s="117">
        <f>Daily!PJ52</f>
        <v>2732397.16</v>
      </c>
      <c r="Q81" s="117">
        <f>Daily!QO52</f>
        <v>3281034.81</v>
      </c>
      <c r="R81" s="117">
        <f>Daily!RS52</f>
        <v>1885064.28</v>
      </c>
      <c r="S81" s="117">
        <f>Daily!SX52</f>
        <v>1907725.21</v>
      </c>
      <c r="T81" s="117">
        <f>Daily!UB52</f>
        <v>589635.04</v>
      </c>
      <c r="U81" s="117">
        <f>Daily!VH52</f>
        <v>1656871.69</v>
      </c>
      <c r="V81" s="117">
        <f>Daily!WM52</f>
        <v>1611561.35</v>
      </c>
      <c r="W81" s="117">
        <f>Daily!XQ52</f>
        <v>1280199.74</v>
      </c>
    </row>
    <row r="82" spans="1:27" ht="15.75" customHeight="1" x14ac:dyDescent="0.2">
      <c r="A82" s="7"/>
      <c r="B82" s="80" t="s">
        <v>117</v>
      </c>
      <c r="C82" s="117">
        <v>0</v>
      </c>
      <c r="D82" s="117">
        <v>60604.44</v>
      </c>
      <c r="E82" s="117">
        <v>24966.240000000002</v>
      </c>
      <c r="F82" s="117">
        <v>24990</v>
      </c>
      <c r="G82" s="117">
        <v>154622.13</v>
      </c>
      <c r="H82" s="117">
        <v>124191.44</v>
      </c>
      <c r="I82" s="117">
        <v>14625.23</v>
      </c>
      <c r="J82" s="117">
        <v>322762.84000000003</v>
      </c>
      <c r="K82" s="117">
        <f>Daily!JO53</f>
        <v>196375.63</v>
      </c>
      <c r="L82" s="117">
        <f>Daily!KT53</f>
        <v>391795.06</v>
      </c>
      <c r="M82" s="117">
        <f>Daily!LX53</f>
        <v>600056.30000000005</v>
      </c>
      <c r="N82" s="117">
        <f>Daily!NC53</f>
        <v>460493.44</v>
      </c>
      <c r="O82" s="117">
        <f>Daily!OH53</f>
        <v>950879.85</v>
      </c>
      <c r="P82" s="117">
        <f>Daily!PJ53</f>
        <v>1389219.07</v>
      </c>
      <c r="Q82" s="117">
        <f>Daily!QO53</f>
        <v>2623253.9900000002</v>
      </c>
      <c r="R82" s="117">
        <f>Daily!RS53</f>
        <v>3244057.82</v>
      </c>
      <c r="S82" s="117">
        <f>Daily!SX53</f>
        <v>1809376.99</v>
      </c>
      <c r="T82" s="117">
        <f>Daily!UB53</f>
        <v>1913116.75</v>
      </c>
      <c r="U82" s="117">
        <f>Daily!VH53</f>
        <v>590233.66</v>
      </c>
      <c r="V82" s="117">
        <f>Daily!WM53</f>
        <v>2016513.85</v>
      </c>
      <c r="W82" s="117">
        <f>Daily!XQ53</f>
        <v>1092036.67</v>
      </c>
    </row>
    <row r="83" spans="1:27" ht="15.75" customHeight="1" x14ac:dyDescent="0.2">
      <c r="A83" s="7"/>
      <c r="B83" s="80" t="s">
        <v>118</v>
      </c>
      <c r="C83" s="117">
        <v>74910</v>
      </c>
      <c r="D83" s="117">
        <v>0</v>
      </c>
      <c r="E83" s="117">
        <v>47964.44</v>
      </c>
      <c r="F83" s="117">
        <v>24966.240000000002</v>
      </c>
      <c r="G83" s="117">
        <v>24990</v>
      </c>
      <c r="H83" s="117">
        <v>154622.13</v>
      </c>
      <c r="I83" s="117">
        <v>124191.44</v>
      </c>
      <c r="J83" s="117">
        <v>64530.23</v>
      </c>
      <c r="K83" s="117">
        <f>Daily!JO54</f>
        <v>231773.37</v>
      </c>
      <c r="L83" s="117">
        <f>Daily!KT54</f>
        <v>397955.61</v>
      </c>
      <c r="M83" s="117">
        <f>Daily!LX54</f>
        <v>375687.37</v>
      </c>
      <c r="N83" s="117">
        <f>Daily!NC54</f>
        <v>690654.93</v>
      </c>
      <c r="O83" s="117">
        <f>Daily!OH54</f>
        <v>854944.54</v>
      </c>
      <c r="P83" s="117">
        <f>Daily!PJ54</f>
        <v>1177306.78</v>
      </c>
      <c r="Q83" s="117">
        <f>Daily!QO54</f>
        <v>1348876.26</v>
      </c>
      <c r="R83" s="117">
        <f>Daily!RS54</f>
        <v>2592092.02</v>
      </c>
      <c r="S83" s="117">
        <f>Daily!SX54</f>
        <v>3156884.14</v>
      </c>
      <c r="T83" s="117">
        <f>Daily!UB54</f>
        <v>1771417.25</v>
      </c>
      <c r="U83" s="117">
        <f>Daily!VH54</f>
        <v>1843618.24</v>
      </c>
      <c r="V83" s="117">
        <f>Daily!WM54</f>
        <v>798151.02</v>
      </c>
      <c r="W83" s="117">
        <f>Daily!XQ54</f>
        <v>2075346.02</v>
      </c>
      <c r="X83" s="93">
        <f>SUM(W78:W83)</f>
        <v>5469869.9100000001</v>
      </c>
      <c r="Z83" s="118">
        <f>X83/W65</f>
        <v>2.3486407672034307E-2</v>
      </c>
    </row>
    <row r="84" spans="1:27" ht="15.75" customHeight="1" x14ac:dyDescent="0.2">
      <c r="A84" s="7"/>
      <c r="B84" s="80" t="s">
        <v>119</v>
      </c>
      <c r="C84" s="117">
        <v>31811.14</v>
      </c>
      <c r="D84" s="117">
        <v>106721.14</v>
      </c>
      <c r="E84" s="117">
        <v>67410</v>
      </c>
      <c r="F84" s="117">
        <v>97901.5</v>
      </c>
      <c r="G84" s="117">
        <v>111632.74</v>
      </c>
      <c r="H84" s="117">
        <v>125387.74</v>
      </c>
      <c r="I84" s="117">
        <v>268774.87</v>
      </c>
      <c r="J84" s="117">
        <v>381731.31</v>
      </c>
      <c r="K84" s="117">
        <f>Daily!JO55</f>
        <v>435026.54</v>
      </c>
      <c r="L84" s="117">
        <f>Daily!KT55</f>
        <v>652109.6</v>
      </c>
      <c r="M84" s="117">
        <f>Daily!LX55</f>
        <v>973071</v>
      </c>
      <c r="N84" s="117">
        <f>Daily!NC55</f>
        <v>1354039.07</v>
      </c>
      <c r="O84" s="117">
        <f>Daily!OH55</f>
        <v>2050539.11</v>
      </c>
      <c r="P84" s="117">
        <f>Daily!PJ55</f>
        <v>2529235.15</v>
      </c>
      <c r="Q84" s="117">
        <f>Daily!QO55</f>
        <v>3675280.85</v>
      </c>
      <c r="R84" s="117">
        <f>Daily!RS55</f>
        <v>5013821.6399999997</v>
      </c>
      <c r="S84" s="117">
        <f>Daily!SX55</f>
        <v>7734015.5</v>
      </c>
      <c r="T84" s="117">
        <f>Daily!UB55</f>
        <v>10636807.43</v>
      </c>
      <c r="U84" s="117">
        <f>Daily!VH55</f>
        <v>12548664.859999999</v>
      </c>
      <c r="V84" s="117">
        <f>Daily!WM55</f>
        <v>15020071.710000001</v>
      </c>
      <c r="W84" s="117">
        <f>Daily!XQ55</f>
        <v>16174268.32</v>
      </c>
      <c r="X84" s="95">
        <f>X83/X65</f>
        <v>2.5239240606275741E-2</v>
      </c>
      <c r="Y84" s="118">
        <f>W84/W65</f>
        <v>6.9448719221987754E-2</v>
      </c>
      <c r="Z84" s="120">
        <v>8000000</v>
      </c>
      <c r="AA84" s="118">
        <f>Z84/SUM(W78:W84)</f>
        <v>0.36961508538656196</v>
      </c>
    </row>
    <row r="85" spans="1:27" ht="15.75" customHeight="1" x14ac:dyDescent="0.2">
      <c r="A85" s="7"/>
      <c r="B85" s="80" t="s">
        <v>120</v>
      </c>
      <c r="C85" s="117">
        <f>Daily!JG56</f>
        <v>0</v>
      </c>
      <c r="D85" s="117">
        <f>Daily!JH56</f>
        <v>0</v>
      </c>
      <c r="E85" s="117">
        <f>Daily!JI56</f>
        <v>0</v>
      </c>
      <c r="F85" s="117">
        <f>Daily!JJ56</f>
        <v>0</v>
      </c>
      <c r="G85" s="117">
        <f>Daily!JK56</f>
        <v>0</v>
      </c>
      <c r="H85" s="117">
        <f>Daily!JL56</f>
        <v>0</v>
      </c>
      <c r="I85" s="117">
        <f>Daily!JM56</f>
        <v>0</v>
      </c>
      <c r="J85" s="117">
        <f>Daily!JN56</f>
        <v>0</v>
      </c>
      <c r="K85" s="117">
        <f>Daily!JO56</f>
        <v>0</v>
      </c>
      <c r="L85" s="117">
        <f>Daily!KT56</f>
        <v>0</v>
      </c>
      <c r="M85" s="117">
        <f>Daily!LX56</f>
        <v>0</v>
      </c>
      <c r="N85" s="117">
        <f>Daily!NC56</f>
        <v>0</v>
      </c>
      <c r="O85" s="117">
        <f>Daily!OH56</f>
        <v>0</v>
      </c>
      <c r="P85" s="117">
        <f>Daily!PJ56</f>
        <v>0</v>
      </c>
      <c r="Q85" s="117">
        <f>Daily!QO56</f>
        <v>0</v>
      </c>
      <c r="R85" s="117">
        <f>Daily!RS56</f>
        <v>0</v>
      </c>
      <c r="S85" s="117">
        <f>Daily!SX56</f>
        <v>0</v>
      </c>
      <c r="T85" s="117">
        <f>Daily!UB56</f>
        <v>0</v>
      </c>
      <c r="U85" s="117">
        <f>Daily!VH56</f>
        <v>0</v>
      </c>
      <c r="V85" s="117">
        <f>Daily!WM56</f>
        <v>0</v>
      </c>
      <c r="W85" s="117">
        <f>Daily!XQ56</f>
        <v>0</v>
      </c>
    </row>
    <row r="86" spans="1:27" ht="15.75" customHeight="1" x14ac:dyDescent="0.2">
      <c r="A86" s="4"/>
      <c r="B86" s="30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</row>
    <row r="87" spans="1:27" ht="15.75" customHeight="1" x14ac:dyDescent="0.2">
      <c r="A87" s="4"/>
      <c r="B87" s="84" t="s">
        <v>122</v>
      </c>
      <c r="C87" s="93">
        <f t="shared" ref="C87:W87" si="36">SUM(C92:C97)</f>
        <v>149761.74</v>
      </c>
      <c r="D87" s="93">
        <f t="shared" si="36"/>
        <v>224273.81</v>
      </c>
      <c r="E87" s="93">
        <f t="shared" si="36"/>
        <v>153677.94</v>
      </c>
      <c r="F87" s="93">
        <f t="shared" si="36"/>
        <v>269919.89</v>
      </c>
      <c r="G87" s="93">
        <f t="shared" si="36"/>
        <v>685085.04</v>
      </c>
      <c r="H87" s="93">
        <f t="shared" si="36"/>
        <v>922945.82</v>
      </c>
      <c r="I87" s="93">
        <f t="shared" si="36"/>
        <v>1378730.6</v>
      </c>
      <c r="J87" s="93">
        <f t="shared" si="36"/>
        <v>2226056.9</v>
      </c>
      <c r="K87" s="93">
        <f t="shared" si="36"/>
        <v>1614741.4300000002</v>
      </c>
      <c r="L87" s="93">
        <f t="shared" si="36"/>
        <v>2557988.8499999996</v>
      </c>
      <c r="M87" s="93">
        <f t="shared" si="36"/>
        <v>4622261.9800000004</v>
      </c>
      <c r="N87" s="93">
        <f t="shared" si="36"/>
        <v>6668306.9500000002</v>
      </c>
      <c r="O87" s="93">
        <f t="shared" si="36"/>
        <v>8842007.9199999999</v>
      </c>
      <c r="P87" s="93">
        <f t="shared" si="36"/>
        <v>10728758.77</v>
      </c>
      <c r="Q87" s="93">
        <f t="shared" si="36"/>
        <v>13091374.290000001</v>
      </c>
      <c r="R87" s="93">
        <f t="shared" si="36"/>
        <v>13852265.939999999</v>
      </c>
      <c r="S87" s="93">
        <f t="shared" si="36"/>
        <v>15856748.739999998</v>
      </c>
      <c r="T87" s="93">
        <f t="shared" si="36"/>
        <v>17797996.710000001</v>
      </c>
      <c r="U87" s="93">
        <f t="shared" si="36"/>
        <v>19076027.600000001</v>
      </c>
      <c r="V87" s="93">
        <f t="shared" si="36"/>
        <v>19931633.530000001</v>
      </c>
      <c r="W87" s="93">
        <f t="shared" si="36"/>
        <v>20719606.309999999</v>
      </c>
    </row>
    <row r="88" spans="1:27" ht="15.75" customHeight="1" x14ac:dyDescent="0.2">
      <c r="A88" s="4"/>
      <c r="B88" s="30" t="s">
        <v>121</v>
      </c>
      <c r="C88" s="111">
        <f t="shared" ref="C88:W88" si="37">C87/C63</f>
        <v>1.9870412344477617E-2</v>
      </c>
      <c r="D88" s="111">
        <f t="shared" si="37"/>
        <v>2.7130858630320269E-2</v>
      </c>
      <c r="E88" s="111">
        <f t="shared" si="37"/>
        <v>1.248405000696559E-2</v>
      </c>
      <c r="F88" s="111">
        <f t="shared" si="37"/>
        <v>1.8909984858940174E-2</v>
      </c>
      <c r="G88" s="111">
        <f t="shared" si="37"/>
        <v>4.0366080845805501E-2</v>
      </c>
      <c r="H88" s="111">
        <f t="shared" si="37"/>
        <v>3.7112522942831766E-2</v>
      </c>
      <c r="I88" s="111">
        <f t="shared" si="37"/>
        <v>5.043211735014589E-2</v>
      </c>
      <c r="J88" s="111">
        <f t="shared" si="37"/>
        <v>6.8174124719963106E-2</v>
      </c>
      <c r="K88" s="111">
        <f t="shared" si="37"/>
        <v>3.5322307944432245E-2</v>
      </c>
      <c r="L88" s="111">
        <f t="shared" si="37"/>
        <v>5.3010051719467891E-2</v>
      </c>
      <c r="M88" s="111">
        <f t="shared" si="37"/>
        <v>8.6472787460158629E-2</v>
      </c>
      <c r="N88" s="111">
        <f t="shared" si="37"/>
        <v>0.10655474270510858</v>
      </c>
      <c r="O88" s="111">
        <f t="shared" si="37"/>
        <v>0.14943567294504384</v>
      </c>
      <c r="P88" s="111">
        <f t="shared" si="37"/>
        <v>0.18758532346322573</v>
      </c>
      <c r="Q88" s="111">
        <f t="shared" si="37"/>
        <v>0.17025998220496824</v>
      </c>
      <c r="R88" s="111">
        <f t="shared" si="37"/>
        <v>0.14992432927435431</v>
      </c>
      <c r="S88" s="111">
        <f t="shared" si="37"/>
        <v>0.1606475167632517</v>
      </c>
      <c r="T88" s="111">
        <f t="shared" si="37"/>
        <v>0.14024621421259101</v>
      </c>
      <c r="U88" s="111">
        <f t="shared" si="37"/>
        <v>0.1406015285256805</v>
      </c>
      <c r="V88" s="111">
        <f t="shared" si="37"/>
        <v>0.12497754063174042</v>
      </c>
      <c r="W88" s="111">
        <f t="shared" si="37"/>
        <v>0.10405400868693911</v>
      </c>
    </row>
    <row r="89" spans="1:27" ht="15.75" customHeight="1" x14ac:dyDescent="0.2">
      <c r="A89" s="4"/>
      <c r="B89" s="30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</row>
    <row r="90" spans="1:27" ht="15.75" customHeight="1" x14ac:dyDescent="0.2">
      <c r="A90" s="7"/>
      <c r="B90" s="84" t="s">
        <v>111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spans="1:27" ht="15.75" customHeight="1" x14ac:dyDescent="0.2">
      <c r="A91" s="7"/>
      <c r="B91" s="80" t="s">
        <v>112</v>
      </c>
      <c r="C91" s="87">
        <v>281189.74</v>
      </c>
      <c r="D91" s="87">
        <v>238534.15</v>
      </c>
      <c r="E91" s="87">
        <v>25920.18</v>
      </c>
      <c r="F91" s="87">
        <v>263992.05</v>
      </c>
      <c r="G91" s="87">
        <v>129776.89999999994</v>
      </c>
      <c r="H91" s="87">
        <v>1454964.5900000003</v>
      </c>
      <c r="I91" s="87">
        <v>795404.40000000014</v>
      </c>
      <c r="J91" s="87">
        <v>471863.51999999996</v>
      </c>
      <c r="K91" s="87">
        <v>677296.38</v>
      </c>
      <c r="L91" s="87">
        <v>1236436.6100000001</v>
      </c>
      <c r="M91" s="87">
        <v>2347970.42</v>
      </c>
      <c r="N91" s="87">
        <v>2692938.17</v>
      </c>
      <c r="O91" s="87">
        <v>1716256.75</v>
      </c>
      <c r="P91" s="87">
        <v>2301892.89</v>
      </c>
      <c r="Q91" s="87">
        <v>510580.57999999996</v>
      </c>
      <c r="R91" s="87">
        <v>2907228.74</v>
      </c>
      <c r="S91" s="87">
        <v>2261469.88</v>
      </c>
      <c r="T91" s="87">
        <v>811019.17</v>
      </c>
      <c r="U91" s="87">
        <v>298941.99</v>
      </c>
      <c r="V91" s="87">
        <v>139925.66</v>
      </c>
      <c r="W91" s="87">
        <v>365247.77</v>
      </c>
    </row>
    <row r="92" spans="1:27" ht="15.75" customHeight="1" x14ac:dyDescent="0.2">
      <c r="A92" s="7"/>
      <c r="B92" s="80" t="s">
        <v>113</v>
      </c>
      <c r="C92" s="87">
        <v>24990</v>
      </c>
      <c r="D92" s="87">
        <v>79076.570000000007</v>
      </c>
      <c r="E92" s="87">
        <v>8479.7900000000081</v>
      </c>
      <c r="F92" s="87">
        <v>14625.23</v>
      </c>
      <c r="G92" s="87">
        <v>289863.5</v>
      </c>
      <c r="H92" s="87">
        <v>292053.02999999997</v>
      </c>
      <c r="I92" s="87">
        <v>472439.10999999993</v>
      </c>
      <c r="J92" s="87">
        <v>832596.08000000007</v>
      </c>
      <c r="K92" s="87">
        <v>344359.25</v>
      </c>
      <c r="L92" s="87">
        <v>892037.55</v>
      </c>
      <c r="M92" s="87">
        <v>1418108.79</v>
      </c>
      <c r="N92" s="87">
        <v>2051688.51</v>
      </c>
      <c r="O92" s="87">
        <v>2365197.41</v>
      </c>
      <c r="P92" s="87">
        <v>1021060.36</v>
      </c>
      <c r="Q92" s="87">
        <v>1901079.25</v>
      </c>
      <c r="R92" s="87">
        <v>369783.1</v>
      </c>
      <c r="S92" s="87">
        <v>1637972.06</v>
      </c>
      <c r="T92" s="87">
        <v>1825638.3</v>
      </c>
      <c r="U92" s="87">
        <v>798072.4</v>
      </c>
      <c r="V92" s="87">
        <v>269230.8</v>
      </c>
      <c r="W92" s="87">
        <v>227826.38</v>
      </c>
    </row>
    <row r="93" spans="1:27" ht="15.75" customHeight="1" x14ac:dyDescent="0.2">
      <c r="A93" s="7"/>
      <c r="B93" s="80" t="s">
        <v>115</v>
      </c>
      <c r="C93" s="87">
        <v>24966.240000000002</v>
      </c>
      <c r="D93" s="87">
        <v>24990</v>
      </c>
      <c r="E93" s="87">
        <v>74910.91</v>
      </c>
      <c r="F93" s="87">
        <v>8989.7900000000009</v>
      </c>
      <c r="G93" s="87">
        <v>14625.23</v>
      </c>
      <c r="H93" s="87">
        <v>245771.25</v>
      </c>
      <c r="I93" s="87">
        <v>183089.91</v>
      </c>
      <c r="J93" s="87">
        <v>270266.15999999997</v>
      </c>
      <c r="K93" s="87">
        <v>325661.99</v>
      </c>
      <c r="L93" s="87">
        <v>320667.84999999998</v>
      </c>
      <c r="M93" s="87">
        <v>971604.75</v>
      </c>
      <c r="N93" s="87">
        <v>1212081.31</v>
      </c>
      <c r="O93" s="87">
        <v>1950086.2</v>
      </c>
      <c r="P93" s="87">
        <v>2702714.78</v>
      </c>
      <c r="Q93" s="87">
        <v>1275138.08</v>
      </c>
      <c r="R93" s="87">
        <v>1793330.18</v>
      </c>
      <c r="S93" s="87">
        <v>522585.51</v>
      </c>
      <c r="T93" s="87">
        <v>1615317.25</v>
      </c>
      <c r="U93" s="87">
        <v>1847250.23</v>
      </c>
      <c r="V93" s="87">
        <v>383263.71</v>
      </c>
      <c r="W93" s="87">
        <v>205714.33</v>
      </c>
    </row>
    <row r="94" spans="1:27" ht="15.75" customHeight="1" x14ac:dyDescent="0.2">
      <c r="A94" s="7"/>
      <c r="B94" s="80" t="s">
        <v>116</v>
      </c>
      <c r="C94" s="87">
        <v>24895.5</v>
      </c>
      <c r="D94" s="87">
        <v>24966.240000000002</v>
      </c>
      <c r="E94" s="87">
        <v>24990</v>
      </c>
      <c r="F94" s="87">
        <v>154622.13</v>
      </c>
      <c r="G94" s="87">
        <v>134291.44</v>
      </c>
      <c r="H94" s="87">
        <v>14625.23</v>
      </c>
      <c r="I94" s="87">
        <v>338080.04000000004</v>
      </c>
      <c r="J94" s="87">
        <v>399993.08</v>
      </c>
      <c r="K94" s="87">
        <v>353159.29</v>
      </c>
      <c r="L94" s="87">
        <v>413033.38</v>
      </c>
      <c r="M94" s="13">
        <v>493585.57</v>
      </c>
      <c r="N94" s="87">
        <v>1150913.51</v>
      </c>
      <c r="O94" s="87">
        <v>967672.18</v>
      </c>
      <c r="P94" s="87">
        <v>2339485.69</v>
      </c>
      <c r="Q94" s="87">
        <v>2791106.73</v>
      </c>
      <c r="R94" s="87">
        <v>1570412.48</v>
      </c>
      <c r="S94" s="87">
        <v>1746327.1</v>
      </c>
      <c r="T94" s="87">
        <v>530309.56999999995</v>
      </c>
      <c r="U94" s="87">
        <v>1646255.8</v>
      </c>
      <c r="V94" s="87">
        <v>1611561.35</v>
      </c>
      <c r="W94" s="87">
        <v>1280199.74</v>
      </c>
    </row>
    <row r="95" spans="1:27" ht="15.75" customHeight="1" x14ac:dyDescent="0.2">
      <c r="A95" s="7"/>
      <c r="B95" s="80" t="s">
        <v>117</v>
      </c>
      <c r="C95" s="87">
        <v>0</v>
      </c>
      <c r="D95" s="87">
        <v>20331</v>
      </c>
      <c r="E95" s="87">
        <v>24966.240000000002</v>
      </c>
      <c r="F95" s="87">
        <v>24990</v>
      </c>
      <c r="G95" s="87">
        <v>154622.13</v>
      </c>
      <c r="H95" s="87">
        <v>124191.44</v>
      </c>
      <c r="I95" s="87">
        <v>14625.23</v>
      </c>
      <c r="J95" s="87">
        <v>288175.03999999998</v>
      </c>
      <c r="K95" s="87">
        <v>196375.63</v>
      </c>
      <c r="L95" s="87">
        <v>174240.59</v>
      </c>
      <c r="M95" s="87">
        <v>600056.30000000005</v>
      </c>
      <c r="N95" s="87">
        <v>433899.12</v>
      </c>
      <c r="O95" s="87">
        <v>815446.79</v>
      </c>
      <c r="P95" s="87">
        <v>1171725.58</v>
      </c>
      <c r="Q95" s="87">
        <v>2434438.0500000003</v>
      </c>
      <c r="R95" s="87">
        <v>2844212.41</v>
      </c>
      <c r="S95" s="87">
        <v>1627874.42</v>
      </c>
      <c r="T95" s="87">
        <v>1857297.94</v>
      </c>
      <c r="U95" s="87">
        <v>548339.06999999995</v>
      </c>
      <c r="V95" s="87">
        <v>1988543.48</v>
      </c>
      <c r="W95" s="87">
        <v>1059751.73</v>
      </c>
    </row>
    <row r="96" spans="1:27" ht="15.75" customHeight="1" x14ac:dyDescent="0.2">
      <c r="A96" s="7"/>
      <c r="B96" s="80" t="s">
        <v>118</v>
      </c>
      <c r="C96" s="87">
        <v>74910</v>
      </c>
      <c r="D96" s="87">
        <v>0</v>
      </c>
      <c r="E96" s="87">
        <v>20331</v>
      </c>
      <c r="F96" s="87">
        <v>24966.240000000002</v>
      </c>
      <c r="G96" s="87">
        <v>24990</v>
      </c>
      <c r="H96" s="87">
        <v>154622.13</v>
      </c>
      <c r="I96" s="87">
        <v>124191.44</v>
      </c>
      <c r="J96" s="87">
        <v>64530.229999999996</v>
      </c>
      <c r="K96" s="87">
        <v>114741.19</v>
      </c>
      <c r="L96" s="87">
        <v>351294.95</v>
      </c>
      <c r="M96" s="87">
        <v>342857.35</v>
      </c>
      <c r="N96" s="87">
        <v>673817.93</v>
      </c>
      <c r="O96" s="87">
        <v>815089.24</v>
      </c>
      <c r="P96" s="87">
        <v>1043327.15</v>
      </c>
      <c r="Q96" s="87">
        <v>1145401.96</v>
      </c>
      <c r="R96" s="87">
        <v>2486221.0099999998</v>
      </c>
      <c r="S96" s="87">
        <v>2906423.1</v>
      </c>
      <c r="T96" s="87">
        <v>1650209.84</v>
      </c>
      <c r="U96" s="87">
        <v>1772818.64</v>
      </c>
      <c r="V96" s="87">
        <v>743571</v>
      </c>
      <c r="W96" s="87">
        <v>2075346.02</v>
      </c>
      <c r="X96" s="46">
        <v>8700000</v>
      </c>
    </row>
    <row r="97" spans="1:24" ht="15.75" customHeight="1" x14ac:dyDescent="0.2">
      <c r="A97" s="7"/>
      <c r="B97" s="80" t="s">
        <v>119</v>
      </c>
      <c r="C97" s="87">
        <v>0</v>
      </c>
      <c r="D97" s="87">
        <v>74910</v>
      </c>
      <c r="E97" s="87">
        <v>0</v>
      </c>
      <c r="F97" s="87">
        <v>41726.5</v>
      </c>
      <c r="G97" s="87">
        <v>66692.740000000005</v>
      </c>
      <c r="H97" s="87">
        <v>91682.74</v>
      </c>
      <c r="I97" s="87">
        <v>246304.87</v>
      </c>
      <c r="J97" s="87">
        <v>370496.31</v>
      </c>
      <c r="K97" s="87">
        <v>280444.07999999996</v>
      </c>
      <c r="L97" s="87">
        <v>406714.53</v>
      </c>
      <c r="M97" s="87">
        <v>796049.22</v>
      </c>
      <c r="N97" s="87">
        <v>1145906.57</v>
      </c>
      <c r="O97" s="87">
        <v>1928516.1</v>
      </c>
      <c r="P97" s="87">
        <v>2450445.21</v>
      </c>
      <c r="Q97" s="87">
        <v>3544210.22</v>
      </c>
      <c r="R97" s="87">
        <v>4788306.76</v>
      </c>
      <c r="S97" s="87">
        <v>7415566.5499999998</v>
      </c>
      <c r="T97" s="87">
        <v>10319223.810000001</v>
      </c>
      <c r="U97" s="87">
        <v>12463291.460000001</v>
      </c>
      <c r="V97" s="87">
        <v>14935463.189999999</v>
      </c>
      <c r="W97" s="87">
        <v>15870768.109999999</v>
      </c>
      <c r="X97" s="86">
        <f>SUM(W91:W97)</f>
        <v>21084854.079999998</v>
      </c>
    </row>
    <row r="98" spans="1:24" ht="15.75" customHeight="1" x14ac:dyDescent="0.2">
      <c r="A98" s="7"/>
      <c r="B98" s="80" t="s">
        <v>120</v>
      </c>
      <c r="C98" s="87">
        <v>0</v>
      </c>
      <c r="D98" s="87">
        <v>0</v>
      </c>
      <c r="E98" s="87">
        <v>0</v>
      </c>
      <c r="F98" s="87">
        <v>0</v>
      </c>
      <c r="G98" s="87">
        <v>0</v>
      </c>
      <c r="H98" s="87">
        <v>0</v>
      </c>
      <c r="I98" s="87">
        <v>0</v>
      </c>
      <c r="J98" s="87">
        <v>0</v>
      </c>
      <c r="K98" s="87">
        <v>0</v>
      </c>
      <c r="L98" s="87">
        <v>0</v>
      </c>
      <c r="M98" s="87">
        <v>0</v>
      </c>
      <c r="N98" s="87">
        <v>0</v>
      </c>
      <c r="O98" s="87">
        <v>0</v>
      </c>
      <c r="P98" s="87">
        <v>0</v>
      </c>
      <c r="Q98" s="87">
        <v>0</v>
      </c>
      <c r="R98" s="87">
        <v>0</v>
      </c>
      <c r="S98" s="87"/>
      <c r="T98" s="87"/>
      <c r="U98" s="87"/>
      <c r="V98" s="87"/>
      <c r="W98" s="87"/>
      <c r="X98" s="7">
        <f>X96/X97</f>
        <v>0.41261845906025835</v>
      </c>
    </row>
    <row r="99" spans="1:24" ht="15.75" customHeight="1" x14ac:dyDescent="0.2">
      <c r="A99" s="7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87"/>
    </row>
    <row r="100" spans="1:24" ht="15.75" customHeight="1" x14ac:dyDescent="0.2">
      <c r="A100" s="7"/>
      <c r="B100" s="84" t="s">
        <v>123</v>
      </c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87"/>
    </row>
    <row r="101" spans="1:24" ht="15.75" customHeight="1" x14ac:dyDescent="0.2">
      <c r="A101" s="7"/>
      <c r="B101" s="80" t="s">
        <v>124</v>
      </c>
      <c r="C101" s="121">
        <v>7</v>
      </c>
      <c r="D101" s="121">
        <v>9</v>
      </c>
      <c r="E101" s="121">
        <v>7</v>
      </c>
      <c r="F101" s="121">
        <v>4</v>
      </c>
      <c r="G101" s="121">
        <v>5</v>
      </c>
      <c r="H101" s="121">
        <v>5</v>
      </c>
      <c r="I101" s="121">
        <v>10</v>
      </c>
      <c r="J101" s="121">
        <v>10</v>
      </c>
      <c r="K101" s="121">
        <v>46</v>
      </c>
      <c r="L101" s="121">
        <v>53</v>
      </c>
      <c r="M101" s="121">
        <v>35</v>
      </c>
      <c r="N101" s="121">
        <v>54</v>
      </c>
      <c r="O101" s="121">
        <v>74</v>
      </c>
      <c r="P101" s="121">
        <v>87</v>
      </c>
      <c r="Q101" s="121">
        <v>74</v>
      </c>
      <c r="R101" s="121">
        <v>61</v>
      </c>
      <c r="S101" s="121">
        <v>46</v>
      </c>
      <c r="T101" s="121">
        <v>39</v>
      </c>
      <c r="U101" s="121">
        <v>25</v>
      </c>
      <c r="V101" s="121">
        <v>24</v>
      </c>
      <c r="W101" s="87">
        <v>22</v>
      </c>
    </row>
    <row r="102" spans="1:24" ht="15.75" customHeight="1" x14ac:dyDescent="0.2">
      <c r="A102" s="7"/>
      <c r="B102" s="80" t="s">
        <v>125</v>
      </c>
      <c r="C102" s="87">
        <v>215196.44</v>
      </c>
      <c r="D102" s="87">
        <v>422211.89</v>
      </c>
      <c r="E102" s="87">
        <v>398657.7</v>
      </c>
      <c r="F102" s="87">
        <v>200711.66</v>
      </c>
      <c r="G102" s="87">
        <v>340197.28</v>
      </c>
      <c r="H102" s="87">
        <v>143424.07</v>
      </c>
      <c r="I102" s="87">
        <v>225316.28</v>
      </c>
      <c r="J102" s="87">
        <v>209340.32</v>
      </c>
      <c r="K102" s="87">
        <v>1520913.46</v>
      </c>
      <c r="L102" s="87">
        <v>1873970.29</v>
      </c>
      <c r="M102" s="87">
        <v>937651.19999999995</v>
      </c>
      <c r="N102" s="87">
        <v>2423217.75</v>
      </c>
      <c r="O102" s="87">
        <v>2963176.37</v>
      </c>
      <c r="P102" s="87">
        <v>3080257.47</v>
      </c>
      <c r="Q102" s="87">
        <v>2549563.9499999997</v>
      </c>
      <c r="R102" s="87">
        <v>1690581.16</v>
      </c>
      <c r="S102" s="87">
        <v>1205884.42</v>
      </c>
      <c r="T102" s="87">
        <v>1233677</v>
      </c>
      <c r="U102" s="87">
        <v>584736.19999999995</v>
      </c>
      <c r="V102" s="87">
        <v>489311.08</v>
      </c>
      <c r="W102" s="87">
        <v>559284.15</v>
      </c>
    </row>
    <row r="103" spans="1:24" ht="15.75" customHeight="1" x14ac:dyDescent="0.2">
      <c r="A103" s="7"/>
      <c r="B103" s="30"/>
      <c r="C103" s="79"/>
      <c r="D103" s="79"/>
      <c r="E103" s="79"/>
      <c r="F103" s="79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</row>
    <row r="104" spans="1:24" ht="15.75" customHeight="1" x14ac:dyDescent="0.2">
      <c r="A104" s="26"/>
      <c r="B104" s="27" t="s">
        <v>126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 spans="1:24" ht="15.75" customHeight="1" x14ac:dyDescent="0.2">
      <c r="A105" s="7"/>
      <c r="B105" s="63" t="s">
        <v>127</v>
      </c>
      <c r="C105" s="85"/>
      <c r="D105" s="30"/>
      <c r="E105" s="44">
        <f>SUM(C106:E106)</f>
        <v>48066350.75</v>
      </c>
      <c r="F105" s="30"/>
      <c r="G105" s="30"/>
      <c r="H105" s="44">
        <f>SUM(F106:H106)</f>
        <v>81149767.50999999</v>
      </c>
      <c r="I105" s="30"/>
      <c r="J105" s="30"/>
      <c r="K105" s="44">
        <f>SUM(I106:K106)</f>
        <v>145080910.39000002</v>
      </c>
      <c r="L105" s="30"/>
      <c r="M105" s="30"/>
      <c r="N105" s="44">
        <f>SUM(L106:N106)</f>
        <v>206235196.74999997</v>
      </c>
      <c r="O105" s="30"/>
      <c r="P105" s="30"/>
      <c r="Q105" s="122"/>
      <c r="R105" s="122"/>
      <c r="S105" s="122"/>
      <c r="T105" s="122"/>
      <c r="U105" s="122"/>
      <c r="V105" s="122"/>
      <c r="W105" s="122"/>
    </row>
    <row r="106" spans="1:24" ht="15.75" customHeight="1" x14ac:dyDescent="0.2">
      <c r="A106" s="4"/>
      <c r="B106" s="84" t="s">
        <v>128</v>
      </c>
      <c r="C106" s="123">
        <f>SUM(Daily!C19:AG19)</f>
        <v>14265387.440000003</v>
      </c>
      <c r="D106" s="123">
        <f>SUM(Daily!AH19:BI19)</f>
        <v>15389668.130000001</v>
      </c>
      <c r="E106" s="123">
        <f>SUM(Daily!BJ19:CN19)</f>
        <v>18411295.179999996</v>
      </c>
      <c r="F106" s="123">
        <f>SUM(Daily!CO19:DR19)</f>
        <v>22066769.039999999</v>
      </c>
      <c r="G106" s="123">
        <f>SUM(Daily!DS19:EW19)</f>
        <v>25830587.240000002</v>
      </c>
      <c r="H106" s="123">
        <f>SUM(Daily!EX19:GA19)</f>
        <v>33252411.229999997</v>
      </c>
      <c r="I106" s="123">
        <f>SUM(Daily!GB19:HF19)</f>
        <v>40571216.760000005</v>
      </c>
      <c r="J106" s="123">
        <f>SUM(Daily!HG19:IK19)</f>
        <v>46731157.469999999</v>
      </c>
      <c r="K106" s="123">
        <f>SUM(Daily!IL19:JO19)</f>
        <v>57778536.160000011</v>
      </c>
      <c r="L106" s="123">
        <f>SUM(Daily!JP19:KT19)</f>
        <v>65017652.660000004</v>
      </c>
      <c r="M106" s="123">
        <f>SUM(Daily!KU19:LX19)</f>
        <v>68758349.37999998</v>
      </c>
      <c r="N106" s="123">
        <f>SUM(Daily!LY19:NC19)</f>
        <v>72459194.709999979</v>
      </c>
      <c r="O106" s="123">
        <f>SUM(Daily!ND19:OH19)</f>
        <v>62289568.900000013</v>
      </c>
      <c r="P106" s="124">
        <v>66496760.360000022</v>
      </c>
      <c r="Q106" s="123">
        <f>SUM(Daily!PK19:QO19)</f>
        <v>104276388.50999998</v>
      </c>
      <c r="R106" s="123">
        <f>SUM(Daily!QP19:RS19)</f>
        <v>115159474.55999997</v>
      </c>
      <c r="S106" s="124">
        <v>129751170.98000029</v>
      </c>
      <c r="T106" s="125">
        <f>SUM(Daily!SY19:UB19)</f>
        <v>140864018.40000004</v>
      </c>
      <c r="U106" s="125">
        <v>141317816.22000003</v>
      </c>
      <c r="V106" s="125">
        <v>167472179.11000001</v>
      </c>
      <c r="W106" s="126">
        <v>191937017.83000001</v>
      </c>
    </row>
    <row r="107" spans="1:24" ht="15.75" customHeight="1" x14ac:dyDescent="0.2">
      <c r="A107" s="4"/>
      <c r="B107" s="84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7">
        <f t="shared" ref="O107:W107" si="38">O106/ForEx</f>
        <v>1116300.5179211472</v>
      </c>
      <c r="P107" s="127">
        <f t="shared" si="38"/>
        <v>1191698.214336918</v>
      </c>
      <c r="Q107" s="127">
        <f t="shared" si="38"/>
        <v>1868752.4822580642</v>
      </c>
      <c r="R107" s="127">
        <f t="shared" si="38"/>
        <v>2063789.8666666662</v>
      </c>
      <c r="S107" s="127">
        <f t="shared" si="38"/>
        <v>2325289.8025089661</v>
      </c>
      <c r="T107" s="127">
        <f t="shared" si="38"/>
        <v>2524444.7741935491</v>
      </c>
      <c r="U107" s="127">
        <f t="shared" si="38"/>
        <v>2532577.3516129036</v>
      </c>
      <c r="V107" s="127">
        <f t="shared" si="38"/>
        <v>3001293.5324372766</v>
      </c>
      <c r="W107" s="127">
        <f t="shared" si="38"/>
        <v>3439731.5023297495</v>
      </c>
    </row>
    <row r="108" spans="1:24" ht="15.75" customHeight="1" x14ac:dyDescent="0.2">
      <c r="A108" s="7"/>
      <c r="B108" s="80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</row>
    <row r="109" spans="1:24" ht="15.75" customHeight="1" x14ac:dyDescent="0.2">
      <c r="A109" s="21"/>
      <c r="B109" s="33" t="s">
        <v>129</v>
      </c>
      <c r="C109" s="128">
        <f t="shared" ref="C109:W109" si="39">C106/C23</f>
        <v>32458.219431171794</v>
      </c>
      <c r="D109" s="128">
        <f t="shared" si="39"/>
        <v>26625.7234083045</v>
      </c>
      <c r="E109" s="128">
        <f t="shared" si="39"/>
        <v>26453.01031609195</v>
      </c>
      <c r="F109" s="128">
        <f t="shared" si="39"/>
        <v>25930.398401880138</v>
      </c>
      <c r="G109" s="128">
        <f t="shared" si="39"/>
        <v>22909.611742793793</v>
      </c>
      <c r="H109" s="128">
        <f t="shared" si="39"/>
        <v>21200.134670066942</v>
      </c>
      <c r="I109" s="128">
        <f t="shared" si="39"/>
        <v>19651.836648098815</v>
      </c>
      <c r="J109" s="128">
        <f t="shared" si="39"/>
        <v>17535.143515947468</v>
      </c>
      <c r="K109" s="128">
        <f t="shared" si="39"/>
        <v>18103.88098386339</v>
      </c>
      <c r="L109" s="128">
        <f t="shared" si="39"/>
        <v>19241.684717372005</v>
      </c>
      <c r="M109" s="128">
        <f t="shared" si="39"/>
        <v>19990.797900857677</v>
      </c>
      <c r="N109" s="128">
        <f t="shared" si="39"/>
        <v>19857.274516305832</v>
      </c>
      <c r="O109" s="128">
        <f t="shared" si="39"/>
        <v>15827.612476178379</v>
      </c>
      <c r="P109" s="128">
        <f t="shared" si="39"/>
        <v>14530.047057795264</v>
      </c>
      <c r="Q109" s="129">
        <f t="shared" si="39"/>
        <v>17955.469394748165</v>
      </c>
      <c r="R109" s="129">
        <f t="shared" si="39"/>
        <v>16377.654065277675</v>
      </c>
      <c r="S109" s="129">
        <f t="shared" si="39"/>
        <v>15645.866511515771</v>
      </c>
      <c r="T109" s="129">
        <f t="shared" si="39"/>
        <v>13816.29330587024</v>
      </c>
      <c r="U109" s="129">
        <f t="shared" si="39"/>
        <v>11916.503602327348</v>
      </c>
      <c r="V109" s="129">
        <f t="shared" si="39"/>
        <v>13109.881334690204</v>
      </c>
      <c r="W109" s="129">
        <f t="shared" si="39"/>
        <v>13013.12029763721</v>
      </c>
    </row>
    <row r="110" spans="1:24" ht="15.75" customHeight="1" x14ac:dyDescent="0.2">
      <c r="A110" s="21"/>
      <c r="B110" s="33" t="s">
        <v>130</v>
      </c>
      <c r="C110" s="128">
        <f t="shared" ref="C110:T110" si="40">C106/C14</f>
        <v>35842.682010050259</v>
      </c>
      <c r="D110" s="128">
        <f t="shared" si="40"/>
        <v>31862.666935817808</v>
      </c>
      <c r="E110" s="128">
        <f t="shared" si="40"/>
        <v>32471.42007054673</v>
      </c>
      <c r="F110" s="128">
        <f t="shared" si="40"/>
        <v>30862.614041958041</v>
      </c>
      <c r="G110" s="128">
        <f t="shared" si="40"/>
        <v>27161.500778128287</v>
      </c>
      <c r="H110" s="128">
        <f t="shared" si="40"/>
        <v>24289.562622352081</v>
      </c>
      <c r="I110" s="128">
        <f t="shared" si="40"/>
        <v>24920.89481572482</v>
      </c>
      <c r="J110" s="128">
        <f t="shared" si="40"/>
        <v>23542.14482115869</v>
      </c>
      <c r="K110" s="128">
        <f t="shared" si="40"/>
        <v>24276.695865546222</v>
      </c>
      <c r="L110" s="128">
        <f t="shared" si="40"/>
        <v>26440.688352989022</v>
      </c>
      <c r="M110" s="128">
        <f t="shared" si="40"/>
        <v>27613.794931726901</v>
      </c>
      <c r="N110" s="128">
        <f t="shared" si="40"/>
        <v>26846.681997035932</v>
      </c>
      <c r="O110" s="128">
        <f t="shared" si="40"/>
        <v>23113.012578849728</v>
      </c>
      <c r="P110" s="128">
        <f t="shared" si="40"/>
        <v>19849.779211940306</v>
      </c>
      <c r="Q110" s="129">
        <f t="shared" si="40"/>
        <v>24958.446268549538</v>
      </c>
      <c r="R110" s="129">
        <f t="shared" si="40"/>
        <v>21926.784950495043</v>
      </c>
      <c r="S110" s="129">
        <f t="shared" si="40"/>
        <v>21121.792443431594</v>
      </c>
      <c r="T110" s="129">
        <f t="shared" si="40"/>
        <v>18834.606016847178</v>
      </c>
      <c r="U110" s="129">
        <f t="shared" ref="U110:W110" si="41">U106/U7</f>
        <v>16518.739476329636</v>
      </c>
      <c r="V110" s="129">
        <f t="shared" si="41"/>
        <v>18067.987820692633</v>
      </c>
      <c r="W110" s="129">
        <f t="shared" si="41"/>
        <v>16534.891267229497</v>
      </c>
    </row>
    <row r="111" spans="1:24" ht="15.75" customHeight="1" x14ac:dyDescent="0.2">
      <c r="A111" s="21"/>
      <c r="B111" s="33" t="s">
        <v>131</v>
      </c>
      <c r="C111" s="127">
        <f t="shared" ref="C111:W111" si="42">C110/ForEx</f>
        <v>642.3419715062771</v>
      </c>
      <c r="D111" s="127">
        <f t="shared" si="42"/>
        <v>571.01553648419008</v>
      </c>
      <c r="E111" s="127">
        <f t="shared" si="42"/>
        <v>581.92509087001315</v>
      </c>
      <c r="F111" s="127">
        <f t="shared" si="42"/>
        <v>553.09344161215131</v>
      </c>
      <c r="G111" s="127">
        <f t="shared" si="42"/>
        <v>486.7652469198618</v>
      </c>
      <c r="H111" s="127">
        <f t="shared" si="42"/>
        <v>435.2968211891054</v>
      </c>
      <c r="I111" s="127">
        <f t="shared" si="42"/>
        <v>446.6110182029538</v>
      </c>
      <c r="J111" s="127">
        <f t="shared" si="42"/>
        <v>421.9022369383278</v>
      </c>
      <c r="K111" s="127">
        <f t="shared" si="42"/>
        <v>435.06623414957392</v>
      </c>
      <c r="L111" s="127">
        <f t="shared" si="42"/>
        <v>473.84746152310078</v>
      </c>
      <c r="M111" s="127">
        <f t="shared" si="42"/>
        <v>494.87087691266851</v>
      </c>
      <c r="N111" s="127">
        <f t="shared" si="42"/>
        <v>481.12333328021384</v>
      </c>
      <c r="O111" s="127">
        <f t="shared" si="42"/>
        <v>414.21169496146467</v>
      </c>
      <c r="P111" s="127">
        <f t="shared" si="42"/>
        <v>355.73081024982628</v>
      </c>
      <c r="Q111" s="130">
        <f t="shared" si="42"/>
        <v>447.28398330733944</v>
      </c>
      <c r="R111" s="130">
        <f t="shared" si="42"/>
        <v>392.95313531353128</v>
      </c>
      <c r="S111" s="130">
        <f t="shared" si="42"/>
        <v>378.52674629805728</v>
      </c>
      <c r="T111" s="130">
        <f t="shared" si="42"/>
        <v>337.53774223740464</v>
      </c>
      <c r="U111" s="130">
        <f t="shared" si="42"/>
        <v>296.03475764031606</v>
      </c>
      <c r="V111" s="130">
        <f t="shared" si="42"/>
        <v>323.79906488696474</v>
      </c>
      <c r="W111" s="130">
        <f t="shared" si="42"/>
        <v>296.32421625859314</v>
      </c>
    </row>
    <row r="112" spans="1:24" ht="15.75" customHeight="1" x14ac:dyDescent="0.2">
      <c r="A112" s="7"/>
      <c r="B112" s="30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131"/>
      <c r="R112" s="131"/>
      <c r="S112" s="131"/>
      <c r="T112" s="131"/>
      <c r="U112" s="131"/>
      <c r="V112" s="131"/>
      <c r="W112" s="131"/>
    </row>
    <row r="113" spans="1:31" ht="15.75" customHeight="1" x14ac:dyDescent="0.2">
      <c r="A113" s="4"/>
      <c r="B113" s="132" t="s">
        <v>132</v>
      </c>
      <c r="C113" s="85">
        <f>SUM(Daily!C22:AG22)</f>
        <v>7108</v>
      </c>
      <c r="D113" s="85">
        <f>SUM(Daily!AH22:BI22)</f>
        <v>7902</v>
      </c>
      <c r="E113" s="85">
        <f>SUM(Daily!BJ22:CN22)</f>
        <v>10498</v>
      </c>
      <c r="F113" s="85">
        <f>SUM(Daily!CO22:DR22)</f>
        <v>12775</v>
      </c>
      <c r="G113" s="85">
        <f>SUM(Daily!DS22:EW22)</f>
        <v>16241</v>
      </c>
      <c r="H113" s="85">
        <f>SUM(Daily!EX22:GA22)</f>
        <v>22200</v>
      </c>
      <c r="I113" s="85">
        <f>SUM(Daily!GB22:HF22)</f>
        <v>26185</v>
      </c>
      <c r="J113" s="85">
        <f>SUM(Daily!HG22:IK22)</f>
        <v>31820</v>
      </c>
      <c r="K113" s="85">
        <f>SUM(Daily!IL22:JO22)</f>
        <v>39812</v>
      </c>
      <c r="L113" s="85">
        <f>SUM(Daily!JP22:KT22)</f>
        <v>43647</v>
      </c>
      <c r="M113" s="85">
        <f>SUM(Daily!KU22:LX22)</f>
        <v>51269</v>
      </c>
      <c r="N113" s="85">
        <f>SUM(Daily!LY22:NC22)</f>
        <v>54130</v>
      </c>
      <c r="O113" s="85">
        <f>SUM(Daily!ND22:OH22)</f>
        <v>45388</v>
      </c>
      <c r="P113" s="85">
        <v>52090</v>
      </c>
      <c r="Q113" s="85">
        <f>SUM(Daily!PK22:QO22)</f>
        <v>74398</v>
      </c>
      <c r="R113" s="85">
        <f>SUM(Daily!QP22:RS22)</f>
        <v>89784</v>
      </c>
      <c r="S113" s="85">
        <f>SUM(Daily!RT22:SX22)</f>
        <v>101042</v>
      </c>
      <c r="T113" s="133">
        <f>SUM(Daily!SY22:UB22)</f>
        <v>109237</v>
      </c>
      <c r="U113" s="85">
        <v>116098</v>
      </c>
      <c r="V113" s="133">
        <v>124285</v>
      </c>
      <c r="W113" s="108">
        <v>136648</v>
      </c>
    </row>
    <row r="114" spans="1:31" ht="15.75" customHeight="1" x14ac:dyDescent="0.2">
      <c r="A114" s="7"/>
      <c r="B114" s="80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</row>
    <row r="115" spans="1:31" ht="15.75" customHeight="1" x14ac:dyDescent="0.2">
      <c r="A115" s="21"/>
      <c r="B115" s="134" t="s">
        <v>133</v>
      </c>
      <c r="C115" s="128">
        <f t="shared" ref="C115:W115" si="43">C106/C113</f>
        <v>2006.9481485649976</v>
      </c>
      <c r="D115" s="128">
        <f t="shared" si="43"/>
        <v>1947.5662022272843</v>
      </c>
      <c r="E115" s="128">
        <f t="shared" si="43"/>
        <v>1753.7907391884164</v>
      </c>
      <c r="F115" s="128">
        <f t="shared" si="43"/>
        <v>1727.3400422700586</v>
      </c>
      <c r="G115" s="128">
        <f t="shared" si="43"/>
        <v>1590.4554670278926</v>
      </c>
      <c r="H115" s="128">
        <f t="shared" si="43"/>
        <v>1497.8563617117115</v>
      </c>
      <c r="I115" s="128">
        <f t="shared" si="43"/>
        <v>1549.4067886194389</v>
      </c>
      <c r="J115" s="128">
        <f t="shared" si="43"/>
        <v>1468.6095999371464</v>
      </c>
      <c r="K115" s="128">
        <f t="shared" si="43"/>
        <v>1451.2844408720991</v>
      </c>
      <c r="L115" s="128">
        <f t="shared" si="43"/>
        <v>1489.6247774188375</v>
      </c>
      <c r="M115" s="128">
        <f t="shared" si="43"/>
        <v>1341.1291302736543</v>
      </c>
      <c r="N115" s="128">
        <f t="shared" si="43"/>
        <v>1338.6143489746901</v>
      </c>
      <c r="O115" s="128">
        <f t="shared" si="43"/>
        <v>1372.3796796510094</v>
      </c>
      <c r="P115" s="128">
        <f t="shared" si="43"/>
        <v>1276.5743973891347</v>
      </c>
      <c r="Q115" s="128">
        <f t="shared" si="43"/>
        <v>1401.6020391677193</v>
      </c>
      <c r="R115" s="128">
        <f t="shared" si="43"/>
        <v>1282.6280245923547</v>
      </c>
      <c r="S115" s="128">
        <f t="shared" si="43"/>
        <v>1284.1310641119562</v>
      </c>
      <c r="T115" s="128">
        <f t="shared" si="43"/>
        <v>1289.5266109468407</v>
      </c>
      <c r="U115" s="128">
        <f t="shared" si="43"/>
        <v>1217.2286880049617</v>
      </c>
      <c r="V115" s="128">
        <f t="shared" si="43"/>
        <v>1347.485047350847</v>
      </c>
      <c r="W115" s="128">
        <f t="shared" si="43"/>
        <v>1404.6090526754874</v>
      </c>
    </row>
    <row r="116" spans="1:31" ht="15.75" customHeight="1" x14ac:dyDescent="0.2">
      <c r="A116" s="21"/>
      <c r="B116" s="134" t="s">
        <v>134</v>
      </c>
      <c r="C116" s="127">
        <f t="shared" ref="C116:W116" si="44">C115/ForEx</f>
        <v>35.966812698297453</v>
      </c>
      <c r="D116" s="127">
        <f t="shared" si="44"/>
        <v>34.902620111600079</v>
      </c>
      <c r="E116" s="127">
        <f t="shared" si="44"/>
        <v>31.429941562516426</v>
      </c>
      <c r="F116" s="127">
        <f t="shared" si="44"/>
        <v>30.955914736022557</v>
      </c>
      <c r="G116" s="127">
        <f t="shared" si="44"/>
        <v>28.502786147453275</v>
      </c>
      <c r="H116" s="127">
        <f t="shared" si="44"/>
        <v>26.843303973328165</v>
      </c>
      <c r="I116" s="127">
        <f t="shared" si="44"/>
        <v>27.767146749452312</v>
      </c>
      <c r="J116" s="127">
        <f t="shared" si="44"/>
        <v>26.319168457654953</v>
      </c>
      <c r="K116" s="127">
        <f t="shared" si="44"/>
        <v>26.008681736059124</v>
      </c>
      <c r="L116" s="127">
        <f t="shared" si="44"/>
        <v>26.695784541556229</v>
      </c>
      <c r="M116" s="127">
        <f t="shared" si="44"/>
        <v>24.034572227126421</v>
      </c>
      <c r="N116" s="127">
        <f t="shared" si="44"/>
        <v>23.989504461912009</v>
      </c>
      <c r="O116" s="127">
        <f t="shared" si="44"/>
        <v>24.594617914892641</v>
      </c>
      <c r="P116" s="127">
        <f t="shared" si="44"/>
        <v>22.877677372565138</v>
      </c>
      <c r="Q116" s="127">
        <f t="shared" si="44"/>
        <v>25.118316114116837</v>
      </c>
      <c r="R116" s="127">
        <f t="shared" si="44"/>
        <v>22.986165315275176</v>
      </c>
      <c r="S116" s="127">
        <f t="shared" si="44"/>
        <v>23.013101507382729</v>
      </c>
      <c r="T116" s="127">
        <f t="shared" si="44"/>
        <v>23.109795895104675</v>
      </c>
      <c r="U116" s="127">
        <f t="shared" si="44"/>
        <v>21.814134193637308</v>
      </c>
      <c r="V116" s="127">
        <f t="shared" si="44"/>
        <v>24.148477551090451</v>
      </c>
      <c r="W116" s="127">
        <f t="shared" si="44"/>
        <v>25.17220524508042</v>
      </c>
    </row>
    <row r="117" spans="1:31" ht="15.75" customHeight="1" x14ac:dyDescent="0.2">
      <c r="A117" s="7"/>
      <c r="B117" s="80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</row>
    <row r="118" spans="1:31" ht="15.75" customHeight="1" x14ac:dyDescent="0.2">
      <c r="A118" s="7"/>
      <c r="B118" s="63" t="s">
        <v>135</v>
      </c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122"/>
      <c r="O118" s="79"/>
      <c r="P118" s="79"/>
      <c r="Q118" s="79"/>
      <c r="R118" s="79"/>
      <c r="S118" s="79"/>
      <c r="T118" s="79"/>
      <c r="U118" s="110"/>
      <c r="V118" s="110"/>
      <c r="W118" s="110"/>
    </row>
    <row r="119" spans="1:31" ht="15.75" customHeight="1" x14ac:dyDescent="0.2">
      <c r="A119" s="7"/>
      <c r="B119" s="63" t="s">
        <v>136</v>
      </c>
      <c r="C119" s="77">
        <f t="shared" ref="C119:V119" si="45">SUM(C120:C123)</f>
        <v>255008.12906810039</v>
      </c>
      <c r="D119" s="77">
        <f t="shared" si="45"/>
        <v>246756.61200716847</v>
      </c>
      <c r="E119" s="77">
        <f t="shared" si="45"/>
        <v>311498.21899641573</v>
      </c>
      <c r="F119" s="77">
        <f t="shared" si="45"/>
        <v>375555.30340501794</v>
      </c>
      <c r="G119" s="77">
        <f t="shared" si="45"/>
        <v>416469.92419354833</v>
      </c>
      <c r="H119" s="77">
        <f t="shared" si="45"/>
        <v>562584.21566308243</v>
      </c>
      <c r="I119" s="77">
        <f t="shared" si="45"/>
        <v>692006.46243727603</v>
      </c>
      <c r="J119" s="77">
        <f t="shared" si="45"/>
        <v>724773.35340501787</v>
      </c>
      <c r="K119" s="77">
        <f t="shared" si="45"/>
        <v>1033093.3222939067</v>
      </c>
      <c r="L119" s="77">
        <f t="shared" si="45"/>
        <v>1052181.6679569893</v>
      </c>
      <c r="M119" s="77">
        <f t="shared" si="45"/>
        <v>1080921.7362365592</v>
      </c>
      <c r="N119" s="77">
        <f t="shared" si="45"/>
        <v>1247187.9403225807</v>
      </c>
      <c r="O119" s="77">
        <f t="shared" si="45"/>
        <v>1069384.3217921145</v>
      </c>
      <c r="P119" s="77">
        <f t="shared" si="45"/>
        <v>1086788.1850537634</v>
      </c>
      <c r="Q119" s="77">
        <f t="shared" si="45"/>
        <v>1708683.9784946237</v>
      </c>
      <c r="R119" s="77">
        <f t="shared" si="45"/>
        <v>1898695.574121864</v>
      </c>
      <c r="S119" s="77">
        <f t="shared" si="45"/>
        <v>1978498.9994265237</v>
      </c>
      <c r="T119" s="77">
        <f t="shared" si="45"/>
        <v>2457813.4118996416</v>
      </c>
      <c r="U119" s="77">
        <f t="shared" si="45"/>
        <v>2280459.8007168458</v>
      </c>
      <c r="V119" s="77">
        <f t="shared" si="45"/>
        <v>2336718.5749820787</v>
      </c>
      <c r="W119" s="77">
        <f>SUM(W120,W123)</f>
        <v>3273308.8815770606</v>
      </c>
      <c r="X119" s="7">
        <f>W119*0.01</f>
        <v>32733.088815770607</v>
      </c>
      <c r="Y119" s="7">
        <f>X119/W7</f>
        <v>2.8198732611794113</v>
      </c>
    </row>
    <row r="120" spans="1:31" ht="15.75" customHeight="1" x14ac:dyDescent="0.2">
      <c r="A120" s="4"/>
      <c r="B120" s="132" t="s">
        <v>137</v>
      </c>
      <c r="C120" s="85">
        <f t="shared" ref="C120:V120" si="46">C128/ForEx</f>
        <v>162634.28906810039</v>
      </c>
      <c r="D120" s="85">
        <f t="shared" si="46"/>
        <v>161358.51200716847</v>
      </c>
      <c r="E120" s="85">
        <f t="shared" si="46"/>
        <v>181955.46899641576</v>
      </c>
      <c r="F120" s="85">
        <f t="shared" si="46"/>
        <v>229174.95340501794</v>
      </c>
      <c r="G120" s="85">
        <f t="shared" si="46"/>
        <v>266292.62419354834</v>
      </c>
      <c r="H120" s="85">
        <f t="shared" si="46"/>
        <v>368352.18566308246</v>
      </c>
      <c r="I120" s="85">
        <f t="shared" si="46"/>
        <v>467597.0324372761</v>
      </c>
      <c r="J120" s="85">
        <f t="shared" si="46"/>
        <v>489421.60340501793</v>
      </c>
      <c r="K120" s="85">
        <f t="shared" si="46"/>
        <v>667873.59229390672</v>
      </c>
      <c r="L120" s="85">
        <f t="shared" si="46"/>
        <v>660873.27795698924</v>
      </c>
      <c r="M120" s="85">
        <f t="shared" si="46"/>
        <v>715543.49623655924</v>
      </c>
      <c r="N120" s="85">
        <f t="shared" si="46"/>
        <v>815015.34032258077</v>
      </c>
      <c r="O120" s="85">
        <f t="shared" si="46"/>
        <v>705962.70179211465</v>
      </c>
      <c r="P120" s="85">
        <f t="shared" si="46"/>
        <v>700600.96505376347</v>
      </c>
      <c r="Q120" s="85">
        <f t="shared" si="46"/>
        <v>1067690.8784946238</v>
      </c>
      <c r="R120" s="85">
        <f t="shared" si="46"/>
        <v>1148143.6541218639</v>
      </c>
      <c r="S120" s="85">
        <f t="shared" si="46"/>
        <v>1312104.8394265235</v>
      </c>
      <c r="T120" s="85">
        <f t="shared" si="46"/>
        <v>1520355.9818996417</v>
      </c>
      <c r="U120" s="85">
        <f t="shared" si="46"/>
        <v>1342961.4507168459</v>
      </c>
      <c r="V120" s="85">
        <f t="shared" si="46"/>
        <v>1349569.1949820789</v>
      </c>
      <c r="W120" s="85">
        <f>SUM(W121:W122)</f>
        <v>2077572.9415770606</v>
      </c>
      <c r="X120" s="4"/>
      <c r="Y120" s="4"/>
      <c r="Z120" s="4"/>
      <c r="AA120" s="4"/>
      <c r="AB120" s="4"/>
      <c r="AC120" s="4"/>
      <c r="AD120" s="4"/>
      <c r="AE120" s="4"/>
    </row>
    <row r="121" spans="1:31" ht="15.75" customHeight="1" x14ac:dyDescent="0.2">
      <c r="A121" s="137"/>
      <c r="B121" s="138" t="s">
        <v>139</v>
      </c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>
        <f>W129/ForEx</f>
        <v>2102570.8818996414</v>
      </c>
      <c r="X121" s="137"/>
      <c r="Y121" s="137"/>
      <c r="Z121" s="137"/>
      <c r="AA121" s="137"/>
      <c r="AB121" s="137"/>
      <c r="AC121" s="137"/>
      <c r="AD121" s="137"/>
      <c r="AE121" s="137"/>
    </row>
    <row r="122" spans="1:31" ht="15.75" customHeight="1" x14ac:dyDescent="0.2">
      <c r="A122" s="137"/>
      <c r="B122" s="138" t="s">
        <v>140</v>
      </c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>
        <f>W130/ForEx</f>
        <v>-24997.940322580649</v>
      </c>
      <c r="X122" s="137"/>
      <c r="Y122" s="137"/>
      <c r="Z122" s="137"/>
      <c r="AA122" s="137"/>
      <c r="AB122" s="137"/>
      <c r="AC122" s="137"/>
      <c r="AD122" s="137"/>
      <c r="AE122" s="137"/>
    </row>
    <row r="123" spans="1:31" ht="15.75" customHeight="1" x14ac:dyDescent="0.2">
      <c r="A123" s="4"/>
      <c r="B123" s="132" t="s">
        <v>141</v>
      </c>
      <c r="C123" s="108">
        <v>92373.84</v>
      </c>
      <c r="D123" s="108">
        <v>85398.1</v>
      </c>
      <c r="E123" s="108">
        <v>129542.75</v>
      </c>
      <c r="F123" s="108">
        <v>146380.35</v>
      </c>
      <c r="G123" s="108">
        <v>150177.29999999999</v>
      </c>
      <c r="H123" s="108">
        <v>194232.03</v>
      </c>
      <c r="I123" s="108">
        <v>224409.43</v>
      </c>
      <c r="J123" s="108">
        <v>235351.75</v>
      </c>
      <c r="K123" s="108">
        <v>365219.73</v>
      </c>
      <c r="L123" s="108">
        <v>391308.39</v>
      </c>
      <c r="M123" s="108">
        <v>365378.24</v>
      </c>
      <c r="N123" s="108">
        <v>432172.6</v>
      </c>
      <c r="O123" s="108">
        <v>363421.62</v>
      </c>
      <c r="P123" s="108">
        <v>386187.22</v>
      </c>
      <c r="Q123" s="108">
        <v>640993.1</v>
      </c>
      <c r="R123" s="108">
        <v>750551.92</v>
      </c>
      <c r="S123" s="108">
        <v>666394.16</v>
      </c>
      <c r="T123" s="108">
        <v>937457.43</v>
      </c>
      <c r="U123" s="108">
        <v>937498.35</v>
      </c>
      <c r="V123" s="108">
        <v>987149.38</v>
      </c>
      <c r="W123" s="85">
        <f>SUM(W124:W125)</f>
        <v>1195735.94</v>
      </c>
      <c r="X123" s="4"/>
      <c r="Y123" s="4"/>
      <c r="Z123" s="4"/>
      <c r="AA123" s="4"/>
      <c r="AB123" s="4"/>
      <c r="AC123" s="4"/>
      <c r="AD123" s="4"/>
      <c r="AE123" s="4"/>
    </row>
    <row r="124" spans="1:31" ht="15.75" customHeight="1" x14ac:dyDescent="0.2">
      <c r="A124" s="7"/>
      <c r="B124" s="80" t="s">
        <v>139</v>
      </c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>
        <v>1230244.97</v>
      </c>
    </row>
    <row r="125" spans="1:31" ht="15.75" customHeight="1" x14ac:dyDescent="0.2">
      <c r="A125" s="7"/>
      <c r="B125" s="80" t="s">
        <v>140</v>
      </c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>
        <v>-34509.03</v>
      </c>
    </row>
    <row r="126" spans="1:31" ht="15.75" customHeight="1" x14ac:dyDescent="0.2">
      <c r="A126" s="7"/>
      <c r="B126" s="80"/>
      <c r="C126" s="30"/>
      <c r="D126" s="30"/>
      <c r="E126" s="44">
        <f>SUM(C127:E127)</f>
        <v>45380073.171999998</v>
      </c>
      <c r="F126" s="30"/>
      <c r="G126" s="30"/>
      <c r="H126" s="44">
        <f>SUM(F127:H127)</f>
        <v>75587206.934</v>
      </c>
      <c r="I126" s="30"/>
      <c r="J126" s="30"/>
      <c r="K126" s="44">
        <f>SUM(I127:K127)</f>
        <v>136702921.10799998</v>
      </c>
      <c r="L126" s="30"/>
      <c r="M126" s="30"/>
      <c r="N126" s="44"/>
      <c r="O126" s="30"/>
      <c r="P126" s="30"/>
      <c r="Q126" s="30"/>
      <c r="R126" s="30"/>
      <c r="S126" s="30"/>
      <c r="T126" s="30"/>
      <c r="U126" s="30"/>
      <c r="V126" s="30"/>
      <c r="W126" s="30"/>
    </row>
    <row r="127" spans="1:31" ht="15.75" customHeight="1" x14ac:dyDescent="0.2">
      <c r="A127" s="7"/>
      <c r="B127" s="63" t="s">
        <v>142</v>
      </c>
      <c r="C127" s="93">
        <f t="shared" ref="C127:V127" si="47">SUM(C128:C131)</f>
        <v>14229453.602000002</v>
      </c>
      <c r="D127" s="93">
        <f t="shared" si="47"/>
        <v>13769018.950000001</v>
      </c>
      <c r="E127" s="93">
        <f t="shared" si="47"/>
        <v>17381600.619999997</v>
      </c>
      <c r="F127" s="93">
        <f t="shared" si="47"/>
        <v>20955985.93</v>
      </c>
      <c r="G127" s="93">
        <f t="shared" si="47"/>
        <v>23239021.769999996</v>
      </c>
      <c r="H127" s="93">
        <f t="shared" si="47"/>
        <v>31392199.234000001</v>
      </c>
      <c r="I127" s="93">
        <f t="shared" si="47"/>
        <v>38613960.604000002</v>
      </c>
      <c r="J127" s="93">
        <f t="shared" si="47"/>
        <v>40442353.119999997</v>
      </c>
      <c r="K127" s="93">
        <f t="shared" si="47"/>
        <v>57646607.383999988</v>
      </c>
      <c r="L127" s="93">
        <f t="shared" si="47"/>
        <v>58711737.071999997</v>
      </c>
      <c r="M127" s="93">
        <f t="shared" si="47"/>
        <v>60315432.881999999</v>
      </c>
      <c r="N127" s="93">
        <f t="shared" si="47"/>
        <v>69593087.069999993</v>
      </c>
      <c r="O127" s="93">
        <f t="shared" si="47"/>
        <v>59671645.155999996</v>
      </c>
      <c r="P127" s="93">
        <f t="shared" si="47"/>
        <v>60642780.725999996</v>
      </c>
      <c r="Q127" s="93">
        <f t="shared" si="47"/>
        <v>95344566</v>
      </c>
      <c r="R127" s="93">
        <f t="shared" si="47"/>
        <v>105947213.036</v>
      </c>
      <c r="S127" s="93">
        <f t="shared" si="47"/>
        <v>110400244.16800001</v>
      </c>
      <c r="T127" s="93">
        <f t="shared" si="47"/>
        <v>137145988.384</v>
      </c>
      <c r="U127" s="93">
        <f t="shared" si="47"/>
        <v>127249656.88</v>
      </c>
      <c r="V127" s="93">
        <f t="shared" si="47"/>
        <v>130388896.484</v>
      </c>
      <c r="W127" s="93">
        <f>SUM(W128,W131)</f>
        <v>190860991.79000002</v>
      </c>
    </row>
    <row r="128" spans="1:31" ht="15.75" customHeight="1" x14ac:dyDescent="0.2">
      <c r="A128" s="4"/>
      <c r="B128" s="132" t="s">
        <v>143</v>
      </c>
      <c r="C128" s="108">
        <v>9074993.3300000019</v>
      </c>
      <c r="D128" s="108">
        <v>9003804.9700000007</v>
      </c>
      <c r="E128" s="108">
        <v>10153115.169999998</v>
      </c>
      <c r="F128" s="108">
        <v>12787962.4</v>
      </c>
      <c r="G128" s="108">
        <v>14859128.429999996</v>
      </c>
      <c r="H128" s="108">
        <v>20554051.960000001</v>
      </c>
      <c r="I128" s="108">
        <v>26091914.410000004</v>
      </c>
      <c r="J128" s="108">
        <v>27309725.469999999</v>
      </c>
      <c r="K128" s="108">
        <v>37267346.449999996</v>
      </c>
      <c r="L128" s="108">
        <v>36876728.909999996</v>
      </c>
      <c r="M128" s="108">
        <v>39927327.090000004</v>
      </c>
      <c r="N128" s="108">
        <v>45477855.990000002</v>
      </c>
      <c r="O128" s="108">
        <v>39392718.759999998</v>
      </c>
      <c r="P128" s="108">
        <v>39093533.850000001</v>
      </c>
      <c r="Q128" s="108">
        <v>59577151.020000003</v>
      </c>
      <c r="R128" s="108">
        <v>64066415.899999999</v>
      </c>
      <c r="S128" s="108">
        <v>73215450.040000007</v>
      </c>
      <c r="T128" s="108">
        <v>84835863.790000007</v>
      </c>
      <c r="U128" s="108">
        <v>74937248.950000003</v>
      </c>
      <c r="V128" s="108">
        <v>75305961.079999998</v>
      </c>
      <c r="W128" s="85">
        <f>SUM(W129:W130)</f>
        <v>115928570.14</v>
      </c>
      <c r="X128" s="4"/>
      <c r="Y128" s="4"/>
      <c r="Z128" s="4"/>
      <c r="AA128" s="4"/>
      <c r="AB128" s="4"/>
      <c r="AC128" s="4"/>
      <c r="AD128" s="4"/>
      <c r="AE128" s="4"/>
    </row>
    <row r="129" spans="1:31" ht="15.75" customHeight="1" x14ac:dyDescent="0.2">
      <c r="A129" s="7"/>
      <c r="B129" s="80" t="s">
        <v>139</v>
      </c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>
        <v>117323455.20999999</v>
      </c>
    </row>
    <row r="130" spans="1:31" ht="15.75" customHeight="1" x14ac:dyDescent="0.2">
      <c r="A130" s="7"/>
      <c r="B130" s="80" t="s">
        <v>140</v>
      </c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>
        <v>-1394885.07</v>
      </c>
    </row>
    <row r="131" spans="1:31" ht="15.75" customHeight="1" x14ac:dyDescent="0.2">
      <c r="A131" s="4"/>
      <c r="B131" s="132" t="s">
        <v>141</v>
      </c>
      <c r="C131" s="85">
        <f t="shared" ref="C131:V131" si="48">C123*ForEx</f>
        <v>5154460.2719999999</v>
      </c>
      <c r="D131" s="85">
        <f t="shared" si="48"/>
        <v>4765213.9800000004</v>
      </c>
      <c r="E131" s="85">
        <f t="shared" si="48"/>
        <v>7228485.4499999993</v>
      </c>
      <c r="F131" s="85">
        <f t="shared" si="48"/>
        <v>8168023.5300000003</v>
      </c>
      <c r="G131" s="85">
        <f t="shared" si="48"/>
        <v>8379893.3399999989</v>
      </c>
      <c r="H131" s="85">
        <f t="shared" si="48"/>
        <v>10838147.274</v>
      </c>
      <c r="I131" s="85">
        <f t="shared" si="48"/>
        <v>12522046.193999998</v>
      </c>
      <c r="J131" s="85">
        <f t="shared" si="48"/>
        <v>13132627.649999999</v>
      </c>
      <c r="K131" s="85">
        <f t="shared" si="48"/>
        <v>20379260.933999997</v>
      </c>
      <c r="L131" s="85">
        <f t="shared" si="48"/>
        <v>21835008.162</v>
      </c>
      <c r="M131" s="85">
        <f t="shared" si="48"/>
        <v>20388105.791999999</v>
      </c>
      <c r="N131" s="85">
        <f t="shared" si="48"/>
        <v>24115231.079999998</v>
      </c>
      <c r="O131" s="85">
        <f t="shared" si="48"/>
        <v>20278926.395999998</v>
      </c>
      <c r="P131" s="85">
        <f t="shared" si="48"/>
        <v>21549246.875999998</v>
      </c>
      <c r="Q131" s="85">
        <f t="shared" si="48"/>
        <v>35767414.979999997</v>
      </c>
      <c r="R131" s="85">
        <f t="shared" si="48"/>
        <v>41880797.136</v>
      </c>
      <c r="S131" s="85">
        <f t="shared" si="48"/>
        <v>37184794.127999999</v>
      </c>
      <c r="T131" s="85">
        <f t="shared" si="48"/>
        <v>52310124.593999997</v>
      </c>
      <c r="U131" s="85">
        <f t="shared" si="48"/>
        <v>52312407.93</v>
      </c>
      <c r="V131" s="85">
        <f t="shared" si="48"/>
        <v>55082935.403999999</v>
      </c>
      <c r="W131" s="85">
        <f>SUM(W132:W133)</f>
        <v>74932421.650000006</v>
      </c>
      <c r="X131" s="4"/>
      <c r="Y131" s="4"/>
      <c r="Z131" s="4"/>
      <c r="AA131" s="4"/>
      <c r="AB131" s="4"/>
      <c r="AC131" s="4"/>
      <c r="AD131" s="4"/>
      <c r="AE131" s="4"/>
    </row>
    <row r="132" spans="1:31" ht="15.75" customHeight="1" x14ac:dyDescent="0.2">
      <c r="A132" s="7"/>
      <c r="B132" s="80" t="s">
        <v>139</v>
      </c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87">
        <v>76974179.590000004</v>
      </c>
    </row>
    <row r="133" spans="1:31" ht="15.75" customHeight="1" x14ac:dyDescent="0.2">
      <c r="A133" s="7"/>
      <c r="B133" s="80" t="s">
        <v>140</v>
      </c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87">
        <v>-2041757.94</v>
      </c>
    </row>
    <row r="134" spans="1:31" ht="15.75" customHeight="1" x14ac:dyDescent="0.2">
      <c r="A134" s="7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spans="1:31" ht="15.75" customHeight="1" x14ac:dyDescent="0.2">
      <c r="A135" s="105"/>
      <c r="B135" s="106" t="s">
        <v>144</v>
      </c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40">
        <f>ROUND(W131/W123,4)</f>
        <v>62.666400000000003</v>
      </c>
    </row>
    <row r="136" spans="1:31" ht="15.75" customHeight="1" x14ac:dyDescent="0.2">
      <c r="A136" s="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spans="1:31" ht="15.75" customHeight="1" x14ac:dyDescent="0.2">
      <c r="A137" s="105"/>
      <c r="B137" s="141" t="s">
        <v>137</v>
      </c>
      <c r="C137" s="142">
        <f t="shared" ref="C137:W137" si="49">C128/C127</f>
        <v>0.63776119476045645</v>
      </c>
      <c r="D137" s="142">
        <f t="shared" si="49"/>
        <v>0.65391768307501674</v>
      </c>
      <c r="E137" s="142">
        <f t="shared" si="49"/>
        <v>0.58413004601644103</v>
      </c>
      <c r="F137" s="142">
        <f t="shared" si="49"/>
        <v>0.61022957558360991</v>
      </c>
      <c r="G137" s="142">
        <f t="shared" si="49"/>
        <v>0.63940421318345353</v>
      </c>
      <c r="H137" s="142">
        <f t="shared" si="49"/>
        <v>0.6547503029905114</v>
      </c>
      <c r="I137" s="142">
        <f t="shared" si="49"/>
        <v>0.67571194464048723</v>
      </c>
      <c r="J137" s="142">
        <f t="shared" si="49"/>
        <v>0.67527538244292939</v>
      </c>
      <c r="K137" s="142">
        <f t="shared" si="49"/>
        <v>0.64647943983506084</v>
      </c>
      <c r="L137" s="142">
        <f t="shared" si="49"/>
        <v>0.62809807287386055</v>
      </c>
      <c r="M137" s="142">
        <f t="shared" si="49"/>
        <v>0.66197530519449455</v>
      </c>
      <c r="N137" s="142">
        <f t="shared" si="49"/>
        <v>0.65348237741280601</v>
      </c>
      <c r="O137" s="142">
        <f t="shared" si="49"/>
        <v>0.6601580810620411</v>
      </c>
      <c r="P137" s="142">
        <f t="shared" si="49"/>
        <v>0.64465272505617532</v>
      </c>
      <c r="Q137" s="142">
        <f t="shared" si="49"/>
        <v>0.62486152614088153</v>
      </c>
      <c r="R137" s="142">
        <f t="shared" si="49"/>
        <v>0.60470128532999501</v>
      </c>
      <c r="S137" s="142">
        <f t="shared" si="49"/>
        <v>0.66318195753793285</v>
      </c>
      <c r="T137" s="142">
        <f t="shared" si="49"/>
        <v>0.61858071672111192</v>
      </c>
      <c r="U137" s="142">
        <f t="shared" si="49"/>
        <v>0.58889941857106876</v>
      </c>
      <c r="V137" s="142">
        <f t="shared" si="49"/>
        <v>0.57754887962596402</v>
      </c>
      <c r="W137" s="142">
        <f t="shared" si="49"/>
        <v>0.60739792375989299</v>
      </c>
    </row>
    <row r="138" spans="1:31" ht="15.75" customHeight="1" x14ac:dyDescent="0.2">
      <c r="A138" s="105"/>
      <c r="B138" s="141" t="s">
        <v>141</v>
      </c>
      <c r="C138" s="142">
        <f t="shared" ref="C138:W138" si="50">C131/C127</f>
        <v>0.36223880523954355</v>
      </c>
      <c r="D138" s="142">
        <f t="shared" si="50"/>
        <v>0.34608231692498326</v>
      </c>
      <c r="E138" s="142">
        <f t="shared" si="50"/>
        <v>0.41586995398355897</v>
      </c>
      <c r="F138" s="142">
        <f t="shared" si="50"/>
        <v>0.38977042441639015</v>
      </c>
      <c r="G138" s="142">
        <f t="shared" si="50"/>
        <v>0.36059578681654636</v>
      </c>
      <c r="H138" s="142">
        <f t="shared" si="50"/>
        <v>0.3452496970094886</v>
      </c>
      <c r="I138" s="142">
        <f t="shared" si="50"/>
        <v>0.32428805535951277</v>
      </c>
      <c r="J138" s="142">
        <f t="shared" si="50"/>
        <v>0.32472461755707055</v>
      </c>
      <c r="K138" s="142">
        <f t="shared" si="50"/>
        <v>0.35352056016493921</v>
      </c>
      <c r="L138" s="142">
        <f t="shared" si="50"/>
        <v>0.3719019271261394</v>
      </c>
      <c r="M138" s="142">
        <f t="shared" si="50"/>
        <v>0.33802469480550545</v>
      </c>
      <c r="N138" s="142">
        <f t="shared" si="50"/>
        <v>0.34651762258719415</v>
      </c>
      <c r="O138" s="142">
        <f t="shared" si="50"/>
        <v>0.3398419189379589</v>
      </c>
      <c r="P138" s="142">
        <f t="shared" si="50"/>
        <v>0.35534727494382479</v>
      </c>
      <c r="Q138" s="142">
        <f t="shared" si="50"/>
        <v>0.37513847385911847</v>
      </c>
      <c r="R138" s="142">
        <f t="shared" si="50"/>
        <v>0.39529871467000505</v>
      </c>
      <c r="S138" s="142">
        <f t="shared" si="50"/>
        <v>0.33681804246206704</v>
      </c>
      <c r="T138" s="142">
        <f t="shared" si="50"/>
        <v>0.38141928327888813</v>
      </c>
      <c r="U138" s="142">
        <f t="shared" si="50"/>
        <v>0.41110058142893124</v>
      </c>
      <c r="V138" s="142">
        <f t="shared" si="50"/>
        <v>0.42245112037403598</v>
      </c>
      <c r="W138" s="142">
        <f t="shared" si="50"/>
        <v>0.3926020762401069</v>
      </c>
    </row>
    <row r="139" spans="1:31" ht="15.75" customHeight="1" x14ac:dyDescent="0.2">
      <c r="A139" s="105"/>
      <c r="B139" s="141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</row>
    <row r="140" spans="1:31" ht="15.75" customHeight="1" x14ac:dyDescent="0.2">
      <c r="A140" s="4"/>
      <c r="B140" s="132" t="s">
        <v>145</v>
      </c>
      <c r="C140" s="108">
        <v>6513</v>
      </c>
      <c r="D140" s="108">
        <v>6762</v>
      </c>
      <c r="E140" s="108">
        <v>8898</v>
      </c>
      <c r="F140" s="108">
        <v>11232</v>
      </c>
      <c r="G140" s="108">
        <v>12980</v>
      </c>
      <c r="H140" s="108">
        <v>18288</v>
      </c>
      <c r="I140" s="108">
        <v>22143</v>
      </c>
      <c r="J140" s="108">
        <v>24111</v>
      </c>
      <c r="K140" s="108">
        <v>34487</v>
      </c>
      <c r="L140" s="108">
        <v>35942</v>
      </c>
      <c r="M140" s="108">
        <v>37685</v>
      </c>
      <c r="N140" s="108">
        <v>45666</v>
      </c>
      <c r="O140" s="108">
        <v>39462</v>
      </c>
      <c r="P140" s="108">
        <v>41295</v>
      </c>
      <c r="Q140" s="108">
        <v>64180</v>
      </c>
      <c r="R140" s="108">
        <v>72563</v>
      </c>
      <c r="S140" s="108">
        <v>76515</v>
      </c>
      <c r="T140" s="108">
        <v>94439</v>
      </c>
      <c r="U140" s="108">
        <v>94063</v>
      </c>
      <c r="V140" s="108">
        <v>94999</v>
      </c>
      <c r="W140" s="108">
        <v>133717</v>
      </c>
    </row>
    <row r="141" spans="1:31" ht="15.75" customHeight="1" x14ac:dyDescent="0.2">
      <c r="A141" s="21"/>
      <c r="B141" s="134" t="s">
        <v>146</v>
      </c>
      <c r="C141" s="49">
        <f t="shared" ref="C141:W141" si="51">C28/C140</f>
        <v>0.63566123886772918</v>
      </c>
      <c r="D141" s="49">
        <f t="shared" si="51"/>
        <v>0.61163056464599252</v>
      </c>
      <c r="E141" s="49">
        <f t="shared" si="51"/>
        <v>0.53034965772985909</v>
      </c>
      <c r="F141" s="49">
        <f t="shared" si="51"/>
        <v>0.49740184853312086</v>
      </c>
      <c r="G141" s="49">
        <f t="shared" si="51"/>
        <v>0.48367335188959021</v>
      </c>
      <c r="H141" s="49">
        <f t="shared" si="51"/>
        <v>0.45962898090919635</v>
      </c>
      <c r="I141" s="49">
        <f t="shared" si="51"/>
        <v>0.46667853963897415</v>
      </c>
      <c r="J141" s="49">
        <f t="shared" si="51"/>
        <v>0.45376691939564473</v>
      </c>
      <c r="K141" s="49">
        <f t="shared" si="51"/>
        <v>0.45643639237391731</v>
      </c>
      <c r="L141" s="49">
        <f t="shared" si="51"/>
        <v>0.45229133596162197</v>
      </c>
      <c r="M141" s="49">
        <f t="shared" si="51"/>
        <v>0.42381891866314969</v>
      </c>
      <c r="N141" s="49">
        <f t="shared" si="51"/>
        <v>0.41413313152519149</v>
      </c>
      <c r="O141" s="49">
        <f t="shared" si="51"/>
        <v>0.36352151491321721</v>
      </c>
      <c r="P141" s="49">
        <f t="shared" si="51"/>
        <v>0.37523220242845756</v>
      </c>
      <c r="Q141" s="49">
        <f t="shared" si="51"/>
        <v>0.38104655545537652</v>
      </c>
      <c r="R141" s="49">
        <f t="shared" si="51"/>
        <v>0.37577858310936529</v>
      </c>
      <c r="S141" s="49">
        <f t="shared" si="51"/>
        <v>0.36200848566658383</v>
      </c>
      <c r="T141" s="49">
        <f t="shared" si="51"/>
        <v>0.37254407768326386</v>
      </c>
      <c r="U141" s="49">
        <f t="shared" si="51"/>
        <v>0.34512154095838388</v>
      </c>
      <c r="V141" s="49">
        <f t="shared" si="51"/>
        <v>0.35695718811603527</v>
      </c>
      <c r="W141" s="49">
        <f t="shared" si="51"/>
        <v>0.35259961476979024</v>
      </c>
    </row>
    <row r="142" spans="1:31" ht="15.75" customHeight="1" x14ac:dyDescent="0.2">
      <c r="A142" s="21"/>
      <c r="B142" s="134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</row>
    <row r="143" spans="1:31" ht="15.75" customHeight="1" x14ac:dyDescent="0.2">
      <c r="A143" s="7"/>
      <c r="B143" s="63" t="s">
        <v>147</v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spans="1:31" ht="15.75" customHeight="1" x14ac:dyDescent="0.2">
      <c r="A144" s="7"/>
      <c r="B144" s="30" t="s">
        <v>148</v>
      </c>
      <c r="C144" s="115">
        <v>39105000</v>
      </c>
      <c r="D144" s="115">
        <v>44220000</v>
      </c>
      <c r="E144" s="115">
        <v>48535000</v>
      </c>
      <c r="F144" s="115">
        <v>54965000</v>
      </c>
      <c r="G144" s="115">
        <v>67810000</v>
      </c>
      <c r="H144" s="115">
        <v>95745000</v>
      </c>
      <c r="I144" s="115">
        <v>121130000</v>
      </c>
      <c r="J144" s="115">
        <v>185125000</v>
      </c>
      <c r="K144" s="115">
        <v>210460000</v>
      </c>
      <c r="L144" s="115">
        <v>218370000</v>
      </c>
      <c r="M144" s="115">
        <v>231800000</v>
      </c>
      <c r="N144" s="115">
        <v>244870000</v>
      </c>
      <c r="O144" s="112">
        <f>Daily!OH59</f>
        <v>256875000</v>
      </c>
      <c r="P144" s="112">
        <f>Daily!PJ59</f>
        <v>313200000</v>
      </c>
      <c r="Q144" s="112">
        <f>Daily!QO59</f>
        <v>431830000</v>
      </c>
      <c r="R144" s="112">
        <f>Daily!RS59</f>
        <v>501270000</v>
      </c>
      <c r="S144" s="112">
        <f>Daily!SX59</f>
        <v>594900000</v>
      </c>
      <c r="T144" s="112">
        <f>Daily!UB59</f>
        <v>778710000</v>
      </c>
      <c r="U144" s="112">
        <f>Daily!VJ59</f>
        <v>840965000</v>
      </c>
      <c r="V144" s="112">
        <f>Daily!WM59</f>
        <v>974395000</v>
      </c>
      <c r="W144" s="112">
        <f>Daily!XQ59</f>
        <v>1130910000</v>
      </c>
    </row>
    <row r="145" spans="1:23" ht="15.75" customHeight="1" x14ac:dyDescent="0.2">
      <c r="A145" s="143"/>
      <c r="B145" s="144" t="s">
        <v>149</v>
      </c>
      <c r="C145" s="145">
        <f t="shared" ref="C145:W145" si="52">C144/C21</f>
        <v>76376.953125</v>
      </c>
      <c r="D145" s="145">
        <f t="shared" si="52"/>
        <v>68664.596273291929</v>
      </c>
      <c r="E145" s="145">
        <f t="shared" si="52"/>
        <v>64886.36363636364</v>
      </c>
      <c r="F145" s="145">
        <f t="shared" si="52"/>
        <v>57615.303983228514</v>
      </c>
      <c r="G145" s="145">
        <f t="shared" si="52"/>
        <v>52121.445042275176</v>
      </c>
      <c r="H145" s="145">
        <f t="shared" si="52"/>
        <v>52148.69281045752</v>
      </c>
      <c r="I145" s="145">
        <f t="shared" si="52"/>
        <v>52825.992150021804</v>
      </c>
      <c r="J145" s="145">
        <f t="shared" si="52"/>
        <v>60956.536055317745</v>
      </c>
      <c r="K145" s="145">
        <f t="shared" si="52"/>
        <v>62898.98386132696</v>
      </c>
      <c r="L145" s="145">
        <f t="shared" si="52"/>
        <v>64000.586166471279</v>
      </c>
      <c r="M145" s="145">
        <f t="shared" si="52"/>
        <v>66858.955869627927</v>
      </c>
      <c r="N145" s="145">
        <f t="shared" si="52"/>
        <v>63918.037066040197</v>
      </c>
      <c r="O145" s="145">
        <f t="shared" si="52"/>
        <v>63582.920792079211</v>
      </c>
      <c r="P145" s="145">
        <f t="shared" si="52"/>
        <v>61255.622921963623</v>
      </c>
      <c r="Q145" s="145">
        <f t="shared" si="52"/>
        <v>66414.949246385731</v>
      </c>
      <c r="R145" s="146">
        <f t="shared" si="52"/>
        <v>66296.786139399555</v>
      </c>
      <c r="S145" s="146">
        <f t="shared" si="52"/>
        <v>65916.897506925205</v>
      </c>
      <c r="T145" s="146">
        <f t="shared" si="52"/>
        <v>68512.229456273097</v>
      </c>
      <c r="U145" s="146">
        <f t="shared" si="52"/>
        <v>68083.306347150254</v>
      </c>
      <c r="V145" s="146">
        <f t="shared" si="52"/>
        <v>73834.583617488825</v>
      </c>
      <c r="W145" s="146">
        <f t="shared" si="52"/>
        <v>69372.469635627524</v>
      </c>
    </row>
    <row r="146" spans="1:23" ht="15.75" customHeight="1" x14ac:dyDescent="0.2">
      <c r="A146" s="7"/>
      <c r="B146" s="30" t="s">
        <v>150</v>
      </c>
      <c r="C146" s="44">
        <v>36877580.649999999</v>
      </c>
      <c r="D146" s="44">
        <v>41536607.140000001</v>
      </c>
      <c r="E146" s="44">
        <v>46235967.740000002</v>
      </c>
      <c r="F146" s="44">
        <v>50456033.329999998</v>
      </c>
      <c r="G146" s="44">
        <v>60253709.68</v>
      </c>
      <c r="H146" s="44">
        <v>83327833.329999998</v>
      </c>
      <c r="I146" s="44">
        <v>107034532.26000001</v>
      </c>
      <c r="J146" s="44">
        <v>162775816.33000001</v>
      </c>
      <c r="K146" s="44">
        <v>202374900</v>
      </c>
      <c r="L146" s="44">
        <v>214950645.16</v>
      </c>
      <c r="M146" s="44">
        <v>226593333.33000001</v>
      </c>
      <c r="N146" s="44">
        <v>242851612.90000001</v>
      </c>
      <c r="O146" s="44">
        <f>AVERAGE(Daily!ND59:OH59)</f>
        <v>247559838.70967743</v>
      </c>
      <c r="P146" s="44">
        <f>AVERAGE(Daily!OI59:PJ59)</f>
        <v>277428928.5714286</v>
      </c>
      <c r="Q146" s="44">
        <f>AVERAGE(Daily!PK59:QO59)</f>
        <v>358868064.51612902</v>
      </c>
      <c r="R146" s="44">
        <f>AVERAGE(Daily!QP59:RS59)</f>
        <v>475519333.33333331</v>
      </c>
      <c r="S146" s="44">
        <f>AVERAGE(Daily!RT59:SX59)</f>
        <v>547975000</v>
      </c>
      <c r="T146" s="44">
        <f>AVERAGE(Daily!SY59:UB59)</f>
        <v>713717833.33333337</v>
      </c>
      <c r="U146" s="44">
        <f>AVERAGE(Daily!UC59:VH59)</f>
        <v>801042968.75</v>
      </c>
      <c r="V146" s="44">
        <f>AVERAGE(Daily!VI59:WM59)</f>
        <v>898486129.03225803</v>
      </c>
      <c r="W146" s="44">
        <f>AVERAGE(Daily!WN59:XQ59)</f>
        <v>1071519166.6666666</v>
      </c>
    </row>
    <row r="147" spans="1:23" ht="15.75" customHeight="1" x14ac:dyDescent="0.2">
      <c r="A147" s="7"/>
      <c r="B147" s="80" t="s">
        <v>151</v>
      </c>
      <c r="C147" s="44">
        <f t="shared" ref="C147:W147" si="53">C146/C23</f>
        <v>83908.033333333326</v>
      </c>
      <c r="D147" s="44">
        <f t="shared" si="53"/>
        <v>71862.642110726651</v>
      </c>
      <c r="E147" s="44">
        <f t="shared" si="53"/>
        <v>66430.988132183906</v>
      </c>
      <c r="F147" s="44">
        <f t="shared" si="53"/>
        <v>59290.285934195061</v>
      </c>
      <c r="G147" s="44">
        <f t="shared" si="53"/>
        <v>53440.097277161862</v>
      </c>
      <c r="H147" s="44">
        <f t="shared" si="53"/>
        <v>53125.810219955369</v>
      </c>
      <c r="I147" s="44">
        <f t="shared" si="53"/>
        <v>51845.256604504728</v>
      </c>
      <c r="J147" s="44">
        <f t="shared" si="53"/>
        <v>61079.105564727957</v>
      </c>
      <c r="K147" s="44">
        <f t="shared" si="53"/>
        <v>63410.590631364561</v>
      </c>
      <c r="L147" s="44">
        <f t="shared" si="53"/>
        <v>63613.686049126962</v>
      </c>
      <c r="M147" s="44">
        <f t="shared" si="53"/>
        <v>65879.730580026167</v>
      </c>
      <c r="N147" s="44">
        <f t="shared" si="53"/>
        <v>66552.9221430529</v>
      </c>
      <c r="O147" s="44">
        <f t="shared" si="53"/>
        <v>62904.29137585502</v>
      </c>
      <c r="P147" s="44">
        <f t="shared" si="53"/>
        <v>60620.327449236007</v>
      </c>
      <c r="Q147" s="44">
        <f t="shared" si="53"/>
        <v>61793.898323913738</v>
      </c>
      <c r="R147" s="44">
        <f t="shared" si="53"/>
        <v>67627.011780321889</v>
      </c>
      <c r="S147" s="44">
        <f t="shared" si="53"/>
        <v>66076.811768961779</v>
      </c>
      <c r="T147" s="44">
        <f t="shared" si="53"/>
        <v>70003.220375002042</v>
      </c>
      <c r="U147" s="44">
        <f t="shared" si="53"/>
        <v>67547.261046462605</v>
      </c>
      <c r="V147" s="44">
        <f t="shared" si="53"/>
        <v>70334.348039630364</v>
      </c>
      <c r="W147" s="44">
        <f t="shared" si="53"/>
        <v>72647.829869939087</v>
      </c>
    </row>
    <row r="148" spans="1:23" ht="15.75" customHeight="1" x14ac:dyDescent="0.2">
      <c r="A148" s="7"/>
      <c r="B148" s="30" t="s">
        <v>152</v>
      </c>
      <c r="C148" s="44">
        <f t="shared" ref="C148:T148" si="54">C127/C14</f>
        <v>35752.395984924631</v>
      </c>
      <c r="D148" s="44">
        <f t="shared" si="54"/>
        <v>28507.285610766048</v>
      </c>
      <c r="E148" s="44">
        <f t="shared" si="54"/>
        <v>30655.380282186943</v>
      </c>
      <c r="F148" s="44">
        <f t="shared" si="54"/>
        <v>29309.07123076923</v>
      </c>
      <c r="G148" s="44">
        <f t="shared" si="54"/>
        <v>24436.405646687694</v>
      </c>
      <c r="H148" s="44">
        <f t="shared" si="54"/>
        <v>22930.751814463114</v>
      </c>
      <c r="I148" s="44">
        <f t="shared" si="54"/>
        <v>23718.649019656023</v>
      </c>
      <c r="J148" s="44">
        <f t="shared" si="54"/>
        <v>20373.981420654909</v>
      </c>
      <c r="K148" s="44">
        <f t="shared" si="54"/>
        <v>24221.263606722685</v>
      </c>
      <c r="L148" s="44">
        <f t="shared" si="54"/>
        <v>23876.265584383895</v>
      </c>
      <c r="M148" s="44">
        <f t="shared" si="54"/>
        <v>24223.065414457829</v>
      </c>
      <c r="N148" s="44">
        <f t="shared" si="54"/>
        <v>25784.767347165613</v>
      </c>
      <c r="O148" s="44">
        <f t="shared" si="54"/>
        <v>22141.612302782931</v>
      </c>
      <c r="P148" s="44">
        <f t="shared" si="54"/>
        <v>18102.32260477612</v>
      </c>
      <c r="Q148" s="44">
        <f t="shared" si="54"/>
        <v>22820.623743417902</v>
      </c>
      <c r="R148" s="44">
        <f t="shared" si="54"/>
        <v>20172.736678598631</v>
      </c>
      <c r="S148" s="44">
        <f t="shared" si="54"/>
        <v>17971.714824678496</v>
      </c>
      <c r="T148" s="44">
        <f t="shared" si="54"/>
        <v>18337.476719347505</v>
      </c>
      <c r="U148" s="44">
        <f t="shared" ref="U148:W148" si="55">U127/U7</f>
        <v>14874.302382232612</v>
      </c>
      <c r="V148" s="44">
        <f t="shared" si="55"/>
        <v>14067.202123637933</v>
      </c>
      <c r="W148" s="44">
        <f t="shared" si="55"/>
        <v>16442.194330634047</v>
      </c>
    </row>
    <row r="149" spans="1:23" ht="15.75" customHeight="1" x14ac:dyDescent="0.2">
      <c r="A149" s="7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spans="1:23" ht="15.75" customHeight="1" x14ac:dyDescent="0.2">
      <c r="A150" s="4"/>
      <c r="B150" s="147" t="s">
        <v>153</v>
      </c>
      <c r="C150" s="148">
        <f t="shared" ref="C150:S150" si="56">C127/C14/C147</f>
        <v>0.42609026292982638</v>
      </c>
      <c r="D150" s="148">
        <f t="shared" si="56"/>
        <v>0.39669130960759486</v>
      </c>
      <c r="E150" s="148">
        <f t="shared" si="56"/>
        <v>0.46146205474452806</v>
      </c>
      <c r="F150" s="148">
        <f t="shared" si="56"/>
        <v>0.49433175720047468</v>
      </c>
      <c r="G150" s="148">
        <f t="shared" si="56"/>
        <v>0.45726723736954772</v>
      </c>
      <c r="H150" s="148">
        <f t="shared" si="56"/>
        <v>0.4316310983215792</v>
      </c>
      <c r="I150" s="148">
        <f t="shared" si="56"/>
        <v>0.45748927815307905</v>
      </c>
      <c r="J150" s="148">
        <f t="shared" si="56"/>
        <v>0.33356712139577405</v>
      </c>
      <c r="K150" s="148">
        <f t="shared" si="56"/>
        <v>0.38197505125811282</v>
      </c>
      <c r="L150" s="148">
        <f t="shared" si="56"/>
        <v>0.37533221335334921</v>
      </c>
      <c r="M150" s="148">
        <f t="shared" si="56"/>
        <v>0.36768616388060837</v>
      </c>
      <c r="N150" s="148">
        <f t="shared" si="56"/>
        <v>0.38743253514462167</v>
      </c>
      <c r="O150" s="148">
        <f t="shared" si="56"/>
        <v>0.35198889962031582</v>
      </c>
      <c r="P150" s="148">
        <f t="shared" si="56"/>
        <v>0.29861802742545662</v>
      </c>
      <c r="Q150" s="148">
        <f t="shared" si="56"/>
        <v>0.36930221854261142</v>
      </c>
      <c r="R150" s="148">
        <f t="shared" si="56"/>
        <v>0.29829407137087927</v>
      </c>
      <c r="S150" s="148">
        <f t="shared" si="56"/>
        <v>0.27198217261929608</v>
      </c>
      <c r="T150" s="148">
        <f t="shared" ref="T150:W150" si="57">T127/T7/T147</f>
        <v>0.25649885763676888</v>
      </c>
      <c r="U150" s="148">
        <f t="shared" si="57"/>
        <v>0.22020585515675128</v>
      </c>
      <c r="V150" s="148">
        <f t="shared" si="57"/>
        <v>0.20000472764333685</v>
      </c>
      <c r="W150" s="148">
        <f t="shared" si="57"/>
        <v>0.22632739835546906</v>
      </c>
    </row>
    <row r="151" spans="1:23" ht="15.75" customHeight="1" x14ac:dyDescent="0.2">
      <c r="A151" s="7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115"/>
      <c r="W151" s="115"/>
    </row>
    <row r="152" spans="1:23" ht="15.75" customHeight="1" x14ac:dyDescent="0.2">
      <c r="A152" s="7"/>
      <c r="B152" s="30" t="s">
        <v>154</v>
      </c>
      <c r="C152" s="115">
        <v>13022222.379999999</v>
      </c>
      <c r="D152" s="115">
        <v>13190200.759999998</v>
      </c>
      <c r="E152" s="115">
        <v>13999707.510000002</v>
      </c>
      <c r="F152" s="115">
        <v>19004470.460000005</v>
      </c>
      <c r="G152" s="115">
        <v>21629184.539999999</v>
      </c>
      <c r="H152" s="115">
        <v>23408168.260000002</v>
      </c>
      <c r="I152" s="115">
        <v>35867664.25999999</v>
      </c>
      <c r="J152" s="115">
        <v>37424540.579999998</v>
      </c>
      <c r="K152" s="115">
        <v>43316034.539999999</v>
      </c>
      <c r="L152" s="115">
        <v>57116551.180000007</v>
      </c>
      <c r="M152" s="115">
        <v>60036605.089999996</v>
      </c>
      <c r="N152" s="115">
        <v>62047763.289999999</v>
      </c>
      <c r="O152" s="115">
        <v>62056684.640000001</v>
      </c>
      <c r="P152" s="115">
        <v>56252699.240000002</v>
      </c>
      <c r="Q152" s="115">
        <v>72258513.290000007</v>
      </c>
      <c r="R152" s="115">
        <v>88485656.359999999</v>
      </c>
      <c r="S152" s="115">
        <v>111010288.09</v>
      </c>
      <c r="T152" s="115">
        <v>105565350.61999999</v>
      </c>
      <c r="U152" s="115">
        <v>124811108.33</v>
      </c>
      <c r="V152" s="115">
        <v>122422444.45999999</v>
      </c>
      <c r="W152" s="115">
        <v>142704614.90000001</v>
      </c>
    </row>
    <row r="153" spans="1:23" ht="15.75" customHeight="1" x14ac:dyDescent="0.2">
      <c r="A153" s="7"/>
      <c r="B153" s="30" t="s">
        <v>155</v>
      </c>
      <c r="C153" s="115"/>
      <c r="D153" s="111">
        <f t="shared" ref="D153:W153" si="58">D152/C127</f>
        <v>0.92696466982724246</v>
      </c>
      <c r="E153" s="111">
        <f t="shared" si="58"/>
        <v>1.0167541755035496</v>
      </c>
      <c r="F153" s="111">
        <f t="shared" si="58"/>
        <v>1.0933671113195793</v>
      </c>
      <c r="G153" s="111">
        <f t="shared" si="58"/>
        <v>1.0321244064702424</v>
      </c>
      <c r="H153" s="111">
        <f t="shared" si="58"/>
        <v>1.0072785546514855</v>
      </c>
      <c r="I153" s="111">
        <f t="shared" si="58"/>
        <v>1.1425661513116525</v>
      </c>
      <c r="J153" s="111">
        <f t="shared" si="58"/>
        <v>0.96919715032089215</v>
      </c>
      <c r="K153" s="111">
        <f t="shared" si="58"/>
        <v>1.0710562367989136</v>
      </c>
      <c r="L153" s="111">
        <f t="shared" si="58"/>
        <v>0.99080507547531582</v>
      </c>
      <c r="M153" s="111">
        <f t="shared" si="58"/>
        <v>1.0225656416258859</v>
      </c>
      <c r="N153" s="111">
        <f t="shared" si="58"/>
        <v>1.0287211800566713</v>
      </c>
      <c r="O153" s="111">
        <f t="shared" si="58"/>
        <v>0.89170759988819692</v>
      </c>
      <c r="P153" s="111">
        <f t="shared" si="58"/>
        <v>0.94270401114194491</v>
      </c>
      <c r="Q153" s="111">
        <f t="shared" si="58"/>
        <v>1.1915435345302343</v>
      </c>
      <c r="R153" s="111">
        <f t="shared" si="58"/>
        <v>0.92806187150718167</v>
      </c>
      <c r="S153" s="111">
        <f t="shared" si="58"/>
        <v>1.0477886572842612</v>
      </c>
      <c r="T153" s="111">
        <f t="shared" si="58"/>
        <v>0.95620577124229367</v>
      </c>
      <c r="U153" s="111">
        <f t="shared" si="58"/>
        <v>0.91006021977498075</v>
      </c>
      <c r="V153" s="111">
        <f t="shared" si="58"/>
        <v>0.96206502604127098</v>
      </c>
      <c r="W153" s="111">
        <f t="shared" si="58"/>
        <v>1.0944537360779893</v>
      </c>
    </row>
    <row r="154" spans="1:23" ht="15.75" customHeight="1" x14ac:dyDescent="0.2">
      <c r="A154" s="7"/>
      <c r="B154" s="30"/>
      <c r="C154" s="115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>
        <f t="shared" ref="N154:W154" si="59">N152/M63</f>
        <v>1.1607829825678557</v>
      </c>
      <c r="O154" s="111">
        <f t="shared" si="59"/>
        <v>0.99162112880050657</v>
      </c>
      <c r="P154" s="111">
        <f t="shared" si="59"/>
        <v>0.95070712919069134</v>
      </c>
      <c r="Q154" s="111">
        <f t="shared" si="59"/>
        <v>1.2633928005146533</v>
      </c>
      <c r="R154" s="111">
        <f t="shared" si="59"/>
        <v>1.1508009734895857</v>
      </c>
      <c r="S154" s="111">
        <f t="shared" si="59"/>
        <v>1.2014744054535598</v>
      </c>
      <c r="T154" s="111">
        <f t="shared" si="59"/>
        <v>1.0695011765283853</v>
      </c>
      <c r="U154" s="111">
        <f t="shared" si="59"/>
        <v>0.98349750930817437</v>
      </c>
      <c r="V154" s="111">
        <f t="shared" si="59"/>
        <v>0.90232532568396084</v>
      </c>
      <c r="W154" s="111">
        <f t="shared" si="59"/>
        <v>0.89480231412832012</v>
      </c>
    </row>
    <row r="155" spans="1:23" ht="15.75" customHeight="1" x14ac:dyDescent="0.2">
      <c r="A155" s="7"/>
      <c r="B155" s="30"/>
      <c r="C155" s="115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</row>
    <row r="156" spans="1:23" ht="15.75" customHeight="1" x14ac:dyDescent="0.2">
      <c r="A156" s="7"/>
      <c r="B156" s="80" t="s">
        <v>156</v>
      </c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>
        <v>8317</v>
      </c>
      <c r="P156" s="87">
        <v>6694</v>
      </c>
      <c r="Q156" s="87">
        <v>9257</v>
      </c>
      <c r="R156" s="87">
        <v>11246</v>
      </c>
      <c r="S156" s="87">
        <v>14141</v>
      </c>
      <c r="T156" s="87">
        <v>13570</v>
      </c>
      <c r="U156" s="87">
        <v>15852</v>
      </c>
      <c r="V156" s="87">
        <v>16735</v>
      </c>
      <c r="W156" s="87">
        <v>19137</v>
      </c>
    </row>
    <row r="157" spans="1:23" ht="15.75" customHeight="1" x14ac:dyDescent="0.2">
      <c r="A157" s="21"/>
      <c r="B157" s="134" t="s">
        <v>157</v>
      </c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>
        <f t="shared" ref="O157:W157" si="60">O156/AVERAGE(N14:O14)</f>
        <v>3.0837968112717835</v>
      </c>
      <c r="P157" s="151">
        <f t="shared" si="60"/>
        <v>2.214722911497105</v>
      </c>
      <c r="Q157" s="151">
        <f t="shared" si="60"/>
        <v>2.4593517534537725</v>
      </c>
      <c r="R157" s="151">
        <f t="shared" si="60"/>
        <v>2.385153764581124</v>
      </c>
      <c r="S157" s="151">
        <f t="shared" si="60"/>
        <v>2.4819657744624837</v>
      </c>
      <c r="T157" s="151">
        <f t="shared" si="60"/>
        <v>1.9923652914403172</v>
      </c>
      <c r="U157" s="151">
        <f t="shared" si="60"/>
        <v>1.9982352199672255</v>
      </c>
      <c r="V157" s="151">
        <f t="shared" si="60"/>
        <v>1.9151979858091097</v>
      </c>
      <c r="W157" s="151">
        <f t="shared" si="60"/>
        <v>1.8704002345697113</v>
      </c>
    </row>
    <row r="158" spans="1:23" ht="15.75" customHeight="1" x14ac:dyDescent="0.2">
      <c r="A158" s="7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spans="1:23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spans="1:23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spans="1:23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spans="1:23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spans="1:23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spans="1:23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spans="1:23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spans="1:23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spans="1:23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spans="1:23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spans="1:23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spans="1:23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spans="1:23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spans="1:23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spans="1:23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spans="1:23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spans="1:23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spans="1:23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spans="1:23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spans="1:23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spans="1:23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spans="1:23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spans="1:23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spans="1:23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spans="1:23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spans="1:23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spans="1:23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spans="1:23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spans="1:23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spans="1:23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spans="1:23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spans="1:23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spans="1:23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spans="1:23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spans="1:23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spans="1:23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spans="1:23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spans="1:23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spans="1:23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spans="1:23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spans="1:23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spans="1:23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spans="1:23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spans="1:23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spans="1:23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spans="1:23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spans="1:23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spans="1:23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spans="1:23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spans="1:23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spans="1:23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spans="1:23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spans="1:23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spans="1:23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spans="1:23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spans="1:23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spans="1:23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spans="1:23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spans="1:23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spans="1:23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spans="1:23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spans="1:23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spans="1:23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spans="1:23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spans="1:23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spans="1:23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spans="1:23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spans="1:23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spans="1:23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spans="1:23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spans="1:23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spans="1:23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spans="1:23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spans="1:23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spans="1:23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spans="1:23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spans="1:23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spans="1:23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spans="1:23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spans="1:23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spans="1:23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spans="1:23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spans="1:23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spans="1:23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spans="1:23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spans="1:23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spans="1:23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spans="1:23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spans="1:23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spans="1:23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spans="1:23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spans="1:23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spans="1:23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spans="1:23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spans="1:23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spans="1:23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spans="1:23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spans="1:23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spans="1:23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spans="1:23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spans="1:23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spans="1:23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spans="1:23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spans="1:23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spans="1:23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spans="1:23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spans="1:23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spans="1:23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spans="1:23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spans="1:23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spans="1:23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spans="1:23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spans="1:23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spans="1:23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spans="1:23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spans="1:23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spans="1:23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spans="1:23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spans="1:23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spans="1:23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spans="1:23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spans="1:23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spans="1:23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spans="1:23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spans="1:23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spans="1:23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spans="1:23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spans="1:23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spans="1:23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spans="1:23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spans="1:23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spans="1:23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spans="1:23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spans="1:23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spans="1:23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spans="1:23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spans="1:23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spans="1:23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spans="1:23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spans="1:23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spans="1:23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spans="1:23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spans="1:23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spans="1:23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spans="1:23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spans="1:23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spans="1:23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spans="1:23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spans="1:23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spans="1:23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spans="1:23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spans="1:23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spans="1:23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spans="1:23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spans="1:23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spans="1:23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spans="1:23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spans="1:23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spans="1:23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spans="1:23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spans="1:23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spans="1:23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spans="1:23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spans="1:23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spans="1:23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spans="1:23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spans="1:23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spans="1:23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spans="1:23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spans="1:23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spans="1:23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spans="1:23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spans="1:23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spans="1:23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spans="1:23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spans="1:23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spans="1:23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spans="1:23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spans="1:23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spans="1:23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spans="1:23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spans="1:23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spans="1:23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spans="1:23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spans="1:23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spans="1:23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spans="1:23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spans="1:23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spans="1:23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spans="1:23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spans="1:23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spans="1:23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spans="1:23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spans="1:23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spans="1:23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spans="1:23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spans="1:23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spans="1:23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spans="1:23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spans="1:23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spans="1:23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spans="1:23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spans="1:23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spans="1:23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spans="1:23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spans="1:23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spans="1:23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spans="1:23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spans="1:23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spans="1:23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spans="1:23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spans="1:23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spans="1:23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spans="1:23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spans="1:23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spans="1:23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spans="1:23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spans="1:23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spans="1:23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spans="1:23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spans="1:23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spans="1:23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spans="1:23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spans="1:23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spans="1:23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spans="1:23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spans="1:23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spans="1:23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spans="1:23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spans="1:23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spans="1:23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spans="1:23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spans="1:23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spans="1:23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spans="1:23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spans="1:23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spans="1:23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spans="1:23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spans="1:23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spans="1:23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spans="1:23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spans="1:23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spans="1:23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spans="1:23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spans="1:23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spans="1:23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spans="1:23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spans="1:23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spans="1:23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spans="1:23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spans="1:23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spans="1:23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spans="1:23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spans="1:23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spans="1:23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spans="1:23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spans="1:23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spans="1:23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spans="1:23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spans="1:23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spans="1:23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spans="1:23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spans="1:23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spans="1:23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spans="1:23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spans="1:23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spans="1:23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spans="1:23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spans="1:23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spans="1:23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spans="1:23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spans="1:23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spans="1:23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spans="1:23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spans="1:23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spans="1:23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spans="1:23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spans="1:23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spans="1:23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spans="1:23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spans="1:23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spans="1:23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spans="1:23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spans="1:23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spans="1:23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spans="1:23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spans="1:23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spans="1:23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spans="1:23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spans="1:23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spans="1:23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spans="1:23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spans="1:23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spans="1:23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spans="1:23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spans="1:23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spans="1:23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spans="1:23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spans="1:23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spans="1:23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spans="1:23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spans="1:23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spans="1:23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spans="1:23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spans="1:23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spans="1:23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spans="1:23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spans="1:23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spans="1:23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spans="1:23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spans="1:23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spans="1:23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spans="1:23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spans="1:23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spans="1:23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spans="1:23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spans="1:23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spans="1:23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spans="1:23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spans="1:23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spans="1:23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spans="1:23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spans="1:23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spans="1:23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spans="1:23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spans="1:23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spans="1:23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spans="1:23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spans="1:23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spans="1:23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spans="1:23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spans="1:23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spans="1:23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spans="1:23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spans="1:23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spans="1:23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spans="1:23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spans="1:23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spans="1:23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spans="1:23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spans="1:23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spans="1:23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spans="1:23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spans="1:23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spans="1:23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spans="1:23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spans="1:23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spans="1:23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spans="1:23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spans="1:23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spans="1:23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spans="1:23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spans="1:23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spans="1:23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spans="1:23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spans="1:23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spans="1:23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spans="1:23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spans="1:23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spans="1:23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spans="1:23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spans="1:23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spans="1:23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spans="1:23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spans="1:23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spans="1:23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spans="1:23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spans="1:23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spans="1:23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spans="1:23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spans="1:23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spans="1:23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spans="1:23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spans="1:23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spans="1:23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spans="1:23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spans="1:23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spans="1:23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spans="1:23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spans="1:23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spans="1:23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spans="1:23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spans="1:23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spans="1:23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spans="1:23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spans="1:23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spans="1:23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spans="1:23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spans="1:23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spans="1:23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spans="1:23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spans="1:23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spans="1:23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spans="1:23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spans="1:23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spans="1:23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spans="1:23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spans="1:23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spans="1:23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spans="1:23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spans="1:23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spans="1:23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spans="1:23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spans="1:23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spans="1:23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spans="1:23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spans="1:23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spans="1:23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spans="1:23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spans="1:23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spans="1:23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spans="1:23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spans="1:23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spans="1:23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spans="1:23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spans="1:23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spans="1:23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spans="1:23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spans="1:23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spans="1:23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spans="1:23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spans="1:23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spans="1:23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spans="1:23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spans="1:23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spans="1:23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spans="1:23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spans="1:23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spans="1:23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spans="1:23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spans="1:23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spans="1:23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spans="1:23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spans="1:23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spans="1:23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spans="1:23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spans="1:23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spans="1:23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spans="1:23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spans="1:23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spans="1:23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spans="1:23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spans="1:23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spans="1:23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spans="1:23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spans="1:23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spans="1:23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spans="1:23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spans="1:23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spans="1:23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spans="1:23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spans="1:23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spans="1:23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spans="1:23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spans="1:23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spans="1:23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spans="1:23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spans="1:23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spans="1:23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spans="1:23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spans="1:23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spans="1:23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spans="1:23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spans="1:23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spans="1:23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spans="1:23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spans="1:23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spans="1:23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spans="1:23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spans="1:23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spans="1:23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spans="1:23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spans="1:23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spans="1:23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spans="1:23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spans="1:23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spans="1:23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spans="1:23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spans="1:23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spans="1:23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spans="1:23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spans="1:23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spans="1:23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spans="1:23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spans="1:23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spans="1:23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spans="1:23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spans="1:23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spans="1:23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spans="1:23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spans="1:23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spans="1:23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spans="1:23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spans="1:23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spans="1:23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spans="1:23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spans="1:23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spans="1:23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spans="1:23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spans="1:23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spans="1:23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spans="1:23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spans="1:23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spans="1:23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spans="1:23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spans="1:23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spans="1:23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spans="1:23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spans="1:23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spans="1:23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spans="1:23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spans="1:23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spans="1:23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spans="1:23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spans="1:23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spans="1:23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spans="1:23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spans="1:23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spans="1:23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spans="1:23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spans="1:23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spans="1:23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spans="1:23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spans="1:23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spans="1:23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spans="1:23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spans="1:23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spans="1:23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spans="1:23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spans="1:23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spans="1:23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spans="1:23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spans="1:23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spans="1:23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spans="1:23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spans="1:23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spans="1:23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spans="1:23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spans="1:23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spans="1:23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spans="1:23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spans="1:23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spans="1:23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spans="1:23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spans="1:23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spans="1:23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spans="1:23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spans="1:23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spans="1:23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spans="1:23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spans="1:23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spans="1:23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spans="1:23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spans="1:23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spans="1:23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spans="1:23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spans="1:23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spans="1:23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spans="1:23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spans="1:23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spans="1:23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spans="1:23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spans="1:23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spans="1:23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spans="1:23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spans="1:23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spans="1:23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spans="1:23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spans="1:23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spans="1:23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spans="1:23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spans="1:23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spans="1:23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spans="1:23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spans="1:23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spans="1:23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spans="1:23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spans="1:23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spans="1:23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spans="1:23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spans="1:23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spans="1:23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spans="1:23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spans="1:23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spans="1:23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spans="1:23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spans="1:23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spans="1:23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spans="1:23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spans="1:23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spans="1:23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spans="1:23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spans="1:23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spans="1:23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spans="1:23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spans="1:23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spans="1:23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spans="1:23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spans="1:23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spans="1:23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spans="1:23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spans="1:23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spans="1:23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spans="1:23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spans="1:23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spans="1:23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spans="1:23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spans="1:23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spans="1:23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spans="1:23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spans="1:23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spans="1:23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spans="1:23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spans="1:23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spans="1:23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spans="1:23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spans="1:23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spans="1:23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spans="1:23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spans="1:23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spans="1:23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spans="1:23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spans="1:23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spans="1:23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spans="1:23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spans="1:23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spans="1:23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spans="1:23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spans="1:23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spans="1:23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spans="1:23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spans="1:23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spans="1:23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spans="1:23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spans="1:23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spans="1:23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spans="1:23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spans="1:23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spans="1:23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spans="1:23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spans="1:23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spans="1:23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spans="1:23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spans="1:23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spans="1:23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spans="1:23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spans="1:23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spans="1:23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spans="1:23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spans="1:23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spans="1:23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spans="1:23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 spans="1:23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 spans="1:23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 spans="1:23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 spans="1:23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 spans="1:23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 spans="1:23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 spans="1:23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 spans="1:23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 spans="1:23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 spans="1:23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 spans="1:23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 spans="1:23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 spans="1:23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 spans="1:23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 spans="1:23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 spans="1:23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 spans="1:23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 spans="1:23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 spans="1:23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 spans="1:23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 spans="1:23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 spans="1:23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 spans="1:23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 spans="1:23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 spans="1:23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 spans="1:23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 spans="1:23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 spans="1:23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 spans="1:23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 spans="1:23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 spans="1:23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 spans="1:23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spans="1:23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spans="1:23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spans="1:23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spans="1:23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spans="1:23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spans="1:23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spans="1:23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 spans="1:23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 spans="1:23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 spans="1:23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 spans="1:23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spans="1:23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spans="1:23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spans="1:23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spans="1:23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spans="1:23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spans="1:23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spans="1:23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spans="1:23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spans="1:23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 spans="1:23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 spans="1:23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 spans="1:23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 spans="1:23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spans="1:23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 spans="1:23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 spans="1:23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 spans="1:23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 spans="1:23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 spans="1:23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 spans="1:23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 spans="1:23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 spans="1:23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 spans="1:23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  <row r="1001" spans="1:23" ht="15.75" customHeight="1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</row>
    <row r="1002" spans="1:23" ht="15.75" customHeight="1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</row>
    <row r="1003" spans="1:23" ht="15.75" customHeight="1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</row>
    <row r="1004" spans="1:23" ht="15.75" customHeight="1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</row>
    <row r="1005" spans="1:23" ht="15.75" customHeight="1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</row>
    <row r="1006" spans="1:23" ht="15.75" customHeight="1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</row>
    <row r="1007" spans="1:23" ht="15.75" customHeight="1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</row>
    <row r="1008" spans="1:23" ht="15.75" customHeight="1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</row>
    <row r="1009" spans="1:23" ht="15.75" customHeight="1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</row>
    <row r="1010" spans="1:23" ht="15.75" customHeight="1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</row>
  </sheetData>
  <conditionalFormatting sqref="C4:W4">
    <cfRule type="cellIs" dxfId="13" priority="1" operator="equal">
      <formula>"Ready to ship"</formula>
    </cfRule>
    <cfRule type="cellIs" dxfId="12" priority="2" operator="equal">
      <formula>"WIP"</formula>
    </cfRule>
  </conditionalFormatting>
  <conditionalFormatting sqref="C12:W12">
    <cfRule type="cellIs" dxfId="11" priority="3" operator="greaterThan">
      <formula>0</formula>
    </cfRule>
    <cfRule type="cellIs" dxfId="10" priority="4" operator="lessThan">
      <formula>0</formula>
    </cfRule>
  </conditionalFormatting>
  <conditionalFormatting sqref="C15:W15">
    <cfRule type="cellIs" dxfId="9" priority="5" operator="greaterThan">
      <formula>0</formula>
    </cfRule>
    <cfRule type="cellIs" dxfId="8" priority="6" operator="lessThan">
      <formula>0</formula>
    </cfRule>
  </conditionalFormatting>
  <conditionalFormatting sqref="C17:W17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C22:W22">
    <cfRule type="cellIs" dxfId="5" priority="9" operator="greaterThan">
      <formula>0</formula>
    </cfRule>
    <cfRule type="cellIs" dxfId="4" priority="10" operator="lessThan">
      <formula>0</formula>
    </cfRule>
  </conditionalFormatting>
  <conditionalFormatting sqref="C41:W41">
    <cfRule type="cellIs" dxfId="3" priority="11" operator="greaterThan">
      <formula>0</formula>
    </cfRule>
    <cfRule type="cellIs" dxfId="2" priority="12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M260"/>
  <sheetViews>
    <sheetView showGridLines="0" workbookViewId="0">
      <pane xSplit="32" ySplit="5" topLeftCell="YF17" activePane="bottomRight" state="frozen"/>
      <selection pane="topRight" activeCell="AG1" sqref="AG1"/>
      <selection pane="bottomLeft" activeCell="A6" sqref="A6"/>
      <selection pane="bottomRight" activeCell="YM29" sqref="YM29"/>
    </sheetView>
  </sheetViews>
  <sheetFormatPr baseColWidth="10" defaultColWidth="11.1640625" defaultRowHeight="15" customHeight="1" outlineLevelCol="1" x14ac:dyDescent="0.2"/>
  <cols>
    <col min="1" max="1" width="3.33203125" customWidth="1"/>
    <col min="2" max="2" width="63.6640625" customWidth="1"/>
    <col min="3" max="32" width="12.33203125" hidden="1" customWidth="1" outlineLevel="1"/>
    <col min="33" max="33" width="12.33203125" customWidth="1" collapsed="1"/>
    <col min="34" max="45" width="12.33203125" hidden="1" customWidth="1" outlineLevel="1"/>
    <col min="46" max="47" width="14" hidden="1" customWidth="1" outlineLevel="1"/>
    <col min="48" max="60" width="12.33203125" hidden="1" customWidth="1" outlineLevel="1"/>
    <col min="61" max="61" width="12.33203125" customWidth="1" collapsed="1"/>
    <col min="62" max="91" width="12.33203125" hidden="1" customWidth="1" outlineLevel="1"/>
    <col min="92" max="92" width="13.1640625" customWidth="1" collapsed="1"/>
    <col min="93" max="93" width="12.33203125" hidden="1" customWidth="1" outlineLevel="1"/>
    <col min="94" max="94" width="14" hidden="1" customWidth="1" outlineLevel="1"/>
    <col min="95" max="102" width="12.33203125" hidden="1" customWidth="1" outlineLevel="1"/>
    <col min="103" max="103" width="14" hidden="1" customWidth="1" outlineLevel="1"/>
    <col min="104" max="114" width="12.33203125" hidden="1" customWidth="1" outlineLevel="1"/>
    <col min="115" max="115" width="14" hidden="1" customWidth="1" outlineLevel="1"/>
    <col min="116" max="121" width="12.33203125" hidden="1" customWidth="1" outlineLevel="1"/>
    <col min="122" max="122" width="14.6640625" customWidth="1" collapsed="1"/>
    <col min="123" max="123" width="12.33203125" hidden="1" customWidth="1" outlineLevel="1"/>
    <col min="124" max="124" width="14" hidden="1" customWidth="1" outlineLevel="1"/>
    <col min="125" max="138" width="12.33203125" hidden="1" customWidth="1" outlineLevel="1"/>
    <col min="139" max="139" width="14" hidden="1" customWidth="1" outlineLevel="1"/>
    <col min="140" max="144" width="12.33203125" hidden="1" customWidth="1" outlineLevel="1"/>
    <col min="145" max="145" width="14" hidden="1" customWidth="1" outlineLevel="1"/>
    <col min="146" max="148" width="12.33203125" hidden="1" customWidth="1" outlineLevel="1"/>
    <col min="149" max="149" width="14" hidden="1" customWidth="1" outlineLevel="1"/>
    <col min="150" max="151" width="12.33203125" hidden="1" customWidth="1" outlineLevel="1"/>
    <col min="152" max="152" width="14" hidden="1" customWidth="1" outlineLevel="1"/>
    <col min="153" max="153" width="14" customWidth="1" collapsed="1"/>
    <col min="154" max="155" width="14" hidden="1" customWidth="1" outlineLevel="1"/>
    <col min="156" max="156" width="12.33203125" hidden="1" customWidth="1" outlineLevel="1"/>
    <col min="157" max="160" width="14" hidden="1" customWidth="1" outlineLevel="1"/>
    <col min="161" max="165" width="12.33203125" hidden="1" customWidth="1" outlineLevel="1"/>
    <col min="166" max="168" width="14" hidden="1" customWidth="1" outlineLevel="1"/>
    <col min="169" max="171" width="12.33203125" hidden="1" customWidth="1" outlineLevel="1"/>
    <col min="172" max="173" width="14" hidden="1" customWidth="1" outlineLevel="1"/>
    <col min="174" max="175" width="12.33203125" hidden="1" customWidth="1" outlineLevel="1"/>
    <col min="176" max="179" width="14" hidden="1" customWidth="1" outlineLevel="1"/>
    <col min="180" max="180" width="12.33203125" hidden="1" customWidth="1" outlineLevel="1"/>
    <col min="181" max="181" width="14" hidden="1" customWidth="1" outlineLevel="1"/>
    <col min="182" max="182" width="0.1640625" customWidth="1" outlineLevel="1"/>
    <col min="183" max="183" width="14" customWidth="1"/>
    <col min="184" max="190" width="14" hidden="1" customWidth="1" outlineLevel="1"/>
    <col min="191" max="191" width="12.33203125" hidden="1" customWidth="1" outlineLevel="1"/>
    <col min="192" max="192" width="14" hidden="1" customWidth="1" outlineLevel="1"/>
    <col min="193" max="193" width="12.33203125" hidden="1" customWidth="1" outlineLevel="1"/>
    <col min="194" max="194" width="14" hidden="1" customWidth="1" outlineLevel="1"/>
    <col min="195" max="195" width="12.33203125" hidden="1" customWidth="1" outlineLevel="1"/>
    <col min="196" max="213" width="14" hidden="1" customWidth="1" outlineLevel="1"/>
    <col min="214" max="214" width="14" customWidth="1" collapsed="1"/>
    <col min="215" max="244" width="14" hidden="1" customWidth="1" outlineLevel="1"/>
    <col min="245" max="245" width="14" customWidth="1" collapsed="1"/>
    <col min="246" max="274" width="14" hidden="1" customWidth="1" outlineLevel="1"/>
    <col min="275" max="275" width="14" customWidth="1" collapsed="1"/>
    <col min="276" max="305" width="14" hidden="1" customWidth="1" outlineLevel="1"/>
    <col min="306" max="306" width="14" customWidth="1" collapsed="1"/>
    <col min="307" max="335" width="14" hidden="1" customWidth="1" outlineLevel="1"/>
    <col min="336" max="336" width="14" customWidth="1" collapsed="1"/>
    <col min="337" max="366" width="14" hidden="1" customWidth="1" outlineLevel="1"/>
    <col min="367" max="367" width="14" customWidth="1" collapsed="1"/>
    <col min="368" max="397" width="14" hidden="1" customWidth="1" outlineLevel="1"/>
    <col min="398" max="398" width="14" customWidth="1" collapsed="1"/>
    <col min="399" max="425" width="14" hidden="1" customWidth="1" outlineLevel="1"/>
    <col min="426" max="426" width="14" customWidth="1" collapsed="1"/>
    <col min="427" max="456" width="14" hidden="1" customWidth="1" outlineLevel="1"/>
    <col min="457" max="457" width="14" customWidth="1" collapsed="1"/>
    <col min="458" max="486" width="14" hidden="1" customWidth="1" outlineLevel="1"/>
    <col min="487" max="487" width="14" customWidth="1" collapsed="1"/>
    <col min="488" max="513" width="14" hidden="1" customWidth="1" outlineLevel="1"/>
    <col min="514" max="517" width="16.33203125" hidden="1" customWidth="1" outlineLevel="1"/>
    <col min="518" max="518" width="16.33203125" customWidth="1" collapsed="1"/>
    <col min="519" max="547" width="16.33203125" hidden="1" customWidth="1" outlineLevel="1"/>
    <col min="548" max="548" width="16.33203125" customWidth="1" collapsed="1"/>
    <col min="549" max="549" width="14" hidden="1" customWidth="1" outlineLevel="1"/>
    <col min="550" max="554" width="16.33203125" hidden="1" customWidth="1" outlineLevel="1"/>
    <col min="555" max="555" width="15" hidden="1" customWidth="1" outlineLevel="1"/>
    <col min="556" max="565" width="13.1640625" hidden="1" customWidth="1" outlineLevel="1"/>
    <col min="566" max="566" width="14.83203125" hidden="1" customWidth="1" outlineLevel="1"/>
    <col min="567" max="578" width="13.1640625" hidden="1" customWidth="1" outlineLevel="1"/>
    <col min="579" max="579" width="14.33203125" hidden="1" customWidth="1" outlineLevel="1"/>
    <col min="580" max="580" width="14.33203125" customWidth="1" collapsed="1"/>
    <col min="581" max="582" width="14.33203125" hidden="1" customWidth="1" outlineLevel="1"/>
    <col min="583" max="586" width="16.1640625" hidden="1" customWidth="1" outlineLevel="1"/>
    <col min="587" max="610" width="14.33203125" hidden="1" customWidth="1" outlineLevel="1"/>
    <col min="611" max="611" width="14.33203125" customWidth="1" collapsed="1"/>
    <col min="612" max="618" width="14.33203125" hidden="1" customWidth="1" outlineLevel="1"/>
    <col min="619" max="619" width="13.5" hidden="1" customWidth="1" outlineLevel="1"/>
    <col min="620" max="621" width="14.33203125" hidden="1" customWidth="1" outlineLevel="1"/>
    <col min="622" max="626" width="13.5" hidden="1" customWidth="1" outlineLevel="1"/>
    <col min="627" max="628" width="14.1640625" hidden="1" customWidth="1" outlineLevel="1"/>
    <col min="629" max="640" width="13.5" hidden="1" customWidth="1" outlineLevel="1"/>
    <col min="641" max="641" width="13.5" customWidth="1" collapsed="1"/>
    <col min="642" max="656" width="13.5" customWidth="1"/>
    <col min="657" max="663" width="13.5" bestFit="1" customWidth="1"/>
  </cols>
  <sheetData>
    <row r="1" spans="1:663" ht="15.75" customHeight="1" x14ac:dyDescent="0.2">
      <c r="A1" s="29" t="s">
        <v>60</v>
      </c>
      <c r="VG1" s="40"/>
      <c r="VH1" s="40"/>
      <c r="VI1" s="40"/>
      <c r="VJ1" s="40"/>
      <c r="VK1" s="41"/>
      <c r="VL1" s="41"/>
      <c r="VM1" s="41"/>
      <c r="VN1" s="41"/>
      <c r="VO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3">
        <f>WE8-VY8</f>
        <v>107</v>
      </c>
      <c r="WF1" s="46">
        <v>380</v>
      </c>
      <c r="WG1" s="46">
        <v>720</v>
      </c>
      <c r="WH1" s="43">
        <f>WI2-WH2</f>
        <v>-1001.7000000000007</v>
      </c>
      <c r="WI1" s="43">
        <f>WI2-WF8</f>
        <v>286</v>
      </c>
      <c r="WJ1" s="43"/>
      <c r="WK1" s="43"/>
      <c r="WL1" s="43"/>
      <c r="WM1" s="43"/>
      <c r="WN1" s="43"/>
      <c r="WO1" s="43"/>
      <c r="WP1" s="43"/>
      <c r="WQ1" s="43"/>
      <c r="WR1" s="43"/>
      <c r="WS1" s="43"/>
      <c r="WT1" s="43">
        <f>WT8*1.1</f>
        <v>16677.100000000002</v>
      </c>
    </row>
    <row r="2" spans="1:663" ht="15.75" customHeight="1" x14ac:dyDescent="0.2">
      <c r="A2" s="29"/>
      <c r="UV2" s="43">
        <f>UV8-UC8</f>
        <v>214</v>
      </c>
      <c r="WE2" s="43"/>
      <c r="WF2" s="43"/>
      <c r="WG2" s="50">
        <f>WH2-WF8</f>
        <v>1287.7000000000007</v>
      </c>
      <c r="WH2" s="43">
        <f>1.1*WF8</f>
        <v>14164.7</v>
      </c>
      <c r="WI2" s="50">
        <v>13163</v>
      </c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>
        <f>WT1-WT8</f>
        <v>1516.1000000000022</v>
      </c>
    </row>
    <row r="3" spans="1:663" ht="15.75" customHeight="1" x14ac:dyDescent="0.2">
      <c r="A3" s="21"/>
      <c r="B3" s="21" t="s">
        <v>11</v>
      </c>
      <c r="C3" s="55">
        <v>55.8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21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21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21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55">
        <v>60</v>
      </c>
      <c r="SK3" s="55">
        <v>60</v>
      </c>
      <c r="SL3" s="55">
        <v>60</v>
      </c>
      <c r="SM3" s="55">
        <v>60</v>
      </c>
      <c r="SN3" s="55">
        <v>60</v>
      </c>
      <c r="SO3" s="55">
        <v>60</v>
      </c>
      <c r="SP3" s="55">
        <v>60</v>
      </c>
      <c r="SQ3" s="55">
        <v>60</v>
      </c>
      <c r="SR3" s="55">
        <v>60</v>
      </c>
      <c r="SS3" s="55">
        <v>60</v>
      </c>
      <c r="ST3" s="55">
        <v>60</v>
      </c>
      <c r="SU3" s="55">
        <v>60</v>
      </c>
      <c r="SV3" s="55">
        <v>60</v>
      </c>
      <c r="SW3" s="55">
        <v>60</v>
      </c>
      <c r="SX3" s="55">
        <v>60</v>
      </c>
      <c r="SY3" s="82">
        <v>55.8</v>
      </c>
      <c r="SZ3" s="82">
        <v>55.8</v>
      </c>
      <c r="TA3" s="82">
        <v>55.8</v>
      </c>
      <c r="TB3" s="82">
        <v>55.8</v>
      </c>
      <c r="TC3" s="82">
        <v>55.8</v>
      </c>
      <c r="TD3" s="82">
        <v>55.8</v>
      </c>
      <c r="TE3" s="82">
        <v>55.8</v>
      </c>
      <c r="TF3" s="82">
        <v>55.8</v>
      </c>
      <c r="TG3" s="82">
        <v>55.8</v>
      </c>
      <c r="TH3" s="82">
        <v>55.8</v>
      </c>
      <c r="TI3" s="82">
        <v>55.8</v>
      </c>
      <c r="TJ3" s="82">
        <v>55.8</v>
      </c>
      <c r="TK3" s="82">
        <v>55.8</v>
      </c>
      <c r="TL3" s="82">
        <v>55.8</v>
      </c>
      <c r="TM3" s="82">
        <v>55.8</v>
      </c>
      <c r="TN3" s="82">
        <v>55.8</v>
      </c>
      <c r="TO3" s="82">
        <v>55.8</v>
      </c>
      <c r="TP3" s="82">
        <v>55.8</v>
      </c>
      <c r="TQ3" s="82">
        <v>55.8</v>
      </c>
      <c r="TR3" s="82">
        <v>55.8</v>
      </c>
      <c r="TS3" s="82">
        <v>55.8</v>
      </c>
      <c r="TT3" s="82">
        <v>55.8</v>
      </c>
      <c r="TU3" s="82">
        <v>55.8</v>
      </c>
      <c r="TV3" s="82">
        <v>55.8</v>
      </c>
      <c r="TW3" s="82">
        <v>55.8</v>
      </c>
      <c r="TX3" s="82">
        <v>55.8</v>
      </c>
      <c r="TY3" s="82">
        <v>55.8</v>
      </c>
      <c r="TZ3" s="82">
        <v>55.8</v>
      </c>
      <c r="UA3" s="82">
        <v>55.8</v>
      </c>
      <c r="UB3" s="82">
        <v>55.8</v>
      </c>
      <c r="UC3" s="82">
        <v>55.8</v>
      </c>
      <c r="UD3" s="82">
        <v>55.8</v>
      </c>
      <c r="UE3" s="82">
        <v>55.8</v>
      </c>
      <c r="UF3" s="82">
        <v>55.8</v>
      </c>
      <c r="UG3" s="82">
        <v>55.8</v>
      </c>
      <c r="UH3" s="82">
        <v>55.8</v>
      </c>
      <c r="UI3" s="82">
        <v>55.8</v>
      </c>
      <c r="UJ3" s="82">
        <v>55.8</v>
      </c>
      <c r="UK3" s="82">
        <v>55.8</v>
      </c>
      <c r="UL3" s="82">
        <v>55.8</v>
      </c>
      <c r="UM3" s="82">
        <v>55.8</v>
      </c>
      <c r="UN3" s="82">
        <v>55.8</v>
      </c>
      <c r="UO3" s="82">
        <v>55.8</v>
      </c>
      <c r="UP3" s="82">
        <v>55.8</v>
      </c>
      <c r="UQ3" s="82">
        <v>55.8</v>
      </c>
      <c r="UR3" s="82">
        <v>55.8</v>
      </c>
      <c r="US3" s="82">
        <v>55.8</v>
      </c>
      <c r="UT3" s="82">
        <v>55.8</v>
      </c>
      <c r="UU3" s="82">
        <v>55.8</v>
      </c>
      <c r="UV3" s="82">
        <v>55.8</v>
      </c>
      <c r="UW3" s="82">
        <v>55.8</v>
      </c>
      <c r="UX3" s="82">
        <v>55.8</v>
      </c>
      <c r="UY3" s="82">
        <v>55.8</v>
      </c>
      <c r="UZ3" s="82">
        <v>55.8</v>
      </c>
      <c r="VA3" s="82">
        <v>55.8</v>
      </c>
      <c r="VB3" s="82">
        <v>55.8</v>
      </c>
      <c r="VC3" s="82">
        <v>55.8</v>
      </c>
      <c r="VD3" s="82">
        <v>55.8</v>
      </c>
      <c r="VE3" s="82">
        <v>55.8</v>
      </c>
      <c r="VF3" s="82">
        <v>55.8</v>
      </c>
      <c r="VG3" s="82">
        <v>55.8</v>
      </c>
      <c r="VH3" s="82">
        <v>55.8</v>
      </c>
      <c r="VI3" s="82">
        <v>55.8</v>
      </c>
      <c r="VJ3" s="82">
        <v>55.8</v>
      </c>
      <c r="VK3" s="82">
        <v>55.8</v>
      </c>
      <c r="VL3" s="82">
        <v>55.8</v>
      </c>
      <c r="VM3" s="82">
        <v>55.8</v>
      </c>
      <c r="VN3" s="82">
        <v>55.8</v>
      </c>
      <c r="VO3" s="82">
        <v>55.8</v>
      </c>
      <c r="VP3" s="82">
        <v>55.8</v>
      </c>
      <c r="VQ3" s="82">
        <v>55.8</v>
      </c>
      <c r="VR3" s="82">
        <v>55.8</v>
      </c>
      <c r="VS3" s="82">
        <v>55.8</v>
      </c>
      <c r="VT3" s="82">
        <v>55.8</v>
      </c>
      <c r="VU3" s="82">
        <v>55.8</v>
      </c>
      <c r="VV3" s="82">
        <v>55.8</v>
      </c>
      <c r="VW3" s="82">
        <v>55.8</v>
      </c>
      <c r="VX3" s="82">
        <v>55.8</v>
      </c>
      <c r="VY3" s="82">
        <v>55.8</v>
      </c>
      <c r="VZ3" s="82">
        <v>55.8</v>
      </c>
      <c r="WA3" s="82">
        <v>55.8</v>
      </c>
      <c r="WB3" s="82">
        <v>55.8</v>
      </c>
      <c r="WC3" s="82">
        <v>55.8</v>
      </c>
      <c r="WD3" s="82">
        <v>55.8</v>
      </c>
      <c r="WE3" s="82">
        <v>55.8</v>
      </c>
      <c r="WF3" s="82">
        <v>55.8</v>
      </c>
      <c r="WG3" s="82">
        <v>55.8</v>
      </c>
      <c r="WH3" s="82">
        <v>55.8</v>
      </c>
      <c r="WI3" s="82">
        <v>55.8</v>
      </c>
      <c r="WJ3" s="82">
        <v>55.8</v>
      </c>
      <c r="WK3" s="82">
        <v>55.8</v>
      </c>
      <c r="WL3" s="82">
        <v>55.8</v>
      </c>
      <c r="WM3" s="82">
        <v>55.8</v>
      </c>
      <c r="WN3" s="82">
        <v>55.8</v>
      </c>
      <c r="WO3" s="82">
        <v>55.8</v>
      </c>
      <c r="WP3" s="82">
        <v>55.8</v>
      </c>
      <c r="WQ3" s="82">
        <v>55.8</v>
      </c>
      <c r="WR3" s="82">
        <v>55.8</v>
      </c>
      <c r="WS3" s="82">
        <v>55.8</v>
      </c>
      <c r="WT3" s="82">
        <v>55.8</v>
      </c>
      <c r="WU3" s="82">
        <v>55.8</v>
      </c>
      <c r="WV3" s="82">
        <v>55.8</v>
      </c>
      <c r="WW3" s="82">
        <v>55.8</v>
      </c>
      <c r="WX3" s="82">
        <v>55.8</v>
      </c>
      <c r="WY3" s="82">
        <v>55.8</v>
      </c>
      <c r="WZ3" s="82">
        <v>55.8</v>
      </c>
      <c r="XA3" s="82">
        <v>55.8</v>
      </c>
      <c r="XB3" s="82">
        <v>55.8</v>
      </c>
      <c r="XC3" s="82">
        <v>55.8</v>
      </c>
      <c r="XD3" s="82">
        <v>55.8</v>
      </c>
      <c r="XE3" s="82">
        <v>55.8</v>
      </c>
      <c r="XF3" s="82">
        <v>55.8</v>
      </c>
      <c r="XG3" s="82">
        <v>55.8</v>
      </c>
      <c r="XH3" s="82">
        <v>55.8</v>
      </c>
      <c r="XI3" s="82">
        <v>55.8</v>
      </c>
      <c r="XJ3" s="82">
        <v>55.8</v>
      </c>
      <c r="XK3" s="82">
        <v>55.8</v>
      </c>
      <c r="XL3" s="82">
        <v>55.8</v>
      </c>
      <c r="XM3" s="82">
        <v>55.8</v>
      </c>
      <c r="XN3" s="82">
        <v>55.8</v>
      </c>
      <c r="XO3" s="82">
        <v>55.8</v>
      </c>
      <c r="XP3" s="82">
        <v>55.8</v>
      </c>
      <c r="XQ3" s="82">
        <v>55.8</v>
      </c>
      <c r="XR3" s="82">
        <v>55.8</v>
      </c>
      <c r="XS3" s="82">
        <v>55.8</v>
      </c>
      <c r="XT3" s="82">
        <v>55.8</v>
      </c>
      <c r="XU3" s="82">
        <v>55.8</v>
      </c>
      <c r="XV3" s="82">
        <v>55.8</v>
      </c>
      <c r="XW3" s="82">
        <v>55.8</v>
      </c>
      <c r="XX3" s="82">
        <v>55.8</v>
      </c>
      <c r="XY3" s="82">
        <v>55.8</v>
      </c>
      <c r="XZ3" s="82">
        <v>55.8</v>
      </c>
      <c r="YA3" s="82">
        <v>55.8</v>
      </c>
      <c r="YB3" s="82">
        <v>55.8</v>
      </c>
      <c r="YC3" s="82">
        <v>55.8</v>
      </c>
      <c r="YD3" s="82">
        <v>55.8</v>
      </c>
      <c r="YE3" s="82">
        <v>55.8</v>
      </c>
      <c r="YF3" s="82">
        <v>55.8</v>
      </c>
      <c r="YG3" s="198">
        <v>55.8</v>
      </c>
      <c r="YH3" s="198">
        <v>55.8</v>
      </c>
      <c r="YI3" s="198">
        <v>55.8</v>
      </c>
      <c r="YJ3" s="82">
        <v>55.8</v>
      </c>
      <c r="YK3" s="82">
        <v>55.8</v>
      </c>
      <c r="YL3" s="82">
        <v>55.8</v>
      </c>
      <c r="YM3" s="82">
        <v>55.8</v>
      </c>
    </row>
    <row r="4" spans="1:663" ht="15.75" customHeight="1" x14ac:dyDescent="0.2">
      <c r="VG4" s="94"/>
      <c r="VH4" s="94"/>
      <c r="VI4" s="94"/>
      <c r="VJ4" s="94"/>
      <c r="VK4" s="94"/>
      <c r="VL4" s="94"/>
      <c r="VM4" s="94"/>
      <c r="VN4" s="94"/>
      <c r="VO4" s="94"/>
      <c r="VP4" s="94"/>
      <c r="VQ4" s="94"/>
      <c r="VR4" s="94"/>
      <c r="VS4" s="94"/>
      <c r="VT4" s="94"/>
      <c r="VU4" s="94"/>
      <c r="VV4" s="94"/>
      <c r="VW4" s="94"/>
      <c r="VX4" s="94"/>
      <c r="VY4" s="94"/>
      <c r="VZ4" s="94"/>
      <c r="WA4" s="94"/>
      <c r="WB4" s="94"/>
      <c r="WC4" s="94"/>
      <c r="WD4" s="94"/>
      <c r="WE4" s="94"/>
      <c r="WF4" s="94"/>
      <c r="WG4" s="94"/>
      <c r="WH4" s="94"/>
      <c r="WI4" s="96">
        <f>WI8-NC8</f>
        <v>9249</v>
      </c>
      <c r="WJ4" s="96"/>
      <c r="WK4" s="96"/>
      <c r="WL4" s="96"/>
      <c r="WM4" s="96"/>
      <c r="WN4" s="96"/>
      <c r="WO4" s="96"/>
      <c r="WP4" s="96"/>
      <c r="WQ4" s="96"/>
      <c r="WR4" s="96"/>
      <c r="WS4" s="96"/>
      <c r="WT4" s="97"/>
      <c r="YC4" s="94"/>
      <c r="YE4" s="94"/>
      <c r="YF4" s="94"/>
      <c r="YG4" s="199"/>
      <c r="YH4" s="199"/>
      <c r="YI4" s="199"/>
      <c r="YJ4" s="94"/>
      <c r="YK4" s="94"/>
      <c r="YL4" s="94"/>
      <c r="YM4" s="94"/>
    </row>
    <row r="5" spans="1:663" ht="15.75" customHeight="1" x14ac:dyDescent="0.2">
      <c r="B5" s="98"/>
      <c r="C5" s="100">
        <v>45658</v>
      </c>
      <c r="D5" s="100">
        <v>45659</v>
      </c>
      <c r="E5" s="100">
        <v>45660</v>
      </c>
      <c r="F5" s="100">
        <v>45661</v>
      </c>
      <c r="G5" s="100">
        <v>45662</v>
      </c>
      <c r="H5" s="100">
        <v>45663</v>
      </c>
      <c r="I5" s="100">
        <v>45664</v>
      </c>
      <c r="J5" s="100">
        <v>45665</v>
      </c>
      <c r="K5" s="100">
        <v>45666</v>
      </c>
      <c r="L5" s="100">
        <v>45667</v>
      </c>
      <c r="M5" s="100">
        <v>45668</v>
      </c>
      <c r="N5" s="100">
        <v>45669</v>
      </c>
      <c r="O5" s="100">
        <v>45670</v>
      </c>
      <c r="P5" s="100">
        <v>45671</v>
      </c>
      <c r="Q5" s="100">
        <v>45672</v>
      </c>
      <c r="R5" s="100">
        <v>45673</v>
      </c>
      <c r="S5" s="100">
        <v>45674</v>
      </c>
      <c r="T5" s="100">
        <v>45675</v>
      </c>
      <c r="U5" s="100">
        <v>45676</v>
      </c>
      <c r="V5" s="100">
        <v>45677</v>
      </c>
      <c r="W5" s="100">
        <v>45678</v>
      </c>
      <c r="X5" s="100">
        <v>45679</v>
      </c>
      <c r="Y5" s="100">
        <v>45680</v>
      </c>
      <c r="Z5" s="100">
        <v>45681</v>
      </c>
      <c r="AA5" s="100">
        <v>45682</v>
      </c>
      <c r="AB5" s="100">
        <v>45683</v>
      </c>
      <c r="AC5" s="100">
        <v>45684</v>
      </c>
      <c r="AD5" s="100">
        <v>45685</v>
      </c>
      <c r="AE5" s="100">
        <v>45686</v>
      </c>
      <c r="AF5" s="100">
        <v>45687</v>
      </c>
      <c r="AG5" s="100">
        <v>45688</v>
      </c>
      <c r="AH5" s="100">
        <v>45689</v>
      </c>
      <c r="AI5" s="100">
        <v>45690</v>
      </c>
      <c r="AJ5" s="100">
        <v>45691</v>
      </c>
      <c r="AK5" s="100">
        <v>45692</v>
      </c>
      <c r="AL5" s="100">
        <v>45693</v>
      </c>
      <c r="AM5" s="100">
        <v>45694</v>
      </c>
      <c r="AN5" s="100">
        <v>45695</v>
      </c>
      <c r="AO5" s="100">
        <v>45696</v>
      </c>
      <c r="AP5" s="100">
        <v>45697</v>
      </c>
      <c r="AQ5" s="100">
        <v>45698</v>
      </c>
      <c r="AR5" s="100">
        <v>45699</v>
      </c>
      <c r="AS5" s="100">
        <v>45700</v>
      </c>
      <c r="AT5" s="100">
        <v>45701</v>
      </c>
      <c r="AU5" s="100">
        <v>45702</v>
      </c>
      <c r="AV5" s="100">
        <v>45703</v>
      </c>
      <c r="AW5" s="100">
        <v>45704</v>
      </c>
      <c r="AX5" s="100">
        <v>45705</v>
      </c>
      <c r="AY5" s="100">
        <v>45706</v>
      </c>
      <c r="AZ5" s="100">
        <v>45707</v>
      </c>
      <c r="BA5" s="100">
        <v>45708</v>
      </c>
      <c r="BB5" s="100">
        <v>45709</v>
      </c>
      <c r="BC5" s="100">
        <v>45710</v>
      </c>
      <c r="BD5" s="100">
        <v>45711</v>
      </c>
      <c r="BE5" s="100">
        <v>45712</v>
      </c>
      <c r="BF5" s="100">
        <v>45713</v>
      </c>
      <c r="BG5" s="100">
        <v>45714</v>
      </c>
      <c r="BH5" s="100">
        <v>45715</v>
      </c>
      <c r="BI5" s="100">
        <v>45716</v>
      </c>
      <c r="BJ5" s="100">
        <v>45717</v>
      </c>
      <c r="BK5" s="100">
        <v>45718</v>
      </c>
      <c r="BL5" s="100">
        <v>45719</v>
      </c>
      <c r="BM5" s="100">
        <v>45720</v>
      </c>
      <c r="BN5" s="100">
        <v>45721</v>
      </c>
      <c r="BO5" s="100">
        <v>45722</v>
      </c>
      <c r="BP5" s="100">
        <v>45723</v>
      </c>
      <c r="BQ5" s="100">
        <v>45724</v>
      </c>
      <c r="BR5" s="100">
        <v>45725</v>
      </c>
      <c r="BS5" s="100">
        <v>45726</v>
      </c>
      <c r="BT5" s="100">
        <v>45727</v>
      </c>
      <c r="BU5" s="100">
        <v>45728</v>
      </c>
      <c r="BV5" s="100">
        <v>45729</v>
      </c>
      <c r="BW5" s="100">
        <v>45730</v>
      </c>
      <c r="BX5" s="100">
        <v>45731</v>
      </c>
      <c r="BY5" s="100">
        <v>45732</v>
      </c>
      <c r="BZ5" s="100">
        <v>45733</v>
      </c>
      <c r="CA5" s="100">
        <v>45734</v>
      </c>
      <c r="CB5" s="100">
        <v>45735</v>
      </c>
      <c r="CC5" s="100">
        <v>45736</v>
      </c>
      <c r="CD5" s="100">
        <v>45737</v>
      </c>
      <c r="CE5" s="100">
        <v>45738</v>
      </c>
      <c r="CF5" s="100">
        <v>45739</v>
      </c>
      <c r="CG5" s="100">
        <v>45740</v>
      </c>
      <c r="CH5" s="100">
        <v>45741</v>
      </c>
      <c r="CI5" s="100">
        <v>45742</v>
      </c>
      <c r="CJ5" s="100">
        <v>45743</v>
      </c>
      <c r="CK5" s="100">
        <v>45744</v>
      </c>
      <c r="CL5" s="100">
        <v>45745</v>
      </c>
      <c r="CM5" s="100">
        <v>45746</v>
      </c>
      <c r="CN5" s="100">
        <v>45747</v>
      </c>
      <c r="CO5" s="100">
        <v>45748</v>
      </c>
      <c r="CP5" s="100">
        <v>45749</v>
      </c>
      <c r="CQ5" s="100">
        <v>45750</v>
      </c>
      <c r="CR5" s="100">
        <v>45751</v>
      </c>
      <c r="CS5" s="100">
        <v>45752</v>
      </c>
      <c r="CT5" s="100">
        <v>45753</v>
      </c>
      <c r="CU5" s="100">
        <v>45754</v>
      </c>
      <c r="CV5" s="100">
        <v>45755</v>
      </c>
      <c r="CW5" s="100">
        <v>45756</v>
      </c>
      <c r="CX5" s="100">
        <v>45757</v>
      </c>
      <c r="CY5" s="100">
        <v>45758</v>
      </c>
      <c r="CZ5" s="100">
        <v>45759</v>
      </c>
      <c r="DA5" s="100">
        <v>45760</v>
      </c>
      <c r="DB5" s="100">
        <v>45761</v>
      </c>
      <c r="DC5" s="100">
        <v>45762</v>
      </c>
      <c r="DD5" s="100">
        <v>45763</v>
      </c>
      <c r="DE5" s="100">
        <v>45764</v>
      </c>
      <c r="DF5" s="100">
        <v>45765</v>
      </c>
      <c r="DG5" s="100">
        <v>45766</v>
      </c>
      <c r="DH5" s="100">
        <v>45767</v>
      </c>
      <c r="DI5" s="100">
        <v>45768</v>
      </c>
      <c r="DJ5" s="100">
        <v>45769</v>
      </c>
      <c r="DK5" s="100">
        <v>45770</v>
      </c>
      <c r="DL5" s="100">
        <v>45771</v>
      </c>
      <c r="DM5" s="100">
        <v>45772</v>
      </c>
      <c r="DN5" s="100">
        <v>45773</v>
      </c>
      <c r="DO5" s="100">
        <v>45774</v>
      </c>
      <c r="DP5" s="100">
        <v>45775</v>
      </c>
      <c r="DQ5" s="100">
        <v>45776</v>
      </c>
      <c r="DR5" s="100">
        <v>45777</v>
      </c>
      <c r="DS5" s="100">
        <v>45778</v>
      </c>
      <c r="DT5" s="100">
        <v>45779</v>
      </c>
      <c r="DU5" s="100">
        <v>45780</v>
      </c>
      <c r="DV5" s="100">
        <v>45781</v>
      </c>
      <c r="DW5" s="100">
        <v>45782</v>
      </c>
      <c r="DX5" s="100">
        <v>45783</v>
      </c>
      <c r="DY5" s="100">
        <v>45784</v>
      </c>
      <c r="DZ5" s="100">
        <v>45785</v>
      </c>
      <c r="EA5" s="100">
        <v>45786</v>
      </c>
      <c r="EB5" s="100">
        <v>45787</v>
      </c>
      <c r="EC5" s="100">
        <v>45788</v>
      </c>
      <c r="ED5" s="100">
        <v>45789</v>
      </c>
      <c r="EE5" s="100">
        <v>45790</v>
      </c>
      <c r="EF5" s="100">
        <v>45791</v>
      </c>
      <c r="EG5" s="100">
        <v>45792</v>
      </c>
      <c r="EH5" s="100">
        <v>45793</v>
      </c>
      <c r="EI5" s="100">
        <v>45794</v>
      </c>
      <c r="EJ5" s="100">
        <v>45795</v>
      </c>
      <c r="EK5" s="100">
        <v>45796</v>
      </c>
      <c r="EL5" s="100">
        <v>45797</v>
      </c>
      <c r="EM5" s="100">
        <v>45798</v>
      </c>
      <c r="EN5" s="100">
        <v>45799</v>
      </c>
      <c r="EO5" s="100">
        <v>45800</v>
      </c>
      <c r="EP5" s="100">
        <v>45801</v>
      </c>
      <c r="EQ5" s="100">
        <v>45802</v>
      </c>
      <c r="ER5" s="100">
        <v>45803</v>
      </c>
      <c r="ES5" s="100">
        <v>45804</v>
      </c>
      <c r="ET5" s="100">
        <v>45805</v>
      </c>
      <c r="EU5" s="100">
        <v>45806</v>
      </c>
      <c r="EV5" s="100">
        <v>45807</v>
      </c>
      <c r="EW5" s="100">
        <v>45808</v>
      </c>
      <c r="EX5" s="100">
        <v>45809</v>
      </c>
      <c r="EY5" s="100">
        <v>45810</v>
      </c>
      <c r="EZ5" s="100">
        <v>45811</v>
      </c>
      <c r="FA5" s="100">
        <v>45812</v>
      </c>
      <c r="FB5" s="100">
        <v>45813</v>
      </c>
      <c r="FC5" s="100">
        <v>45814</v>
      </c>
      <c r="FD5" s="100">
        <v>45815</v>
      </c>
      <c r="FE5" s="100">
        <v>45816</v>
      </c>
      <c r="FF5" s="100">
        <v>45817</v>
      </c>
      <c r="FG5" s="100">
        <v>45818</v>
      </c>
      <c r="FH5" s="100">
        <v>45819</v>
      </c>
      <c r="FI5" s="100">
        <v>45820</v>
      </c>
      <c r="FJ5" s="100">
        <v>45821</v>
      </c>
      <c r="FK5" s="100">
        <v>45822</v>
      </c>
      <c r="FL5" s="100">
        <v>45823</v>
      </c>
      <c r="FM5" s="100">
        <v>45824</v>
      </c>
      <c r="FN5" s="100">
        <v>45825</v>
      </c>
      <c r="FO5" s="100">
        <v>45826</v>
      </c>
      <c r="FP5" s="100">
        <v>45827</v>
      </c>
      <c r="FQ5" s="100">
        <v>45828</v>
      </c>
      <c r="FR5" s="100">
        <v>45829</v>
      </c>
      <c r="FS5" s="100">
        <v>45830</v>
      </c>
      <c r="FT5" s="100">
        <v>45831</v>
      </c>
      <c r="FU5" s="100">
        <v>45832</v>
      </c>
      <c r="FV5" s="100">
        <v>45833</v>
      </c>
      <c r="FW5" s="100">
        <v>45834</v>
      </c>
      <c r="FX5" s="100">
        <v>45835</v>
      </c>
      <c r="FY5" s="100">
        <v>45836</v>
      </c>
      <c r="FZ5" s="100">
        <v>45837</v>
      </c>
      <c r="GA5" s="100">
        <v>45838</v>
      </c>
      <c r="GB5" s="100">
        <v>45839</v>
      </c>
      <c r="GC5" s="100">
        <v>45840</v>
      </c>
      <c r="GD5" s="100">
        <v>45841</v>
      </c>
      <c r="GE5" s="100">
        <v>45842</v>
      </c>
      <c r="GF5" s="100">
        <v>45843</v>
      </c>
      <c r="GG5" s="100">
        <v>45844</v>
      </c>
      <c r="GH5" s="100">
        <v>45845</v>
      </c>
      <c r="GI5" s="100">
        <v>45846</v>
      </c>
      <c r="GJ5" s="100">
        <v>45847</v>
      </c>
      <c r="GK5" s="100">
        <v>45848</v>
      </c>
      <c r="GL5" s="100">
        <v>45849</v>
      </c>
      <c r="GM5" s="100">
        <v>45850</v>
      </c>
      <c r="GN5" s="100">
        <v>45851</v>
      </c>
      <c r="GO5" s="100">
        <v>45852</v>
      </c>
      <c r="GP5" s="100">
        <v>45853</v>
      </c>
      <c r="GQ5" s="100">
        <v>45854</v>
      </c>
      <c r="GR5" s="100">
        <v>45855</v>
      </c>
      <c r="GS5" s="100">
        <v>45856</v>
      </c>
      <c r="GT5" s="100">
        <v>45857</v>
      </c>
      <c r="GU5" s="100">
        <v>45858</v>
      </c>
      <c r="GV5" s="100">
        <v>45859</v>
      </c>
      <c r="GW5" s="100">
        <v>45860</v>
      </c>
      <c r="GX5" s="100">
        <v>45861</v>
      </c>
      <c r="GY5" s="100">
        <v>45862</v>
      </c>
      <c r="GZ5" s="100">
        <v>45863</v>
      </c>
      <c r="HA5" s="100">
        <v>45864</v>
      </c>
      <c r="HB5" s="100">
        <v>45865</v>
      </c>
      <c r="HC5" s="100">
        <v>45866</v>
      </c>
      <c r="HD5" s="100">
        <v>45867</v>
      </c>
      <c r="HE5" s="100">
        <v>45868</v>
      </c>
      <c r="HF5" s="100">
        <v>45869</v>
      </c>
      <c r="HG5" s="100">
        <v>45870</v>
      </c>
      <c r="HH5" s="100">
        <v>45871</v>
      </c>
      <c r="HI5" s="100">
        <v>45872</v>
      </c>
      <c r="HJ5" s="100">
        <v>45873</v>
      </c>
      <c r="HK5" s="100">
        <v>45874</v>
      </c>
      <c r="HL5" s="100">
        <v>45875</v>
      </c>
      <c r="HM5" s="100">
        <v>45876</v>
      </c>
      <c r="HN5" s="100">
        <v>45877</v>
      </c>
      <c r="HO5" s="100">
        <v>45878</v>
      </c>
      <c r="HP5" s="100">
        <v>45879</v>
      </c>
      <c r="HQ5" s="100">
        <v>45880</v>
      </c>
      <c r="HR5" s="100">
        <v>45881</v>
      </c>
      <c r="HS5" s="100">
        <v>45882</v>
      </c>
      <c r="HT5" s="100">
        <v>45883</v>
      </c>
      <c r="HU5" s="100">
        <v>45884</v>
      </c>
      <c r="HV5" s="100">
        <v>45885</v>
      </c>
      <c r="HW5" s="100">
        <v>45886</v>
      </c>
      <c r="HX5" s="100">
        <v>45887</v>
      </c>
      <c r="HY5" s="100">
        <v>45888</v>
      </c>
      <c r="HZ5" s="100">
        <v>45889</v>
      </c>
      <c r="IA5" s="100">
        <v>45890</v>
      </c>
      <c r="IB5" s="100">
        <v>45891</v>
      </c>
      <c r="IC5" s="100">
        <v>45892</v>
      </c>
      <c r="ID5" s="100">
        <v>45893</v>
      </c>
      <c r="IE5" s="100">
        <v>45894</v>
      </c>
      <c r="IF5" s="100">
        <v>45895</v>
      </c>
      <c r="IG5" s="100">
        <v>45896</v>
      </c>
      <c r="IH5" s="100">
        <v>45897</v>
      </c>
      <c r="II5" s="100">
        <v>45898</v>
      </c>
      <c r="IJ5" s="100">
        <v>45899</v>
      </c>
      <c r="IK5" s="100">
        <v>45900</v>
      </c>
      <c r="IL5" s="100">
        <v>45901</v>
      </c>
      <c r="IM5" s="100">
        <v>45902</v>
      </c>
      <c r="IN5" s="100">
        <v>45903</v>
      </c>
      <c r="IO5" s="100">
        <v>45904</v>
      </c>
      <c r="IP5" s="100">
        <v>45905</v>
      </c>
      <c r="IQ5" s="100">
        <v>45906</v>
      </c>
      <c r="IR5" s="100">
        <v>45907</v>
      </c>
      <c r="IS5" s="100">
        <v>45908</v>
      </c>
      <c r="IT5" s="100">
        <v>45909</v>
      </c>
      <c r="IU5" s="100">
        <v>45910</v>
      </c>
      <c r="IV5" s="100">
        <v>45911</v>
      </c>
      <c r="IW5" s="100">
        <v>45912</v>
      </c>
      <c r="IX5" s="100">
        <v>45913</v>
      </c>
      <c r="IY5" s="100">
        <v>45914</v>
      </c>
      <c r="IZ5" s="100">
        <v>45915</v>
      </c>
      <c r="JA5" s="100">
        <v>45916</v>
      </c>
      <c r="JB5" s="100">
        <v>45917</v>
      </c>
      <c r="JC5" s="100">
        <v>45918</v>
      </c>
      <c r="JD5" s="100">
        <v>45919</v>
      </c>
      <c r="JE5" s="100">
        <v>45920</v>
      </c>
      <c r="JF5" s="100">
        <v>45921</v>
      </c>
      <c r="JG5" s="100">
        <v>45922</v>
      </c>
      <c r="JH5" s="100">
        <v>45923</v>
      </c>
      <c r="JI5" s="100">
        <v>45924</v>
      </c>
      <c r="JJ5" s="100">
        <v>45925</v>
      </c>
      <c r="JK5" s="100">
        <v>45926</v>
      </c>
      <c r="JL5" s="100">
        <v>45927</v>
      </c>
      <c r="JM5" s="100">
        <v>45928</v>
      </c>
      <c r="JN5" s="100">
        <v>45929</v>
      </c>
      <c r="JO5" s="100">
        <v>45930</v>
      </c>
      <c r="JP5" s="100">
        <v>45931</v>
      </c>
      <c r="JQ5" s="100">
        <v>45932</v>
      </c>
      <c r="JR5" s="100">
        <v>45933</v>
      </c>
      <c r="JS5" s="100">
        <v>45934</v>
      </c>
      <c r="JT5" s="100">
        <v>45935</v>
      </c>
      <c r="JU5" s="100">
        <v>45936</v>
      </c>
      <c r="JV5" s="100">
        <v>45937</v>
      </c>
      <c r="JW5" s="100">
        <v>45938</v>
      </c>
      <c r="JX5" s="100">
        <v>45939</v>
      </c>
      <c r="JY5" s="100">
        <v>45940</v>
      </c>
      <c r="JZ5" s="100">
        <v>45941</v>
      </c>
      <c r="KA5" s="100">
        <v>45942</v>
      </c>
      <c r="KB5" s="100">
        <v>45943</v>
      </c>
      <c r="KC5" s="100">
        <v>45944</v>
      </c>
      <c r="KD5" s="100">
        <v>45945</v>
      </c>
      <c r="KE5" s="100">
        <v>45946</v>
      </c>
      <c r="KF5" s="100">
        <v>45947</v>
      </c>
      <c r="KG5" s="100">
        <v>45948</v>
      </c>
      <c r="KH5" s="100">
        <v>45949</v>
      </c>
      <c r="KI5" s="100">
        <v>45950</v>
      </c>
      <c r="KJ5" s="100">
        <v>45951</v>
      </c>
      <c r="KK5" s="100">
        <v>45952</v>
      </c>
      <c r="KL5" s="100">
        <v>45953</v>
      </c>
      <c r="KM5" s="100">
        <v>45954</v>
      </c>
      <c r="KN5" s="100">
        <v>45955</v>
      </c>
      <c r="KO5" s="100">
        <v>45956</v>
      </c>
      <c r="KP5" s="100">
        <v>45957</v>
      </c>
      <c r="KQ5" s="100">
        <v>45958</v>
      </c>
      <c r="KR5" s="100">
        <v>45959</v>
      </c>
      <c r="KS5" s="100">
        <v>45960</v>
      </c>
      <c r="KT5" s="100">
        <v>45961</v>
      </c>
      <c r="KU5" s="100">
        <v>45962</v>
      </c>
      <c r="KV5" s="100">
        <v>45963</v>
      </c>
      <c r="KW5" s="100">
        <v>45964</v>
      </c>
      <c r="KX5" s="100">
        <v>45965</v>
      </c>
      <c r="KY5" s="100">
        <v>45966</v>
      </c>
      <c r="KZ5" s="100">
        <v>45967</v>
      </c>
      <c r="LA5" s="100">
        <v>45968</v>
      </c>
      <c r="LB5" s="100">
        <v>45969</v>
      </c>
      <c r="LC5" s="100">
        <v>45970</v>
      </c>
      <c r="LD5" s="100">
        <v>45971</v>
      </c>
      <c r="LE5" s="100">
        <v>45972</v>
      </c>
      <c r="LF5" s="100">
        <v>45973</v>
      </c>
      <c r="LG5" s="100">
        <v>45974</v>
      </c>
      <c r="LH5" s="100">
        <v>45975</v>
      </c>
      <c r="LI5" s="100">
        <v>45976</v>
      </c>
      <c r="LJ5" s="100">
        <v>45977</v>
      </c>
      <c r="LK5" s="100">
        <v>45978</v>
      </c>
      <c r="LL5" s="100">
        <v>45979</v>
      </c>
      <c r="LM5" s="100">
        <v>45980</v>
      </c>
      <c r="LN5" s="100">
        <v>45981</v>
      </c>
      <c r="LO5" s="100">
        <v>45982</v>
      </c>
      <c r="LP5" s="100">
        <v>45983</v>
      </c>
      <c r="LQ5" s="100">
        <v>45984</v>
      </c>
      <c r="LR5" s="100">
        <v>45985</v>
      </c>
      <c r="LS5" s="100">
        <v>45986</v>
      </c>
      <c r="LT5" s="100">
        <v>45987</v>
      </c>
      <c r="LU5" s="100">
        <v>45988</v>
      </c>
      <c r="LV5" s="100">
        <v>45989</v>
      </c>
      <c r="LW5" s="100">
        <v>45990</v>
      </c>
      <c r="LX5" s="100">
        <v>45991</v>
      </c>
      <c r="LY5" s="100">
        <v>45992</v>
      </c>
      <c r="LZ5" s="100">
        <v>45993</v>
      </c>
      <c r="MA5" s="100">
        <v>45994</v>
      </c>
      <c r="MB5" s="100">
        <v>45995</v>
      </c>
      <c r="MC5" s="100">
        <v>45996</v>
      </c>
      <c r="MD5" s="100">
        <v>45997</v>
      </c>
      <c r="ME5" s="100">
        <v>45998</v>
      </c>
      <c r="MF5" s="100">
        <v>45999</v>
      </c>
      <c r="MG5" s="100">
        <v>46000</v>
      </c>
      <c r="MH5" s="100">
        <v>46001</v>
      </c>
      <c r="MI5" s="100">
        <v>46002</v>
      </c>
      <c r="MJ5" s="100">
        <v>46003</v>
      </c>
      <c r="MK5" s="100">
        <v>46004</v>
      </c>
      <c r="ML5" s="100">
        <v>46005</v>
      </c>
      <c r="MM5" s="100">
        <v>46006</v>
      </c>
      <c r="MN5" s="100">
        <v>46007</v>
      </c>
      <c r="MO5" s="100">
        <v>46008</v>
      </c>
      <c r="MP5" s="100">
        <v>46009</v>
      </c>
      <c r="MQ5" s="100">
        <v>46010</v>
      </c>
      <c r="MR5" s="100">
        <v>46011</v>
      </c>
      <c r="MS5" s="100">
        <v>46012</v>
      </c>
      <c r="MT5" s="100">
        <v>46013</v>
      </c>
      <c r="MU5" s="100">
        <v>46014</v>
      </c>
      <c r="MV5" s="100">
        <v>46015</v>
      </c>
      <c r="MW5" s="100">
        <v>46016</v>
      </c>
      <c r="MX5" s="100">
        <v>46017</v>
      </c>
      <c r="MY5" s="100">
        <v>46018</v>
      </c>
      <c r="MZ5" s="100">
        <v>46019</v>
      </c>
      <c r="NA5" s="100">
        <v>46020</v>
      </c>
      <c r="NB5" s="100">
        <v>46021</v>
      </c>
      <c r="NC5" s="100">
        <v>46022</v>
      </c>
      <c r="ND5" s="100">
        <v>46023</v>
      </c>
      <c r="NE5" s="100">
        <v>46024</v>
      </c>
      <c r="NF5" s="100">
        <v>46025</v>
      </c>
      <c r="NG5" s="100">
        <v>46026</v>
      </c>
      <c r="NH5" s="100">
        <v>46027</v>
      </c>
      <c r="NI5" s="100">
        <v>46028</v>
      </c>
      <c r="NJ5" s="100">
        <v>46029</v>
      </c>
      <c r="NK5" s="100">
        <v>46030</v>
      </c>
      <c r="NL5" s="100">
        <v>46031</v>
      </c>
      <c r="NM5" s="100">
        <v>46032</v>
      </c>
      <c r="NN5" s="100">
        <v>46033</v>
      </c>
      <c r="NO5" s="100">
        <v>46034</v>
      </c>
      <c r="NP5" s="100">
        <v>46035</v>
      </c>
      <c r="NQ5" s="100">
        <v>46036</v>
      </c>
      <c r="NR5" s="100">
        <v>46037</v>
      </c>
      <c r="NS5" s="100">
        <v>46038</v>
      </c>
      <c r="NT5" s="100">
        <v>46039</v>
      </c>
      <c r="NU5" s="100">
        <v>46040</v>
      </c>
      <c r="NV5" s="100">
        <v>46041</v>
      </c>
      <c r="NW5" s="100">
        <v>46042</v>
      </c>
      <c r="NX5" s="100">
        <v>46043</v>
      </c>
      <c r="NY5" s="100">
        <v>46044</v>
      </c>
      <c r="NZ5" s="100">
        <v>46045</v>
      </c>
      <c r="OA5" s="100">
        <v>46046</v>
      </c>
      <c r="OB5" s="100">
        <v>46047</v>
      </c>
      <c r="OC5" s="100">
        <v>46048</v>
      </c>
      <c r="OD5" s="100">
        <v>46049</v>
      </c>
      <c r="OE5" s="100">
        <v>46050</v>
      </c>
      <c r="OF5" s="100">
        <v>46051</v>
      </c>
      <c r="OG5" s="100">
        <v>46052</v>
      </c>
      <c r="OH5" s="100">
        <v>46053</v>
      </c>
      <c r="OI5" s="100">
        <v>46054</v>
      </c>
      <c r="OJ5" s="100">
        <v>46055</v>
      </c>
      <c r="OK5" s="100">
        <v>46056</v>
      </c>
      <c r="OL5" s="100">
        <v>46057</v>
      </c>
      <c r="OM5" s="100">
        <v>46058</v>
      </c>
      <c r="ON5" s="100">
        <v>46059</v>
      </c>
      <c r="OO5" s="100">
        <v>46060</v>
      </c>
      <c r="OP5" s="100">
        <v>46061</v>
      </c>
      <c r="OQ5" s="100">
        <v>46062</v>
      </c>
      <c r="OR5" s="100">
        <v>46063</v>
      </c>
      <c r="OS5" s="100">
        <v>46064</v>
      </c>
      <c r="OT5" s="100">
        <v>46065</v>
      </c>
      <c r="OU5" s="100">
        <v>46066</v>
      </c>
      <c r="OV5" s="100">
        <v>46067</v>
      </c>
      <c r="OW5" s="100">
        <v>46068</v>
      </c>
      <c r="OX5" s="100">
        <v>46069</v>
      </c>
      <c r="OY5" s="100">
        <v>46070</v>
      </c>
      <c r="OZ5" s="100">
        <v>46071</v>
      </c>
      <c r="PA5" s="100">
        <v>46072</v>
      </c>
      <c r="PB5" s="100">
        <v>46073</v>
      </c>
      <c r="PC5" s="100">
        <v>46074</v>
      </c>
      <c r="PD5" s="100">
        <v>46075</v>
      </c>
      <c r="PE5" s="100">
        <v>46076</v>
      </c>
      <c r="PF5" s="100">
        <v>46077</v>
      </c>
      <c r="PG5" s="100">
        <v>46078</v>
      </c>
      <c r="PH5" s="100">
        <v>46079</v>
      </c>
      <c r="PI5" s="100">
        <v>46080</v>
      </c>
      <c r="PJ5" s="100">
        <v>46081</v>
      </c>
      <c r="PK5" s="100">
        <v>46082</v>
      </c>
      <c r="PL5" s="100">
        <v>46083</v>
      </c>
      <c r="PM5" s="100">
        <v>46084</v>
      </c>
      <c r="PN5" s="100">
        <v>46085</v>
      </c>
      <c r="PO5" s="100">
        <v>46086</v>
      </c>
      <c r="PP5" s="100">
        <v>46087</v>
      </c>
      <c r="PQ5" s="100">
        <v>46088</v>
      </c>
      <c r="PR5" s="100">
        <v>46089</v>
      </c>
      <c r="PS5" s="100">
        <v>46090</v>
      </c>
      <c r="PT5" s="100">
        <v>46091</v>
      </c>
      <c r="PU5" s="100">
        <v>46092</v>
      </c>
      <c r="PV5" s="100">
        <v>46093</v>
      </c>
      <c r="PW5" s="100">
        <v>46094</v>
      </c>
      <c r="PX5" s="100">
        <v>46095</v>
      </c>
      <c r="PY5" s="100">
        <v>46096</v>
      </c>
      <c r="PZ5" s="100">
        <v>46097</v>
      </c>
      <c r="QA5" s="100">
        <v>46098</v>
      </c>
      <c r="QB5" s="100">
        <v>46099</v>
      </c>
      <c r="QC5" s="100">
        <v>46100</v>
      </c>
      <c r="QD5" s="100">
        <v>46101</v>
      </c>
      <c r="QE5" s="100">
        <v>46102</v>
      </c>
      <c r="QF5" s="100">
        <v>46103</v>
      </c>
      <c r="QG5" s="100">
        <v>46104</v>
      </c>
      <c r="QH5" s="100">
        <v>46105</v>
      </c>
      <c r="QI5" s="100">
        <v>46106</v>
      </c>
      <c r="QJ5" s="100">
        <v>46107</v>
      </c>
      <c r="QK5" s="100">
        <v>46108</v>
      </c>
      <c r="QL5" s="100">
        <v>46109</v>
      </c>
      <c r="QM5" s="100">
        <v>46110</v>
      </c>
      <c r="QN5" s="100">
        <v>46111</v>
      </c>
      <c r="QO5" s="100">
        <v>46112</v>
      </c>
      <c r="QP5" s="100">
        <v>46113</v>
      </c>
      <c r="QQ5" s="100">
        <v>46114</v>
      </c>
      <c r="QR5" s="100">
        <v>46115</v>
      </c>
      <c r="QS5" s="100">
        <v>46116</v>
      </c>
      <c r="QT5" s="100">
        <v>46117</v>
      </c>
      <c r="QU5" s="100">
        <v>46118</v>
      </c>
      <c r="QV5" s="100">
        <v>46119</v>
      </c>
      <c r="QW5" s="100">
        <v>46120</v>
      </c>
      <c r="QX5" s="100">
        <v>46121</v>
      </c>
      <c r="QY5" s="100">
        <v>46122</v>
      </c>
      <c r="QZ5" s="100">
        <v>46123</v>
      </c>
      <c r="RA5" s="100">
        <v>46124</v>
      </c>
      <c r="RB5" s="100">
        <v>46125</v>
      </c>
      <c r="RC5" s="100">
        <v>46126</v>
      </c>
      <c r="RD5" s="100">
        <v>46127</v>
      </c>
      <c r="RE5" s="100">
        <v>46128</v>
      </c>
      <c r="RF5" s="100">
        <v>46129</v>
      </c>
      <c r="RG5" s="100">
        <v>46130</v>
      </c>
      <c r="RH5" s="100">
        <v>46131</v>
      </c>
      <c r="RI5" s="100">
        <v>46132</v>
      </c>
      <c r="RJ5" s="100">
        <v>46133</v>
      </c>
      <c r="RK5" s="100">
        <v>46134</v>
      </c>
      <c r="RL5" s="100">
        <v>46135</v>
      </c>
      <c r="RM5" s="100">
        <v>46136</v>
      </c>
      <c r="RN5" s="100">
        <v>46137</v>
      </c>
      <c r="RO5" s="100">
        <v>46138</v>
      </c>
      <c r="RP5" s="100">
        <v>46139</v>
      </c>
      <c r="RQ5" s="100">
        <v>46140</v>
      </c>
      <c r="RR5" s="100">
        <v>46141</v>
      </c>
      <c r="RS5" s="100">
        <v>46142</v>
      </c>
      <c r="RT5" s="100">
        <v>46143</v>
      </c>
      <c r="RU5" s="100">
        <v>46144</v>
      </c>
      <c r="RV5" s="100">
        <v>46145</v>
      </c>
      <c r="RW5" s="100">
        <v>46146</v>
      </c>
      <c r="RX5" s="100">
        <v>46147</v>
      </c>
      <c r="RY5" s="100">
        <v>46148</v>
      </c>
      <c r="RZ5" s="100">
        <v>46149</v>
      </c>
      <c r="SA5" s="100">
        <v>46150</v>
      </c>
      <c r="SB5" s="100">
        <v>46151</v>
      </c>
      <c r="SC5" s="100">
        <v>46152</v>
      </c>
      <c r="SD5" s="100">
        <v>46153</v>
      </c>
      <c r="SE5" s="100">
        <v>46154</v>
      </c>
      <c r="SF5" s="100">
        <v>46155</v>
      </c>
      <c r="SG5" s="100">
        <v>46156</v>
      </c>
      <c r="SH5" s="100">
        <v>46157</v>
      </c>
      <c r="SI5" s="100">
        <v>46158</v>
      </c>
      <c r="SJ5" s="100">
        <v>46159</v>
      </c>
      <c r="SK5" s="100">
        <v>46160</v>
      </c>
      <c r="SL5" s="100">
        <v>46161</v>
      </c>
      <c r="SM5" s="100">
        <v>46162</v>
      </c>
      <c r="SN5" s="100">
        <v>46163</v>
      </c>
      <c r="SO5" s="100">
        <v>46164</v>
      </c>
      <c r="SP5" s="100">
        <v>46165</v>
      </c>
      <c r="SQ5" s="100">
        <v>46166</v>
      </c>
      <c r="SR5" s="100">
        <v>46167</v>
      </c>
      <c r="SS5" s="100">
        <v>46168</v>
      </c>
      <c r="ST5" s="100">
        <v>46169</v>
      </c>
      <c r="SU5" s="100">
        <v>46170</v>
      </c>
      <c r="SV5" s="100">
        <v>46171</v>
      </c>
      <c r="SW5" s="100">
        <v>46172</v>
      </c>
      <c r="SX5" s="100">
        <v>46173</v>
      </c>
      <c r="SY5" s="100">
        <v>46174</v>
      </c>
      <c r="SZ5" s="100">
        <v>46175</v>
      </c>
      <c r="TA5" s="100">
        <v>46176</v>
      </c>
      <c r="TB5" s="100">
        <v>46177</v>
      </c>
      <c r="TC5" s="100">
        <v>46178</v>
      </c>
      <c r="TD5" s="100">
        <v>46179</v>
      </c>
      <c r="TE5" s="100">
        <v>46180</v>
      </c>
      <c r="TF5" s="100">
        <v>46181</v>
      </c>
      <c r="TG5" s="100">
        <v>46182</v>
      </c>
      <c r="TH5" s="100">
        <v>46183</v>
      </c>
      <c r="TI5" s="100">
        <v>46184</v>
      </c>
      <c r="TJ5" s="100">
        <v>46185</v>
      </c>
      <c r="TK5" s="100">
        <v>46186</v>
      </c>
      <c r="TL5" s="100">
        <v>46187</v>
      </c>
      <c r="TM5" s="100">
        <v>46188</v>
      </c>
      <c r="TN5" s="100">
        <v>46189</v>
      </c>
      <c r="TO5" s="100">
        <v>46190</v>
      </c>
      <c r="TP5" s="100">
        <v>46191</v>
      </c>
      <c r="TQ5" s="100">
        <v>46192</v>
      </c>
      <c r="TR5" s="100">
        <v>46193</v>
      </c>
      <c r="TS5" s="100">
        <v>46194</v>
      </c>
      <c r="TT5" s="100">
        <v>46195</v>
      </c>
      <c r="TU5" s="100">
        <v>46196</v>
      </c>
      <c r="TV5" s="100">
        <v>46197</v>
      </c>
      <c r="TW5" s="100">
        <v>46198</v>
      </c>
      <c r="TX5" s="100">
        <v>46199</v>
      </c>
      <c r="TY5" s="100">
        <v>46200</v>
      </c>
      <c r="TZ5" s="100">
        <v>46201</v>
      </c>
      <c r="UA5" s="100">
        <v>46202</v>
      </c>
      <c r="UB5" s="100">
        <v>46203</v>
      </c>
      <c r="UC5" s="100">
        <v>46204</v>
      </c>
      <c r="UD5" s="100">
        <v>46205</v>
      </c>
      <c r="UE5" s="100">
        <v>46206</v>
      </c>
      <c r="UF5" s="100">
        <v>46207</v>
      </c>
      <c r="UG5" s="100">
        <v>46208</v>
      </c>
      <c r="UH5" s="100">
        <v>46209</v>
      </c>
      <c r="UI5" s="100">
        <v>46210</v>
      </c>
      <c r="UJ5" s="100">
        <v>46211</v>
      </c>
      <c r="UK5" s="100">
        <v>46212</v>
      </c>
      <c r="UL5" s="100">
        <v>46213</v>
      </c>
      <c r="UM5" s="100">
        <v>46214</v>
      </c>
      <c r="UN5" s="100">
        <v>46215</v>
      </c>
      <c r="UO5" s="100">
        <v>46216</v>
      </c>
      <c r="UP5" s="100">
        <v>46217</v>
      </c>
      <c r="UQ5" s="100">
        <v>46218</v>
      </c>
      <c r="UR5" s="100">
        <v>46219</v>
      </c>
      <c r="US5" s="100">
        <v>46220</v>
      </c>
      <c r="UT5" s="100">
        <v>46221</v>
      </c>
      <c r="UU5" s="100">
        <v>46222</v>
      </c>
      <c r="UV5" s="100">
        <v>46223</v>
      </c>
      <c r="UW5" s="100">
        <v>46224</v>
      </c>
      <c r="UX5" s="100">
        <v>46225</v>
      </c>
      <c r="UY5" s="100">
        <v>46226</v>
      </c>
      <c r="UZ5" s="100">
        <v>46227</v>
      </c>
      <c r="VA5" s="100">
        <v>46228</v>
      </c>
      <c r="VB5" s="100">
        <v>46229</v>
      </c>
      <c r="VC5" s="100">
        <v>46230</v>
      </c>
      <c r="VD5" s="100">
        <v>46231</v>
      </c>
      <c r="VE5" s="100">
        <v>46232</v>
      </c>
      <c r="VF5" s="100">
        <v>46232</v>
      </c>
      <c r="VG5" s="119">
        <v>46233</v>
      </c>
      <c r="VH5" s="119">
        <v>46234</v>
      </c>
      <c r="VI5" s="119">
        <v>46235</v>
      </c>
      <c r="VJ5" s="119">
        <v>46236</v>
      </c>
      <c r="VK5" s="119">
        <v>46237</v>
      </c>
      <c r="VL5" s="119">
        <v>46238</v>
      </c>
      <c r="VM5" s="119">
        <v>46239</v>
      </c>
      <c r="VN5" s="119">
        <v>46240</v>
      </c>
      <c r="VO5" s="119">
        <v>46241</v>
      </c>
      <c r="VP5" s="119">
        <v>46242</v>
      </c>
      <c r="VQ5" s="119">
        <v>46243</v>
      </c>
      <c r="VR5" s="119">
        <v>46244</v>
      </c>
      <c r="VS5" s="119">
        <v>46245</v>
      </c>
      <c r="VT5" s="119">
        <v>46246</v>
      </c>
      <c r="VU5" s="119">
        <v>46247</v>
      </c>
      <c r="VV5" s="119">
        <v>46248</v>
      </c>
      <c r="VW5" s="119">
        <v>46249</v>
      </c>
      <c r="VX5" s="119">
        <v>46250</v>
      </c>
      <c r="VY5" s="119">
        <v>46251</v>
      </c>
      <c r="VZ5" s="119">
        <v>46252</v>
      </c>
      <c r="WA5" s="119">
        <v>46253</v>
      </c>
      <c r="WB5" s="119">
        <v>46254</v>
      </c>
      <c r="WC5" s="119">
        <v>46255</v>
      </c>
      <c r="WD5" s="119">
        <v>46256</v>
      </c>
      <c r="WE5" s="119">
        <v>46257</v>
      </c>
      <c r="WF5" s="119">
        <v>46258</v>
      </c>
      <c r="WG5" s="119">
        <v>46259</v>
      </c>
      <c r="WH5" s="119">
        <v>46260</v>
      </c>
      <c r="WI5" s="119">
        <v>46261</v>
      </c>
      <c r="WJ5" s="119">
        <v>46262</v>
      </c>
      <c r="WK5" s="119">
        <v>46263</v>
      </c>
      <c r="WL5" s="119">
        <v>46264</v>
      </c>
      <c r="WM5" s="119">
        <v>46265</v>
      </c>
      <c r="WN5" s="119">
        <v>46266</v>
      </c>
      <c r="WO5" s="119">
        <v>46267</v>
      </c>
      <c r="WP5" s="119">
        <v>46268</v>
      </c>
      <c r="WQ5" s="119">
        <v>46269</v>
      </c>
      <c r="WR5" s="119">
        <v>46270</v>
      </c>
      <c r="WS5" s="119">
        <v>46271</v>
      </c>
      <c r="WT5" s="119">
        <v>46272</v>
      </c>
      <c r="WU5" s="119">
        <v>46273</v>
      </c>
      <c r="WV5" s="119">
        <v>46274</v>
      </c>
      <c r="WW5" s="119">
        <v>46275</v>
      </c>
      <c r="WX5" s="119">
        <v>46276</v>
      </c>
      <c r="WY5" s="119">
        <v>46277</v>
      </c>
      <c r="WZ5" s="119">
        <v>46278</v>
      </c>
      <c r="XA5" s="119">
        <v>46279</v>
      </c>
      <c r="XB5" s="119">
        <v>46280</v>
      </c>
      <c r="XC5" s="119">
        <v>46281</v>
      </c>
      <c r="XD5" s="119">
        <v>46282</v>
      </c>
      <c r="XE5" s="119">
        <v>46283</v>
      </c>
      <c r="XF5" s="119">
        <v>46284</v>
      </c>
      <c r="XG5" s="119">
        <v>46285</v>
      </c>
      <c r="XH5" s="119">
        <v>46286</v>
      </c>
      <c r="XI5" s="119">
        <v>46287</v>
      </c>
      <c r="XJ5" s="119">
        <v>46288</v>
      </c>
      <c r="XK5" s="119">
        <v>46289</v>
      </c>
      <c r="XL5" s="119">
        <v>46290</v>
      </c>
      <c r="XM5" s="119">
        <v>46291</v>
      </c>
      <c r="XN5" s="119">
        <v>46292</v>
      </c>
      <c r="XO5" s="119">
        <v>46293</v>
      </c>
      <c r="XP5" s="119">
        <v>46294</v>
      </c>
      <c r="XQ5" s="119">
        <v>46295</v>
      </c>
      <c r="XR5" s="119">
        <v>46296</v>
      </c>
      <c r="XS5" s="119">
        <v>46297</v>
      </c>
      <c r="XT5" s="119">
        <v>46298</v>
      </c>
      <c r="XU5" s="119">
        <v>46299</v>
      </c>
      <c r="XV5" s="119">
        <v>46300</v>
      </c>
      <c r="XW5" s="119">
        <v>46301</v>
      </c>
      <c r="XX5" s="119">
        <v>46302</v>
      </c>
      <c r="XY5" s="119">
        <v>46303</v>
      </c>
      <c r="XZ5" s="119">
        <v>46304</v>
      </c>
      <c r="YA5" s="119">
        <v>46305</v>
      </c>
      <c r="YB5" s="119">
        <v>46306</v>
      </c>
      <c r="YC5" s="119">
        <v>46307</v>
      </c>
      <c r="YD5" s="119">
        <v>46308</v>
      </c>
      <c r="YE5" s="119">
        <v>46309</v>
      </c>
      <c r="YF5" s="119">
        <v>46310</v>
      </c>
      <c r="YG5" s="200">
        <v>46311</v>
      </c>
      <c r="YH5" s="200">
        <v>46312</v>
      </c>
      <c r="YI5" s="200">
        <v>46313</v>
      </c>
      <c r="YJ5" s="200">
        <v>46314</v>
      </c>
      <c r="YK5" s="200">
        <v>46315</v>
      </c>
      <c r="YL5" s="200">
        <v>46316</v>
      </c>
      <c r="YM5" s="200">
        <v>46317</v>
      </c>
    </row>
    <row r="6" spans="1:663" ht="15.75" customHeight="1" x14ac:dyDescent="0.2">
      <c r="A6" s="26"/>
      <c r="B6" s="27" t="s">
        <v>58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135"/>
      <c r="VH6" s="135"/>
      <c r="VI6" s="135"/>
      <c r="VJ6" s="135"/>
      <c r="VK6" s="135"/>
      <c r="VL6" s="135"/>
      <c r="VM6" s="135"/>
      <c r="VN6" s="135"/>
      <c r="VO6" s="135"/>
      <c r="VP6" s="135"/>
      <c r="VQ6" s="135"/>
      <c r="VR6" s="135"/>
      <c r="VS6" s="135"/>
      <c r="VT6" s="135"/>
      <c r="VU6" s="135"/>
      <c r="VV6" s="135"/>
      <c r="VW6" s="135"/>
      <c r="VX6" s="135"/>
      <c r="VY6" s="135"/>
      <c r="VZ6" s="135"/>
      <c r="WA6" s="135"/>
      <c r="WB6" s="135"/>
      <c r="WC6" s="135"/>
      <c r="WD6" s="135"/>
      <c r="WE6" s="135"/>
      <c r="WF6" s="135"/>
      <c r="WG6" s="135"/>
      <c r="WH6" s="135"/>
      <c r="WI6" s="135"/>
      <c r="WJ6" s="135"/>
      <c r="WK6" s="135"/>
      <c r="WL6" s="135"/>
      <c r="WM6" s="135"/>
      <c r="WN6" s="135"/>
      <c r="WO6" s="135"/>
      <c r="WP6" s="135"/>
      <c r="WQ6" s="135"/>
      <c r="WR6" s="135"/>
      <c r="WS6" s="135"/>
      <c r="WT6" s="135"/>
      <c r="WU6" s="135"/>
      <c r="WV6" s="135"/>
      <c r="WW6" s="135"/>
      <c r="WX6" s="135"/>
      <c r="WY6" s="135"/>
      <c r="WZ6" s="135"/>
      <c r="XA6" s="135"/>
      <c r="XB6" s="135"/>
      <c r="XC6" s="135"/>
      <c r="XD6" s="135"/>
      <c r="XE6" s="135"/>
      <c r="XF6" s="135"/>
      <c r="XG6" s="135"/>
      <c r="XH6" s="135"/>
      <c r="XI6" s="135"/>
      <c r="XJ6" s="135"/>
      <c r="XK6" s="135"/>
      <c r="XL6" s="135"/>
      <c r="XM6" s="135"/>
      <c r="XN6" s="135"/>
      <c r="XO6" s="135"/>
      <c r="XP6" s="135"/>
      <c r="XQ6" s="135"/>
      <c r="XR6" s="135"/>
      <c r="XS6" s="135"/>
      <c r="XT6" s="135"/>
      <c r="XU6" s="135"/>
      <c r="XV6" s="135"/>
      <c r="XW6" s="135"/>
      <c r="XX6" s="135"/>
      <c r="XY6" s="135"/>
      <c r="XZ6" s="135"/>
      <c r="YA6" s="135"/>
      <c r="YB6" s="135"/>
      <c r="YC6" s="136"/>
      <c r="YD6" s="136"/>
      <c r="YE6" s="136"/>
      <c r="YF6" s="136"/>
      <c r="YG6" s="201"/>
      <c r="YH6" s="201"/>
      <c r="YI6" s="201"/>
      <c r="YJ6" s="201"/>
      <c r="YK6" s="201"/>
      <c r="YL6" s="201"/>
      <c r="YM6" s="201"/>
    </row>
    <row r="7" spans="1:663" ht="15.75" customHeight="1" x14ac:dyDescent="0.2">
      <c r="B7" s="63" t="s">
        <v>138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V7" s="30"/>
      <c r="MW7" s="30"/>
      <c r="MX7" s="30"/>
      <c r="MY7" s="30"/>
      <c r="MZ7" s="30"/>
      <c r="NA7" s="30"/>
      <c r="NB7" s="30"/>
      <c r="NC7" s="30"/>
      <c r="ND7" s="30"/>
      <c r="NE7" s="30"/>
      <c r="NF7" s="30"/>
      <c r="NG7" s="30"/>
      <c r="NH7" s="30"/>
      <c r="NI7" s="30"/>
      <c r="NJ7" s="30"/>
      <c r="NK7" s="30"/>
      <c r="NL7" s="30"/>
      <c r="NM7" s="30"/>
      <c r="NN7" s="30"/>
      <c r="NO7" s="30"/>
      <c r="NP7" s="30"/>
      <c r="NQ7" s="30"/>
      <c r="NR7" s="30"/>
      <c r="NS7" s="30"/>
      <c r="NT7" s="30"/>
      <c r="NU7" s="30"/>
      <c r="NV7" s="30"/>
      <c r="NW7" s="30"/>
      <c r="NX7" s="30"/>
      <c r="NY7" s="30"/>
      <c r="NZ7" s="30"/>
      <c r="OA7" s="30"/>
      <c r="OB7" s="30"/>
      <c r="OC7" s="30"/>
      <c r="OD7" s="30"/>
      <c r="OE7" s="30"/>
      <c r="OF7" s="30"/>
      <c r="OG7" s="30"/>
      <c r="OH7" s="30"/>
      <c r="OI7" s="30"/>
      <c r="OJ7" s="30"/>
      <c r="OK7" s="30"/>
      <c r="OL7" s="30"/>
      <c r="OM7" s="30"/>
      <c r="ON7" s="30"/>
      <c r="OO7" s="30"/>
      <c r="OP7" s="30"/>
      <c r="OQ7" s="30"/>
      <c r="OR7" s="30"/>
      <c r="OS7" s="30"/>
      <c r="OT7" s="30"/>
      <c r="OU7" s="30"/>
      <c r="OV7" s="30"/>
      <c r="OW7" s="30"/>
      <c r="OX7" s="30"/>
      <c r="OY7" s="30"/>
      <c r="OZ7" s="30"/>
      <c r="PA7" s="30"/>
      <c r="PB7" s="30"/>
      <c r="PC7" s="30"/>
      <c r="PD7" s="30"/>
      <c r="PE7" s="30"/>
      <c r="PF7" s="30"/>
      <c r="PG7" s="30"/>
      <c r="PH7" s="30"/>
      <c r="PI7" s="30"/>
      <c r="PJ7" s="30"/>
      <c r="PK7" s="30"/>
      <c r="PL7" s="30"/>
      <c r="PM7" s="30"/>
      <c r="PN7" s="30"/>
      <c r="PO7" s="30"/>
      <c r="PP7" s="30"/>
      <c r="PQ7" s="30"/>
      <c r="PR7" s="30"/>
      <c r="PS7" s="30"/>
      <c r="PT7" s="30"/>
      <c r="PU7" s="30"/>
      <c r="PV7" s="30"/>
      <c r="PW7" s="30"/>
      <c r="PX7" s="30"/>
      <c r="PY7" s="30"/>
      <c r="PZ7" s="30"/>
      <c r="QA7" s="30"/>
      <c r="QB7" s="30"/>
      <c r="QC7" s="30"/>
      <c r="QD7" s="30"/>
      <c r="QE7" s="30"/>
      <c r="QF7" s="30"/>
      <c r="QG7" s="30"/>
      <c r="QH7" s="30"/>
      <c r="QI7" s="30"/>
      <c r="QJ7" s="30"/>
      <c r="QK7" s="30"/>
      <c r="QL7" s="30"/>
      <c r="QM7" s="30"/>
      <c r="QN7" s="30"/>
      <c r="QO7" s="30"/>
      <c r="QP7" s="30"/>
      <c r="QQ7" s="30"/>
      <c r="QR7" s="30"/>
      <c r="QS7" s="30"/>
      <c r="QT7" s="30"/>
      <c r="QU7" s="30"/>
      <c r="QV7" s="30"/>
      <c r="QW7" s="30"/>
      <c r="QX7" s="30"/>
      <c r="QY7" s="30"/>
      <c r="QZ7" s="30"/>
      <c r="RA7" s="30"/>
      <c r="RB7" s="30"/>
      <c r="RC7" s="30"/>
      <c r="RD7" s="30"/>
      <c r="RE7" s="30"/>
      <c r="RF7" s="30"/>
      <c r="RG7" s="30"/>
      <c r="RH7" s="30"/>
      <c r="RI7" s="30"/>
      <c r="RJ7" s="30"/>
      <c r="RK7" s="30"/>
      <c r="RL7" s="30"/>
      <c r="RM7" s="30"/>
      <c r="RN7" s="30"/>
      <c r="RO7" s="30"/>
      <c r="RP7" s="30"/>
      <c r="RQ7" s="30"/>
      <c r="RR7" s="30"/>
      <c r="RS7" s="30"/>
      <c r="RT7" s="30"/>
      <c r="RU7" s="30"/>
      <c r="RV7" s="30"/>
      <c r="RW7" s="30"/>
      <c r="RX7" s="30"/>
      <c r="RY7" s="30"/>
      <c r="RZ7" s="30"/>
      <c r="SA7" s="30"/>
      <c r="SB7" s="30"/>
      <c r="SC7" s="30"/>
      <c r="SD7" s="30"/>
      <c r="SE7" s="30"/>
      <c r="SF7" s="30"/>
      <c r="SG7" s="30"/>
      <c r="SH7" s="30"/>
      <c r="SI7" s="30"/>
      <c r="SJ7" s="30"/>
      <c r="SK7" s="30"/>
      <c r="SL7" s="30"/>
      <c r="SM7" s="30"/>
      <c r="SN7" s="30"/>
      <c r="SO7" s="30"/>
      <c r="SP7" s="30"/>
      <c r="SQ7" s="30"/>
      <c r="SR7" s="30"/>
      <c r="SS7" s="30"/>
      <c r="ST7" s="30"/>
      <c r="SU7" s="30"/>
      <c r="SV7" s="30"/>
      <c r="SW7" s="30"/>
      <c r="SX7" s="30"/>
      <c r="SY7" s="30"/>
      <c r="SZ7" s="30"/>
      <c r="TA7" s="30"/>
      <c r="TB7" s="30"/>
      <c r="TC7" s="30"/>
      <c r="TD7" s="30"/>
      <c r="TE7" s="30"/>
      <c r="TF7" s="30"/>
      <c r="TG7" s="30"/>
      <c r="TH7" s="30"/>
      <c r="TI7" s="30"/>
      <c r="TJ7" s="30"/>
      <c r="TK7" s="30"/>
      <c r="TL7" s="30"/>
      <c r="TM7" s="30"/>
      <c r="TN7" s="30"/>
      <c r="TO7" s="30"/>
      <c r="TP7" s="30"/>
      <c r="TQ7" s="30"/>
      <c r="TR7" s="30"/>
      <c r="TS7" s="30"/>
      <c r="TT7" s="30"/>
      <c r="TU7" s="30"/>
      <c r="TV7" s="30"/>
      <c r="TW7" s="30"/>
      <c r="TX7" s="30"/>
      <c r="TY7" s="30"/>
      <c r="TZ7" s="30"/>
      <c r="UA7" s="30"/>
      <c r="UB7" s="30"/>
      <c r="UC7" s="30"/>
      <c r="UD7" s="30"/>
      <c r="UE7" s="30"/>
      <c r="UF7" s="30"/>
      <c r="UG7" s="30"/>
      <c r="UH7" s="30"/>
      <c r="UI7" s="30"/>
      <c r="UJ7" s="30"/>
      <c r="UK7" s="30"/>
      <c r="UL7" s="30"/>
      <c r="UM7" s="30"/>
      <c r="UN7" s="30"/>
      <c r="UO7" s="30"/>
      <c r="UP7" s="30"/>
      <c r="UQ7" s="30"/>
      <c r="UR7" s="30"/>
      <c r="US7" s="30"/>
      <c r="UT7" s="30"/>
      <c r="UU7" s="30"/>
      <c r="UV7" s="30"/>
      <c r="UW7" s="30"/>
      <c r="UX7" s="30"/>
      <c r="UY7" s="30"/>
      <c r="UZ7" s="30"/>
      <c r="VA7" s="30"/>
      <c r="VB7" s="30"/>
      <c r="VC7" s="64">
        <f>VC8-UC8</f>
        <v>643</v>
      </c>
      <c r="VD7" s="30" t="s">
        <v>95</v>
      </c>
      <c r="VE7" s="30" t="s">
        <v>95</v>
      </c>
      <c r="VF7" s="30" t="s">
        <v>95</v>
      </c>
      <c r="VG7" s="149"/>
      <c r="VH7" s="149"/>
      <c r="VI7" s="149"/>
      <c r="VJ7" s="149"/>
      <c r="VK7" s="149"/>
      <c r="VL7" s="149"/>
      <c r="VM7" s="149"/>
      <c r="VN7" s="149"/>
      <c r="VO7" s="149"/>
      <c r="VP7" s="149"/>
      <c r="VQ7" s="149"/>
      <c r="VR7" s="149"/>
      <c r="VS7" s="149"/>
      <c r="VT7" s="149"/>
      <c r="VU7" s="149"/>
      <c r="VV7" s="149"/>
      <c r="VW7" s="149"/>
      <c r="VX7" s="149"/>
      <c r="VY7" s="149"/>
      <c r="VZ7" s="149"/>
      <c r="WA7" s="149"/>
      <c r="WB7" s="149"/>
      <c r="WC7" s="149"/>
      <c r="WD7" s="149"/>
      <c r="WE7" s="149"/>
      <c r="WF7" s="149"/>
      <c r="WG7" s="149"/>
      <c r="WH7" s="149"/>
      <c r="WI7" s="149"/>
      <c r="WJ7" s="149"/>
      <c r="WK7" s="149"/>
      <c r="WL7" s="149"/>
      <c r="WM7" s="149"/>
      <c r="WN7" s="149"/>
      <c r="WO7" s="149"/>
      <c r="WP7" s="149"/>
      <c r="WQ7" s="149"/>
      <c r="WR7" s="149"/>
      <c r="WS7" s="149"/>
      <c r="WT7" s="149"/>
      <c r="WU7" s="149"/>
      <c r="WV7" s="149"/>
      <c r="WW7" s="149"/>
      <c r="WX7" s="149"/>
      <c r="WY7" s="149"/>
      <c r="WZ7" s="149"/>
      <c r="XA7" s="149"/>
      <c r="XB7" s="149"/>
      <c r="XC7" s="149"/>
      <c r="XD7" s="149"/>
      <c r="XE7" s="149"/>
      <c r="XF7" s="149"/>
      <c r="XG7" s="149"/>
      <c r="XH7" s="149"/>
      <c r="XI7" s="149"/>
      <c r="XJ7" s="149"/>
      <c r="XK7" s="149"/>
      <c r="XL7" s="149"/>
      <c r="XM7" s="149"/>
      <c r="XN7" s="149"/>
      <c r="XO7" s="149"/>
      <c r="XP7" s="149"/>
      <c r="XQ7" s="149"/>
      <c r="XR7" s="149"/>
      <c r="XS7" s="149"/>
      <c r="XT7" s="149"/>
      <c r="XU7" s="149"/>
      <c r="XV7" s="149"/>
      <c r="XW7" s="149"/>
      <c r="XX7" s="149"/>
      <c r="XY7" s="149"/>
      <c r="XZ7" s="149"/>
      <c r="YA7" s="149"/>
      <c r="YB7" s="149"/>
      <c r="YC7" s="150"/>
      <c r="YD7" s="150"/>
      <c r="YE7" s="150"/>
      <c r="YF7" s="150"/>
      <c r="YG7" s="150"/>
      <c r="YH7" s="150"/>
      <c r="YI7" s="150"/>
      <c r="YJ7" s="150"/>
      <c r="YK7" s="150"/>
      <c r="YL7" s="150"/>
      <c r="YM7" s="150"/>
    </row>
    <row r="8" spans="1:663" ht="15.75" customHeight="1" x14ac:dyDescent="0.2">
      <c r="A8" s="4"/>
      <c r="B8" s="84" t="s">
        <v>16</v>
      </c>
      <c r="C8" s="152">
        <v>367</v>
      </c>
      <c r="D8" s="152">
        <v>367</v>
      </c>
      <c r="E8" s="152">
        <v>373</v>
      </c>
      <c r="F8" s="152">
        <v>376</v>
      </c>
      <c r="G8" s="152">
        <v>376</v>
      </c>
      <c r="H8" s="152">
        <v>376</v>
      </c>
      <c r="I8" s="152">
        <v>386</v>
      </c>
      <c r="J8" s="152">
        <v>396</v>
      </c>
      <c r="K8" s="152">
        <v>405</v>
      </c>
      <c r="L8" s="152">
        <v>416</v>
      </c>
      <c r="M8" s="152">
        <v>415</v>
      </c>
      <c r="N8" s="152">
        <v>415</v>
      </c>
      <c r="O8" s="152">
        <v>415</v>
      </c>
      <c r="P8" s="152">
        <v>421</v>
      </c>
      <c r="Q8" s="152">
        <v>432</v>
      </c>
      <c r="R8" s="152">
        <v>440</v>
      </c>
      <c r="S8" s="152">
        <v>448</v>
      </c>
      <c r="T8" s="152">
        <v>450</v>
      </c>
      <c r="U8" s="152">
        <v>450</v>
      </c>
      <c r="V8" s="152">
        <v>451</v>
      </c>
      <c r="W8" s="152">
        <v>462</v>
      </c>
      <c r="X8" s="152">
        <v>475</v>
      </c>
      <c r="Y8" s="152">
        <v>487</v>
      </c>
      <c r="Z8" s="152">
        <v>503</v>
      </c>
      <c r="AA8" s="152">
        <v>503</v>
      </c>
      <c r="AB8" s="152">
        <v>503</v>
      </c>
      <c r="AC8" s="152">
        <v>503</v>
      </c>
      <c r="AD8" s="152">
        <v>503</v>
      </c>
      <c r="AE8" s="152">
        <v>504</v>
      </c>
      <c r="AF8" s="152">
        <v>505</v>
      </c>
      <c r="AG8" s="152">
        <v>512</v>
      </c>
      <c r="AH8" s="152">
        <v>512</v>
      </c>
      <c r="AI8" s="152">
        <v>512</v>
      </c>
      <c r="AJ8" s="152">
        <v>512</v>
      </c>
      <c r="AK8" s="152">
        <v>523</v>
      </c>
      <c r="AL8" s="152">
        <v>533</v>
      </c>
      <c r="AM8" s="152">
        <v>536</v>
      </c>
      <c r="AN8" s="152">
        <v>542</v>
      </c>
      <c r="AO8" s="152">
        <v>544</v>
      </c>
      <c r="AP8" s="152">
        <v>544</v>
      </c>
      <c r="AQ8" s="152">
        <v>544</v>
      </c>
      <c r="AR8" s="152">
        <v>554</v>
      </c>
      <c r="AS8" s="152">
        <v>569</v>
      </c>
      <c r="AT8" s="152">
        <v>571</v>
      </c>
      <c r="AU8" s="152">
        <v>577</v>
      </c>
      <c r="AV8" s="152">
        <v>577</v>
      </c>
      <c r="AW8" s="152">
        <v>577</v>
      </c>
      <c r="AX8" s="152">
        <v>581</v>
      </c>
      <c r="AY8" s="152">
        <v>582</v>
      </c>
      <c r="AZ8" s="152">
        <v>599</v>
      </c>
      <c r="BA8" s="152">
        <v>602</v>
      </c>
      <c r="BB8" s="152">
        <v>609</v>
      </c>
      <c r="BC8" s="152">
        <v>609</v>
      </c>
      <c r="BD8" s="152">
        <v>609</v>
      </c>
      <c r="BE8" s="152">
        <v>611</v>
      </c>
      <c r="BF8" s="152">
        <v>624</v>
      </c>
      <c r="BG8" s="152">
        <v>632</v>
      </c>
      <c r="BH8" s="152">
        <v>643</v>
      </c>
      <c r="BI8" s="152">
        <v>644</v>
      </c>
      <c r="BJ8" s="152">
        <v>644</v>
      </c>
      <c r="BK8" s="152">
        <v>644</v>
      </c>
      <c r="BL8" s="152">
        <v>644</v>
      </c>
      <c r="BM8" s="152">
        <v>644</v>
      </c>
      <c r="BN8" s="152">
        <v>644</v>
      </c>
      <c r="BO8" s="152">
        <v>644</v>
      </c>
      <c r="BP8" s="152">
        <v>645</v>
      </c>
      <c r="BQ8" s="152">
        <v>645</v>
      </c>
      <c r="BR8" s="152">
        <v>655</v>
      </c>
      <c r="BS8" s="152">
        <v>655</v>
      </c>
      <c r="BT8" s="152">
        <v>661</v>
      </c>
      <c r="BU8" s="152">
        <v>661</v>
      </c>
      <c r="BV8" s="152">
        <v>663</v>
      </c>
      <c r="BW8" s="152">
        <v>669</v>
      </c>
      <c r="BX8" s="152">
        <v>669</v>
      </c>
      <c r="BY8" s="152">
        <v>669</v>
      </c>
      <c r="BZ8" s="152">
        <v>669</v>
      </c>
      <c r="CA8" s="152">
        <v>682</v>
      </c>
      <c r="CB8" s="152">
        <v>692</v>
      </c>
      <c r="CC8" s="152">
        <v>698</v>
      </c>
      <c r="CD8" s="152">
        <v>703</v>
      </c>
      <c r="CE8" s="152">
        <v>703</v>
      </c>
      <c r="CF8" s="152">
        <v>703</v>
      </c>
      <c r="CG8" s="152">
        <v>708</v>
      </c>
      <c r="CH8" s="152">
        <v>709</v>
      </c>
      <c r="CI8" s="152">
        <v>719</v>
      </c>
      <c r="CJ8" s="152">
        <v>737</v>
      </c>
      <c r="CK8" s="152">
        <v>737</v>
      </c>
      <c r="CL8" s="152">
        <v>737</v>
      </c>
      <c r="CM8" s="152">
        <v>737</v>
      </c>
      <c r="CN8" s="152">
        <v>748</v>
      </c>
      <c r="CO8" s="152">
        <v>748</v>
      </c>
      <c r="CP8" s="152">
        <v>765</v>
      </c>
      <c r="CQ8" s="152">
        <v>775</v>
      </c>
      <c r="CR8" s="152">
        <v>778</v>
      </c>
      <c r="CS8" s="152">
        <v>778</v>
      </c>
      <c r="CT8" s="152">
        <v>778</v>
      </c>
      <c r="CU8" s="152">
        <v>799</v>
      </c>
      <c r="CV8" s="152">
        <v>792</v>
      </c>
      <c r="CW8" s="152">
        <v>801</v>
      </c>
      <c r="CX8" s="152">
        <v>804</v>
      </c>
      <c r="CY8" s="152">
        <v>804</v>
      </c>
      <c r="CZ8" s="152">
        <v>804</v>
      </c>
      <c r="DA8" s="152">
        <v>804</v>
      </c>
      <c r="DB8" s="152">
        <v>808</v>
      </c>
      <c r="DC8" s="152">
        <v>809</v>
      </c>
      <c r="DD8" s="152">
        <v>842</v>
      </c>
      <c r="DE8" s="152">
        <v>861</v>
      </c>
      <c r="DF8" s="152">
        <v>878</v>
      </c>
      <c r="DG8" s="152">
        <v>878</v>
      </c>
      <c r="DH8" s="152">
        <v>878</v>
      </c>
      <c r="DI8" s="152">
        <v>886</v>
      </c>
      <c r="DJ8" s="152">
        <v>886</v>
      </c>
      <c r="DK8" s="152">
        <v>905</v>
      </c>
      <c r="DL8" s="152">
        <v>913</v>
      </c>
      <c r="DM8" s="152">
        <v>913</v>
      </c>
      <c r="DN8" s="152">
        <v>913</v>
      </c>
      <c r="DO8" s="152">
        <v>913</v>
      </c>
      <c r="DP8" s="152">
        <v>931</v>
      </c>
      <c r="DQ8" s="152">
        <v>943</v>
      </c>
      <c r="DR8" s="152">
        <v>954</v>
      </c>
      <c r="DS8" s="152">
        <v>954</v>
      </c>
      <c r="DT8" s="152">
        <v>955</v>
      </c>
      <c r="DU8" s="152">
        <v>955</v>
      </c>
      <c r="DV8" s="152">
        <v>955</v>
      </c>
      <c r="DW8" s="152">
        <v>955</v>
      </c>
      <c r="DX8" s="152">
        <v>969</v>
      </c>
      <c r="DY8" s="152">
        <v>982</v>
      </c>
      <c r="DZ8" s="152">
        <v>1000</v>
      </c>
      <c r="EA8" s="152">
        <v>1000</v>
      </c>
      <c r="EB8" s="152">
        <v>1000</v>
      </c>
      <c r="EC8" s="152">
        <v>1000</v>
      </c>
      <c r="ED8" s="152">
        <v>1000</v>
      </c>
      <c r="EE8" s="152">
        <v>1000</v>
      </c>
      <c r="EF8" s="152">
        <v>1000</v>
      </c>
      <c r="EG8" s="152">
        <v>1026</v>
      </c>
      <c r="EH8" s="152">
        <v>1041</v>
      </c>
      <c r="EI8" s="152">
        <v>1041</v>
      </c>
      <c r="EJ8" s="152">
        <v>1056</v>
      </c>
      <c r="EK8" s="152">
        <v>1100</v>
      </c>
      <c r="EL8" s="152">
        <v>1170</v>
      </c>
      <c r="EM8" s="152">
        <v>1185</v>
      </c>
      <c r="EN8" s="152">
        <v>1200</v>
      </c>
      <c r="EO8" s="152">
        <v>1208</v>
      </c>
      <c r="EP8" s="152">
        <v>1208</v>
      </c>
      <c r="EQ8" s="152">
        <v>1208</v>
      </c>
      <c r="ER8" s="152">
        <v>1208</v>
      </c>
      <c r="ES8" s="152">
        <v>1252</v>
      </c>
      <c r="ET8" s="152">
        <v>1274</v>
      </c>
      <c r="EU8" s="152">
        <v>1289</v>
      </c>
      <c r="EV8" s="152">
        <v>1301</v>
      </c>
      <c r="EW8" s="152">
        <v>1301</v>
      </c>
      <c r="EX8" s="152">
        <v>1301</v>
      </c>
      <c r="EY8" s="152">
        <v>1321</v>
      </c>
      <c r="EZ8" s="152">
        <v>1352</v>
      </c>
      <c r="FA8" s="152">
        <v>1406</v>
      </c>
      <c r="FB8" s="152">
        <v>1425</v>
      </c>
      <c r="FC8" s="152">
        <v>1432</v>
      </c>
      <c r="FD8" s="152">
        <v>1432</v>
      </c>
      <c r="FE8" s="152">
        <v>1432</v>
      </c>
      <c r="FF8" s="152">
        <v>1432</v>
      </c>
      <c r="FG8" s="152">
        <v>1502</v>
      </c>
      <c r="FH8" s="152">
        <v>1517</v>
      </c>
      <c r="FI8" s="152">
        <v>1517</v>
      </c>
      <c r="FJ8" s="152">
        <v>1602</v>
      </c>
      <c r="FK8" s="152">
        <v>1602</v>
      </c>
      <c r="FL8" s="152">
        <v>1602</v>
      </c>
      <c r="FM8" s="152">
        <v>1646</v>
      </c>
      <c r="FN8" s="152">
        <v>1669</v>
      </c>
      <c r="FO8" s="152">
        <v>1738</v>
      </c>
      <c r="FP8" s="152">
        <v>1759</v>
      </c>
      <c r="FQ8" s="152">
        <v>1759</v>
      </c>
      <c r="FR8" s="152">
        <v>1760</v>
      </c>
      <c r="FS8" s="152">
        <v>1760</v>
      </c>
      <c r="FT8" s="152">
        <v>1804</v>
      </c>
      <c r="FU8" s="152">
        <v>1836</v>
      </c>
      <c r="FV8" s="152">
        <v>1836</v>
      </c>
      <c r="FW8" s="152">
        <v>1836</v>
      </c>
      <c r="FX8" s="152">
        <v>1836</v>
      </c>
      <c r="FY8" s="152">
        <v>1836</v>
      </c>
      <c r="FZ8" s="152">
        <v>1836</v>
      </c>
      <c r="GA8" s="152">
        <v>1836</v>
      </c>
      <c r="GB8" s="152">
        <v>1836</v>
      </c>
      <c r="GC8" s="152">
        <v>1836</v>
      </c>
      <c r="GD8" s="152">
        <v>1836</v>
      </c>
      <c r="GE8" s="152">
        <v>1836</v>
      </c>
      <c r="GF8" s="152">
        <v>1836</v>
      </c>
      <c r="GG8" s="152">
        <v>1836</v>
      </c>
      <c r="GH8" s="152">
        <v>1858</v>
      </c>
      <c r="GI8" s="152">
        <v>1858</v>
      </c>
      <c r="GJ8" s="152">
        <v>1877</v>
      </c>
      <c r="GK8" s="152">
        <v>1917</v>
      </c>
      <c r="GL8" s="152">
        <v>2003</v>
      </c>
      <c r="GM8" s="152">
        <v>2003</v>
      </c>
      <c r="GN8" s="152">
        <v>2003</v>
      </c>
      <c r="GO8" s="152">
        <v>2052</v>
      </c>
      <c r="GP8" s="152">
        <v>2052</v>
      </c>
      <c r="GQ8" s="152">
        <v>2052</v>
      </c>
      <c r="GR8" s="152">
        <v>2052</v>
      </c>
      <c r="GS8" s="152">
        <v>2068</v>
      </c>
      <c r="GT8" s="152">
        <v>2068</v>
      </c>
      <c r="GU8" s="152">
        <v>2135</v>
      </c>
      <c r="GV8" s="152">
        <v>2165</v>
      </c>
      <c r="GW8" s="152">
        <v>2165</v>
      </c>
      <c r="GX8" s="152">
        <v>2165</v>
      </c>
      <c r="GY8" s="152">
        <v>2165</v>
      </c>
      <c r="GZ8" s="152">
        <v>2219</v>
      </c>
      <c r="HA8" s="152">
        <v>2219</v>
      </c>
      <c r="HB8" s="152">
        <v>2219</v>
      </c>
      <c r="HC8" s="152">
        <v>2261</v>
      </c>
      <c r="HD8" s="152">
        <v>2261</v>
      </c>
      <c r="HE8" s="152">
        <v>2276</v>
      </c>
      <c r="HF8" s="152">
        <v>2293</v>
      </c>
      <c r="HG8" s="152">
        <v>2304</v>
      </c>
      <c r="HH8" s="152">
        <v>2304</v>
      </c>
      <c r="HI8" s="152">
        <v>2304</v>
      </c>
      <c r="HJ8" s="152">
        <v>2304</v>
      </c>
      <c r="HK8" s="152">
        <v>2324</v>
      </c>
      <c r="HL8" s="152">
        <v>2327</v>
      </c>
      <c r="HM8" s="152">
        <v>2342</v>
      </c>
      <c r="HN8" s="152">
        <v>2350</v>
      </c>
      <c r="HO8" s="152">
        <v>2350</v>
      </c>
      <c r="HP8" s="152">
        <v>2350</v>
      </c>
      <c r="HQ8" s="152">
        <v>2371</v>
      </c>
      <c r="HR8" s="152">
        <v>2372</v>
      </c>
      <c r="HS8" s="152">
        <v>2377</v>
      </c>
      <c r="HT8" s="152">
        <v>2382</v>
      </c>
      <c r="HU8" s="152">
        <v>2425</v>
      </c>
      <c r="HV8" s="152">
        <v>2425</v>
      </c>
      <c r="HW8" s="152">
        <v>2425</v>
      </c>
      <c r="HX8" s="152">
        <v>2651</v>
      </c>
      <c r="HY8" s="152">
        <v>2651</v>
      </c>
      <c r="HZ8" s="152">
        <v>2651</v>
      </c>
      <c r="IA8" s="152">
        <v>2651</v>
      </c>
      <c r="IB8" s="152">
        <v>2651</v>
      </c>
      <c r="IC8" s="152">
        <v>2651</v>
      </c>
      <c r="ID8" s="152">
        <v>2651</v>
      </c>
      <c r="IE8" s="152">
        <v>2651</v>
      </c>
      <c r="IF8" s="152">
        <v>2651</v>
      </c>
      <c r="IG8" s="152">
        <v>2857</v>
      </c>
      <c r="IH8" s="152">
        <v>2858</v>
      </c>
      <c r="II8" s="152">
        <v>2858</v>
      </c>
      <c r="IJ8" s="152">
        <v>2858</v>
      </c>
      <c r="IK8" s="152">
        <v>3037</v>
      </c>
      <c r="IL8" s="152">
        <v>3037</v>
      </c>
      <c r="IM8" s="152">
        <v>3039</v>
      </c>
      <c r="IN8" s="152">
        <v>3041</v>
      </c>
      <c r="IO8" s="152">
        <v>3041</v>
      </c>
      <c r="IP8" s="152">
        <v>3175</v>
      </c>
      <c r="IQ8" s="152">
        <v>3182</v>
      </c>
      <c r="IR8" s="152">
        <v>3182</v>
      </c>
      <c r="IS8" s="152">
        <v>3215</v>
      </c>
      <c r="IT8" s="152">
        <v>3215</v>
      </c>
      <c r="IU8" s="152">
        <v>3217</v>
      </c>
      <c r="IV8" s="152">
        <v>3262</v>
      </c>
      <c r="IW8" s="152">
        <v>3266</v>
      </c>
      <c r="IX8" s="152">
        <v>3266</v>
      </c>
      <c r="IY8" s="152">
        <v>3266</v>
      </c>
      <c r="IZ8" s="152">
        <v>3268</v>
      </c>
      <c r="JA8" s="152">
        <v>3275</v>
      </c>
      <c r="JB8" s="152">
        <v>3279</v>
      </c>
      <c r="JC8" s="152">
        <v>3279</v>
      </c>
      <c r="JD8" s="152">
        <v>3279</v>
      </c>
      <c r="JE8" s="152">
        <v>3279</v>
      </c>
      <c r="JF8" s="152">
        <v>3279</v>
      </c>
      <c r="JG8" s="152">
        <v>3279</v>
      </c>
      <c r="JH8" s="152">
        <v>3279</v>
      </c>
      <c r="JI8" s="152">
        <v>3281</v>
      </c>
      <c r="JJ8" s="152">
        <v>3313</v>
      </c>
      <c r="JK8" s="152">
        <v>3313</v>
      </c>
      <c r="JL8" s="152">
        <v>3313</v>
      </c>
      <c r="JM8" s="152">
        <v>3313</v>
      </c>
      <c r="JN8" s="152">
        <v>3335</v>
      </c>
      <c r="JO8" s="152">
        <v>3336</v>
      </c>
      <c r="JP8" s="152">
        <v>3346</v>
      </c>
      <c r="JQ8" s="152">
        <v>3346</v>
      </c>
      <c r="JR8" s="152">
        <v>3345</v>
      </c>
      <c r="JS8" s="152">
        <v>3345</v>
      </c>
      <c r="JT8" s="152">
        <v>3345</v>
      </c>
      <c r="JU8" s="152">
        <v>3345</v>
      </c>
      <c r="JV8" s="152">
        <v>3350</v>
      </c>
      <c r="JW8" s="152">
        <v>3350</v>
      </c>
      <c r="JX8" s="152">
        <v>3350</v>
      </c>
      <c r="JY8" s="152">
        <v>3365</v>
      </c>
      <c r="JZ8" s="152">
        <v>3365</v>
      </c>
      <c r="KA8" s="152">
        <v>3365</v>
      </c>
      <c r="KB8" s="152">
        <v>3365</v>
      </c>
      <c r="KC8" s="152">
        <v>3365</v>
      </c>
      <c r="KD8" s="152">
        <v>3365</v>
      </c>
      <c r="KE8" s="152">
        <v>3370</v>
      </c>
      <c r="KF8" s="152">
        <v>3370</v>
      </c>
      <c r="KG8" s="152">
        <v>3370</v>
      </c>
      <c r="KH8" s="152">
        <v>3370</v>
      </c>
      <c r="KI8" s="152">
        <v>3381</v>
      </c>
      <c r="KJ8" s="152">
        <v>3381</v>
      </c>
      <c r="KK8" s="152">
        <v>3403</v>
      </c>
      <c r="KL8" s="152">
        <v>3413</v>
      </c>
      <c r="KM8" s="152">
        <v>3413</v>
      </c>
      <c r="KN8" s="152">
        <v>3413</v>
      </c>
      <c r="KO8" s="152">
        <v>3413</v>
      </c>
      <c r="KP8" s="152">
        <v>3413</v>
      </c>
      <c r="KQ8" s="152">
        <v>3413</v>
      </c>
      <c r="KR8" s="152">
        <v>3412</v>
      </c>
      <c r="KS8" s="152">
        <v>3412</v>
      </c>
      <c r="KT8" s="152">
        <v>3412</v>
      </c>
      <c r="KU8" s="152">
        <v>3412</v>
      </c>
      <c r="KV8" s="152">
        <v>3412</v>
      </c>
      <c r="KW8" s="152">
        <v>3423</v>
      </c>
      <c r="KX8" s="152">
        <v>3423</v>
      </c>
      <c r="KY8" s="152">
        <v>3423</v>
      </c>
      <c r="KZ8" s="152">
        <v>3423</v>
      </c>
      <c r="LA8" s="152">
        <v>3423</v>
      </c>
      <c r="LB8" s="152">
        <v>3423</v>
      </c>
      <c r="LC8" s="152">
        <v>3423</v>
      </c>
      <c r="LD8" s="152">
        <v>3423</v>
      </c>
      <c r="LE8" s="152">
        <v>3472</v>
      </c>
      <c r="LF8" s="152">
        <v>3471</v>
      </c>
      <c r="LG8" s="152">
        <v>3474</v>
      </c>
      <c r="LH8" s="152">
        <v>3474</v>
      </c>
      <c r="LI8" s="152">
        <v>3474</v>
      </c>
      <c r="LJ8" s="152">
        <v>3474</v>
      </c>
      <c r="LK8" s="152">
        <v>3474</v>
      </c>
      <c r="LL8" s="152">
        <v>3474</v>
      </c>
      <c r="LM8" s="152">
        <v>3465</v>
      </c>
      <c r="LN8" s="152">
        <v>3465</v>
      </c>
      <c r="LO8" s="152">
        <v>3465</v>
      </c>
      <c r="LP8" s="152">
        <v>3465</v>
      </c>
      <c r="LQ8" s="152">
        <v>3465</v>
      </c>
      <c r="LR8" s="152">
        <v>3465</v>
      </c>
      <c r="LS8" s="152">
        <v>3467</v>
      </c>
      <c r="LT8" s="152">
        <v>3467</v>
      </c>
      <c r="LU8" s="152">
        <v>3467</v>
      </c>
      <c r="LV8" s="152">
        <v>3467</v>
      </c>
      <c r="LW8" s="152">
        <v>3467</v>
      </c>
      <c r="LX8" s="152">
        <v>3467</v>
      </c>
      <c r="LY8" s="152">
        <v>3467</v>
      </c>
      <c r="LZ8" s="152">
        <v>3467</v>
      </c>
      <c r="MA8" s="152">
        <v>3452</v>
      </c>
      <c r="MB8" s="152">
        <v>3452</v>
      </c>
      <c r="MC8" s="152">
        <v>3707</v>
      </c>
      <c r="MD8" s="152">
        <v>3707</v>
      </c>
      <c r="ME8" s="152">
        <v>3707</v>
      </c>
      <c r="MF8" s="152">
        <v>3707</v>
      </c>
      <c r="MG8" s="152">
        <v>3707</v>
      </c>
      <c r="MH8" s="152">
        <v>3707</v>
      </c>
      <c r="MI8" s="152">
        <v>3766</v>
      </c>
      <c r="MJ8" s="152">
        <v>3757</v>
      </c>
      <c r="MK8" s="152">
        <v>3757</v>
      </c>
      <c r="ML8" s="152">
        <v>3757</v>
      </c>
      <c r="MM8" s="152">
        <v>3792</v>
      </c>
      <c r="MN8" s="152">
        <v>3792</v>
      </c>
      <c r="MO8" s="152">
        <v>3829</v>
      </c>
      <c r="MP8" s="152">
        <v>3831</v>
      </c>
      <c r="MQ8" s="152">
        <v>3831</v>
      </c>
      <c r="MR8" s="152">
        <v>3831</v>
      </c>
      <c r="MS8" s="152">
        <v>3831</v>
      </c>
      <c r="MT8" s="152">
        <v>3831</v>
      </c>
      <c r="MU8" s="152">
        <v>3831</v>
      </c>
      <c r="MV8" s="152">
        <v>3831</v>
      </c>
      <c r="MW8" s="152">
        <v>3831</v>
      </c>
      <c r="MX8" s="152">
        <v>3831</v>
      </c>
      <c r="MY8" s="152">
        <v>3831</v>
      </c>
      <c r="MZ8" s="152">
        <v>3831</v>
      </c>
      <c r="NA8" s="152">
        <v>3831</v>
      </c>
      <c r="NB8" s="152">
        <v>3831</v>
      </c>
      <c r="NC8" s="152">
        <v>3831</v>
      </c>
      <c r="ND8" s="152">
        <v>3831</v>
      </c>
      <c r="NE8" s="152">
        <v>3831</v>
      </c>
      <c r="NF8" s="152">
        <v>3831</v>
      </c>
      <c r="NG8" s="152">
        <v>3831</v>
      </c>
      <c r="NH8" s="152">
        <v>3828</v>
      </c>
      <c r="NI8" s="152">
        <v>3823</v>
      </c>
      <c r="NJ8" s="152">
        <v>3839</v>
      </c>
      <c r="NK8" s="152">
        <v>3839</v>
      </c>
      <c r="NL8" s="152">
        <v>3839</v>
      </c>
      <c r="NM8" s="152">
        <v>3839</v>
      </c>
      <c r="NN8" s="152">
        <v>3839</v>
      </c>
      <c r="NO8" s="152">
        <v>3861</v>
      </c>
      <c r="NP8" s="152">
        <v>3862</v>
      </c>
      <c r="NQ8" s="152">
        <v>3862</v>
      </c>
      <c r="NR8" s="152">
        <v>3862</v>
      </c>
      <c r="NS8" s="152">
        <v>3861</v>
      </c>
      <c r="NT8" s="152">
        <v>3861</v>
      </c>
      <c r="NU8" s="152">
        <v>3861</v>
      </c>
      <c r="NV8" s="152">
        <v>3875</v>
      </c>
      <c r="NW8" s="152">
        <v>3875</v>
      </c>
      <c r="NX8" s="152">
        <v>3875</v>
      </c>
      <c r="NY8" s="152">
        <v>3875</v>
      </c>
      <c r="NZ8" s="152">
        <v>3875</v>
      </c>
      <c r="OA8" s="152">
        <v>3875</v>
      </c>
      <c r="OB8" s="152">
        <v>3875</v>
      </c>
      <c r="OC8" s="152">
        <v>3875</v>
      </c>
      <c r="OD8" s="152">
        <v>3913</v>
      </c>
      <c r="OE8" s="152">
        <v>3965</v>
      </c>
      <c r="OF8" s="152">
        <v>4000</v>
      </c>
      <c r="OG8" s="152">
        <v>4040</v>
      </c>
      <c r="OH8" s="152">
        <v>4040</v>
      </c>
      <c r="OI8" s="152">
        <v>4040</v>
      </c>
      <c r="OJ8" s="152">
        <v>4061</v>
      </c>
      <c r="OK8" s="152">
        <v>4083</v>
      </c>
      <c r="OL8" s="152">
        <v>4083</v>
      </c>
      <c r="OM8" s="152">
        <v>4091</v>
      </c>
      <c r="ON8" s="152">
        <v>4103</v>
      </c>
      <c r="OO8" s="152">
        <v>4103</v>
      </c>
      <c r="OP8" s="152">
        <v>4103</v>
      </c>
      <c r="OQ8" s="152">
        <v>4103</v>
      </c>
      <c r="OR8" s="152">
        <v>4153</v>
      </c>
      <c r="OS8" s="152">
        <v>4232</v>
      </c>
      <c r="OT8" s="152">
        <v>4272</v>
      </c>
      <c r="OU8" s="152">
        <v>4306</v>
      </c>
      <c r="OV8" s="152">
        <v>4306</v>
      </c>
      <c r="OW8" s="152">
        <v>4385</v>
      </c>
      <c r="OX8" s="152">
        <v>4434</v>
      </c>
      <c r="OY8" s="152">
        <v>4477</v>
      </c>
      <c r="OZ8" s="152">
        <v>4593</v>
      </c>
      <c r="PA8" s="152">
        <v>4708</v>
      </c>
      <c r="PB8" s="152">
        <v>4720</v>
      </c>
      <c r="PC8" s="152">
        <v>4796</v>
      </c>
      <c r="PD8" s="152">
        <v>4796</v>
      </c>
      <c r="PE8" s="152">
        <v>4810</v>
      </c>
      <c r="PF8" s="152">
        <v>4852</v>
      </c>
      <c r="PG8" s="152">
        <v>4986</v>
      </c>
      <c r="PH8" s="152">
        <v>5082</v>
      </c>
      <c r="PI8" s="152">
        <v>5113</v>
      </c>
      <c r="PJ8" s="152">
        <v>5113</v>
      </c>
      <c r="PK8" s="152">
        <v>5113</v>
      </c>
      <c r="PL8" s="152">
        <v>5145</v>
      </c>
      <c r="PM8" s="152">
        <v>5177</v>
      </c>
      <c r="PN8" s="152">
        <v>5180</v>
      </c>
      <c r="PO8" s="152">
        <v>5180</v>
      </c>
      <c r="PP8" s="152">
        <v>5202</v>
      </c>
      <c r="PQ8" s="152">
        <v>5202</v>
      </c>
      <c r="PR8" s="152">
        <v>5202</v>
      </c>
      <c r="PS8" s="152">
        <v>5200</v>
      </c>
      <c r="PT8" s="152">
        <v>5257</v>
      </c>
      <c r="PU8" s="152">
        <v>5268</v>
      </c>
      <c r="PV8" s="152">
        <v>5292</v>
      </c>
      <c r="PW8" s="152">
        <v>5392</v>
      </c>
      <c r="PX8" s="152">
        <v>5392</v>
      </c>
      <c r="PY8" s="152">
        <v>5392</v>
      </c>
      <c r="PZ8" s="152">
        <v>5438</v>
      </c>
      <c r="QA8" s="152">
        <v>5437</v>
      </c>
      <c r="QB8" s="152">
        <v>5569</v>
      </c>
      <c r="QC8" s="152">
        <v>5569</v>
      </c>
      <c r="QD8" s="152">
        <v>5649</v>
      </c>
      <c r="QE8" s="152">
        <v>5649</v>
      </c>
      <c r="QF8" s="152">
        <v>5694</v>
      </c>
      <c r="QG8" s="152">
        <v>5694</v>
      </c>
      <c r="QH8" s="152">
        <v>5694</v>
      </c>
      <c r="QI8" s="152">
        <v>5694</v>
      </c>
      <c r="QJ8" s="152">
        <v>5876</v>
      </c>
      <c r="QK8" s="152">
        <v>5965</v>
      </c>
      <c r="QL8" s="152">
        <v>5965</v>
      </c>
      <c r="QM8" s="152">
        <v>5965</v>
      </c>
      <c r="QN8" s="152">
        <v>6005</v>
      </c>
      <c r="QO8" s="152">
        <v>6502</v>
      </c>
      <c r="QP8" s="152">
        <v>6498</v>
      </c>
      <c r="QQ8" s="152">
        <v>6498</v>
      </c>
      <c r="QR8" s="152">
        <v>6849</v>
      </c>
      <c r="QS8" s="152">
        <v>6849</v>
      </c>
      <c r="QT8" s="152">
        <v>6849</v>
      </c>
      <c r="QU8" s="152">
        <v>6847</v>
      </c>
      <c r="QV8" s="152">
        <v>7045</v>
      </c>
      <c r="QW8" s="152">
        <v>7084</v>
      </c>
      <c r="QX8" s="152">
        <v>7084</v>
      </c>
      <c r="QY8" s="152">
        <v>7084</v>
      </c>
      <c r="QZ8" s="152">
        <v>7084</v>
      </c>
      <c r="RA8" s="152">
        <v>7084</v>
      </c>
      <c r="RB8" s="152">
        <v>7081</v>
      </c>
      <c r="RC8" s="152">
        <v>7174</v>
      </c>
      <c r="RD8" s="152">
        <v>7174</v>
      </c>
      <c r="RE8" s="152">
        <v>7231</v>
      </c>
      <c r="RF8" s="152">
        <v>7231</v>
      </c>
      <c r="RG8" s="152">
        <v>7231</v>
      </c>
      <c r="RH8" s="152">
        <v>7231</v>
      </c>
      <c r="RI8" s="152">
        <v>7300</v>
      </c>
      <c r="RJ8" s="152">
        <v>7356</v>
      </c>
      <c r="RK8" s="152">
        <v>7356</v>
      </c>
      <c r="RL8" s="152">
        <v>7357</v>
      </c>
      <c r="RM8" s="152">
        <v>7506</v>
      </c>
      <c r="RN8" s="152">
        <v>7506</v>
      </c>
      <c r="RO8" s="152">
        <v>7506</v>
      </c>
      <c r="RP8" s="152">
        <v>7566</v>
      </c>
      <c r="RQ8" s="152">
        <v>7566</v>
      </c>
      <c r="RR8" s="152">
        <v>7562</v>
      </c>
      <c r="RS8" s="152">
        <v>7561</v>
      </c>
      <c r="RT8" s="152">
        <v>7561</v>
      </c>
      <c r="RU8" s="152">
        <v>7561</v>
      </c>
      <c r="RV8" s="152">
        <v>7561</v>
      </c>
      <c r="RW8" s="152">
        <v>7561</v>
      </c>
      <c r="RX8" s="152">
        <v>7728</v>
      </c>
      <c r="RY8" s="152">
        <v>7870</v>
      </c>
      <c r="RZ8" s="152">
        <v>7920</v>
      </c>
      <c r="SA8" s="152">
        <v>7920</v>
      </c>
      <c r="SB8" s="152">
        <v>7920</v>
      </c>
      <c r="SC8" s="152">
        <v>7920</v>
      </c>
      <c r="SD8" s="152">
        <v>8126</v>
      </c>
      <c r="SE8" s="152">
        <v>8126</v>
      </c>
      <c r="SF8" s="152">
        <v>8153</v>
      </c>
      <c r="SG8" s="152">
        <v>8232</v>
      </c>
      <c r="SH8" s="152">
        <v>8232</v>
      </c>
      <c r="SI8" s="152">
        <v>8233</v>
      </c>
      <c r="SJ8" s="152">
        <v>8233</v>
      </c>
      <c r="SK8" s="152">
        <v>8366</v>
      </c>
      <c r="SL8" s="152">
        <v>8538</v>
      </c>
      <c r="SM8" s="152">
        <v>8571</v>
      </c>
      <c r="SN8" s="152">
        <v>8571</v>
      </c>
      <c r="SO8" s="152">
        <v>8638</v>
      </c>
      <c r="SP8" s="152">
        <v>8638</v>
      </c>
      <c r="SQ8" s="152">
        <v>8638</v>
      </c>
      <c r="SR8" s="152">
        <v>8638</v>
      </c>
      <c r="SS8" s="152">
        <v>8772</v>
      </c>
      <c r="ST8" s="152">
        <v>8908</v>
      </c>
      <c r="SU8" s="152">
        <v>8981</v>
      </c>
      <c r="SV8" s="152">
        <v>9025</v>
      </c>
      <c r="SW8" s="152">
        <v>9025</v>
      </c>
      <c r="SX8" s="152">
        <v>9025</v>
      </c>
      <c r="SY8" s="152">
        <v>9024</v>
      </c>
      <c r="SZ8" s="152">
        <v>9024</v>
      </c>
      <c r="TA8" s="152">
        <v>9092</v>
      </c>
      <c r="TB8" s="152">
        <v>9091</v>
      </c>
      <c r="TC8" s="152">
        <v>9253</v>
      </c>
      <c r="TD8" s="152">
        <v>9253</v>
      </c>
      <c r="TE8" s="152">
        <v>9253</v>
      </c>
      <c r="TF8" s="152">
        <v>9292</v>
      </c>
      <c r="TG8" s="152">
        <v>9656</v>
      </c>
      <c r="TH8" s="31">
        <v>9786</v>
      </c>
      <c r="TI8" s="31">
        <v>9784</v>
      </c>
      <c r="TJ8" s="31">
        <v>9784</v>
      </c>
      <c r="TK8" s="31">
        <v>9784</v>
      </c>
      <c r="TL8" s="31">
        <v>9784</v>
      </c>
      <c r="TM8" s="31">
        <v>9984</v>
      </c>
      <c r="TN8" s="31">
        <v>10265</v>
      </c>
      <c r="TO8" s="31">
        <v>10421</v>
      </c>
      <c r="TP8" s="31">
        <v>10449</v>
      </c>
      <c r="TQ8" s="31">
        <v>10449</v>
      </c>
      <c r="TR8" s="31">
        <v>10449</v>
      </c>
      <c r="TS8" s="31">
        <v>10449</v>
      </c>
      <c r="TT8" s="31">
        <v>10449</v>
      </c>
      <c r="TU8" s="31">
        <v>10879</v>
      </c>
      <c r="TV8" s="31">
        <v>10926</v>
      </c>
      <c r="TW8" s="31">
        <v>10942</v>
      </c>
      <c r="TX8" s="31">
        <v>11075</v>
      </c>
      <c r="TY8" s="31">
        <v>11075</v>
      </c>
      <c r="TZ8" s="31">
        <v>11075</v>
      </c>
      <c r="UA8" s="31">
        <v>11086</v>
      </c>
      <c r="UB8" s="31">
        <v>11382</v>
      </c>
      <c r="UC8" s="31">
        <v>11394</v>
      </c>
      <c r="UD8" s="31">
        <v>11394</v>
      </c>
      <c r="UE8" s="31">
        <v>11388</v>
      </c>
      <c r="UF8" s="31">
        <v>11388</v>
      </c>
      <c r="UG8" s="31">
        <v>11388</v>
      </c>
      <c r="UH8" s="31">
        <v>11388</v>
      </c>
      <c r="UI8" s="31">
        <v>11385</v>
      </c>
      <c r="UJ8" s="31">
        <v>11503</v>
      </c>
      <c r="UK8" s="31">
        <v>11517</v>
      </c>
      <c r="UL8" s="31">
        <v>11517</v>
      </c>
      <c r="UM8" s="31">
        <v>11517</v>
      </c>
      <c r="UN8" s="31">
        <v>11517</v>
      </c>
      <c r="UO8" s="31">
        <v>11540</v>
      </c>
      <c r="UP8" s="31">
        <v>11540</v>
      </c>
      <c r="UQ8" s="31">
        <v>11584</v>
      </c>
      <c r="UR8" s="31">
        <v>11596</v>
      </c>
      <c r="US8" s="31">
        <v>11608</v>
      </c>
      <c r="UT8" s="31">
        <v>11608</v>
      </c>
      <c r="UU8" s="31">
        <v>11608</v>
      </c>
      <c r="UV8" s="31">
        <v>11608</v>
      </c>
      <c r="UW8" s="31">
        <v>11911</v>
      </c>
      <c r="UX8" s="31">
        <v>11941</v>
      </c>
      <c r="UY8" s="31">
        <v>12025</v>
      </c>
      <c r="UZ8" s="31">
        <v>12025</v>
      </c>
      <c r="VA8" s="31">
        <v>12025</v>
      </c>
      <c r="VB8" s="31">
        <v>12025</v>
      </c>
      <c r="VC8" s="31">
        <v>12037</v>
      </c>
      <c r="VD8" s="31">
        <v>12041</v>
      </c>
      <c r="VE8" s="31">
        <v>12155</v>
      </c>
      <c r="VF8" s="31">
        <v>12155</v>
      </c>
      <c r="VG8" s="31">
        <v>12295</v>
      </c>
      <c r="VH8" s="31">
        <v>12352</v>
      </c>
      <c r="VI8" s="31">
        <v>12353</v>
      </c>
      <c r="VJ8" s="31">
        <v>12353</v>
      </c>
      <c r="VK8" s="31">
        <v>12352</v>
      </c>
      <c r="VL8" s="31">
        <v>12352</v>
      </c>
      <c r="VM8" s="31">
        <v>12448</v>
      </c>
      <c r="VN8" s="31">
        <v>12448</v>
      </c>
      <c r="VO8" s="31">
        <v>12565</v>
      </c>
      <c r="VP8" s="31">
        <v>12565</v>
      </c>
      <c r="VQ8" s="31">
        <v>12565</v>
      </c>
      <c r="VR8" s="31">
        <v>12598</v>
      </c>
      <c r="VS8" s="31">
        <v>12733</v>
      </c>
      <c r="VT8" s="31">
        <v>12733</v>
      </c>
      <c r="VU8" s="31">
        <v>12733</v>
      </c>
      <c r="VV8" s="31">
        <v>12770</v>
      </c>
      <c r="VW8" s="31">
        <v>12770</v>
      </c>
      <c r="VX8" s="31">
        <v>12770</v>
      </c>
      <c r="VY8" s="31">
        <v>12770</v>
      </c>
      <c r="VZ8" s="31">
        <v>12770</v>
      </c>
      <c r="WA8" s="31">
        <v>12877</v>
      </c>
      <c r="WB8" s="31">
        <v>12877</v>
      </c>
      <c r="WC8" s="31">
        <v>12877</v>
      </c>
      <c r="WD8" s="31">
        <v>12877</v>
      </c>
      <c r="WE8" s="31">
        <v>12877</v>
      </c>
      <c r="WF8" s="31">
        <v>12877</v>
      </c>
      <c r="WG8" s="31">
        <v>13069</v>
      </c>
      <c r="WH8" s="31">
        <v>13069</v>
      </c>
      <c r="WI8" s="31">
        <v>13080</v>
      </c>
      <c r="WJ8" s="31">
        <v>13197</v>
      </c>
      <c r="WK8" s="31">
        <v>13197</v>
      </c>
      <c r="WL8" s="31">
        <v>13197</v>
      </c>
      <c r="WM8" s="31">
        <v>13197</v>
      </c>
      <c r="WN8" s="31">
        <v>14031</v>
      </c>
      <c r="WO8" s="31">
        <v>14268</v>
      </c>
      <c r="WP8" s="31">
        <v>14308</v>
      </c>
      <c r="WQ8" s="31">
        <v>14308</v>
      </c>
      <c r="WR8" s="31">
        <v>14892</v>
      </c>
      <c r="WS8" s="31">
        <v>14962</v>
      </c>
      <c r="WT8" s="31">
        <v>15161</v>
      </c>
      <c r="WU8" s="31">
        <v>15160</v>
      </c>
      <c r="WV8" s="31">
        <v>15160</v>
      </c>
      <c r="WW8" s="31">
        <v>15348</v>
      </c>
      <c r="WX8" s="31">
        <v>15392</v>
      </c>
      <c r="WY8" s="31">
        <v>15392</v>
      </c>
      <c r="WZ8" s="31">
        <v>15392</v>
      </c>
      <c r="XA8" s="31">
        <v>15392</v>
      </c>
      <c r="XB8" s="31">
        <v>15563</v>
      </c>
      <c r="XC8" s="31">
        <v>15661</v>
      </c>
      <c r="XD8" s="31">
        <v>15675</v>
      </c>
      <c r="XE8" s="31">
        <v>15731</v>
      </c>
      <c r="XF8" s="31">
        <v>15731</v>
      </c>
      <c r="XG8" s="31">
        <v>15731</v>
      </c>
      <c r="XH8" s="31">
        <v>15777</v>
      </c>
      <c r="XI8" s="31">
        <v>15811</v>
      </c>
      <c r="XJ8" s="31">
        <v>15877</v>
      </c>
      <c r="XK8" s="31">
        <v>15959</v>
      </c>
      <c r="XL8" s="31">
        <v>16034</v>
      </c>
      <c r="XM8" s="31">
        <v>16034</v>
      </c>
      <c r="XN8" s="31">
        <v>16034</v>
      </c>
      <c r="XO8" s="31">
        <v>16034</v>
      </c>
      <c r="XP8" s="31">
        <v>16303</v>
      </c>
      <c r="XQ8" s="31">
        <v>16302</v>
      </c>
      <c r="XR8" s="31">
        <v>16302</v>
      </c>
      <c r="XS8" s="31">
        <v>16302</v>
      </c>
      <c r="XT8" s="31">
        <v>16302</v>
      </c>
      <c r="XU8" s="31">
        <v>16302</v>
      </c>
      <c r="XV8" s="31">
        <v>16302</v>
      </c>
      <c r="XW8" s="31">
        <v>16303</v>
      </c>
      <c r="XX8" s="31">
        <v>16303</v>
      </c>
      <c r="XY8" s="31">
        <v>16303</v>
      </c>
      <c r="XZ8" s="31">
        <v>16302</v>
      </c>
      <c r="YA8" s="31">
        <v>16302</v>
      </c>
      <c r="YB8" s="31">
        <v>16302</v>
      </c>
      <c r="YC8" s="153">
        <v>16302</v>
      </c>
      <c r="YD8" s="153">
        <v>16302</v>
      </c>
      <c r="YE8" s="153">
        <v>16302</v>
      </c>
      <c r="YF8" s="153">
        <v>16302</v>
      </c>
      <c r="YG8" s="153">
        <v>16302</v>
      </c>
      <c r="YH8" s="153">
        <v>16302</v>
      </c>
      <c r="YI8" s="153">
        <v>16302</v>
      </c>
      <c r="YJ8" s="153">
        <v>16301</v>
      </c>
      <c r="YK8" s="153">
        <v>16301</v>
      </c>
      <c r="YL8" s="153">
        <v>16301</v>
      </c>
      <c r="YM8" s="153">
        <v>16301</v>
      </c>
    </row>
    <row r="9" spans="1:663" ht="15.75" customHeight="1" x14ac:dyDescent="0.2">
      <c r="B9" s="30" t="s">
        <v>158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>
        <f t="shared" ref="AG9:KA9" si="0">AG8-AF8</f>
        <v>7</v>
      </c>
      <c r="AH9" s="64">
        <f t="shared" si="0"/>
        <v>0</v>
      </c>
      <c r="AI9" s="64">
        <f t="shared" si="0"/>
        <v>0</v>
      </c>
      <c r="AJ9" s="64">
        <f t="shared" si="0"/>
        <v>0</v>
      </c>
      <c r="AK9" s="64">
        <f t="shared" si="0"/>
        <v>11</v>
      </c>
      <c r="AL9" s="64">
        <f t="shared" si="0"/>
        <v>10</v>
      </c>
      <c r="AM9" s="64">
        <f t="shared" si="0"/>
        <v>3</v>
      </c>
      <c r="AN9" s="64">
        <f t="shared" si="0"/>
        <v>6</v>
      </c>
      <c r="AO9" s="64">
        <f t="shared" si="0"/>
        <v>2</v>
      </c>
      <c r="AP9" s="64">
        <f t="shared" si="0"/>
        <v>0</v>
      </c>
      <c r="AQ9" s="64">
        <f t="shared" si="0"/>
        <v>0</v>
      </c>
      <c r="AR9" s="64">
        <f t="shared" si="0"/>
        <v>10</v>
      </c>
      <c r="AS9" s="64">
        <f t="shared" si="0"/>
        <v>15</v>
      </c>
      <c r="AT9" s="64">
        <f t="shared" si="0"/>
        <v>2</v>
      </c>
      <c r="AU9" s="64">
        <f t="shared" si="0"/>
        <v>6</v>
      </c>
      <c r="AV9" s="64">
        <f t="shared" si="0"/>
        <v>0</v>
      </c>
      <c r="AW9" s="64">
        <f t="shared" si="0"/>
        <v>0</v>
      </c>
      <c r="AX9" s="64">
        <f t="shared" si="0"/>
        <v>4</v>
      </c>
      <c r="AY9" s="64">
        <f t="shared" si="0"/>
        <v>1</v>
      </c>
      <c r="AZ9" s="64">
        <f t="shared" si="0"/>
        <v>17</v>
      </c>
      <c r="BA9" s="64">
        <f t="shared" si="0"/>
        <v>3</v>
      </c>
      <c r="BB9" s="64">
        <f t="shared" si="0"/>
        <v>7</v>
      </c>
      <c r="BC9" s="64">
        <f t="shared" si="0"/>
        <v>0</v>
      </c>
      <c r="BD9" s="64">
        <f t="shared" si="0"/>
        <v>0</v>
      </c>
      <c r="BE9" s="64">
        <f t="shared" si="0"/>
        <v>2</v>
      </c>
      <c r="BF9" s="64">
        <f t="shared" si="0"/>
        <v>13</v>
      </c>
      <c r="BG9" s="64">
        <f t="shared" si="0"/>
        <v>8</v>
      </c>
      <c r="BH9" s="64">
        <f t="shared" si="0"/>
        <v>11</v>
      </c>
      <c r="BI9" s="64">
        <f t="shared" si="0"/>
        <v>1</v>
      </c>
      <c r="BJ9" s="64">
        <f t="shared" si="0"/>
        <v>0</v>
      </c>
      <c r="BK9" s="64">
        <f t="shared" si="0"/>
        <v>0</v>
      </c>
      <c r="BL9" s="64">
        <f t="shared" si="0"/>
        <v>0</v>
      </c>
      <c r="BM9" s="64">
        <f t="shared" si="0"/>
        <v>0</v>
      </c>
      <c r="BN9" s="64">
        <f t="shared" si="0"/>
        <v>0</v>
      </c>
      <c r="BO9" s="64">
        <f t="shared" si="0"/>
        <v>0</v>
      </c>
      <c r="BP9" s="64">
        <f t="shared" si="0"/>
        <v>1</v>
      </c>
      <c r="BQ9" s="64">
        <f t="shared" si="0"/>
        <v>0</v>
      </c>
      <c r="BR9" s="64">
        <f t="shared" si="0"/>
        <v>10</v>
      </c>
      <c r="BS9" s="64">
        <f t="shared" si="0"/>
        <v>0</v>
      </c>
      <c r="BT9" s="64">
        <f t="shared" si="0"/>
        <v>6</v>
      </c>
      <c r="BU9" s="64">
        <f t="shared" si="0"/>
        <v>0</v>
      </c>
      <c r="BV9" s="64">
        <f t="shared" si="0"/>
        <v>2</v>
      </c>
      <c r="BW9" s="64">
        <f t="shared" si="0"/>
        <v>6</v>
      </c>
      <c r="BX9" s="64">
        <f t="shared" si="0"/>
        <v>0</v>
      </c>
      <c r="BY9" s="64">
        <f t="shared" si="0"/>
        <v>0</v>
      </c>
      <c r="BZ9" s="64">
        <f t="shared" si="0"/>
        <v>0</v>
      </c>
      <c r="CA9" s="64">
        <f t="shared" si="0"/>
        <v>13</v>
      </c>
      <c r="CB9" s="64">
        <f t="shared" si="0"/>
        <v>10</v>
      </c>
      <c r="CC9" s="64">
        <f t="shared" si="0"/>
        <v>6</v>
      </c>
      <c r="CD9" s="64">
        <f t="shared" si="0"/>
        <v>5</v>
      </c>
      <c r="CE9" s="64">
        <f t="shared" si="0"/>
        <v>0</v>
      </c>
      <c r="CF9" s="64">
        <f t="shared" si="0"/>
        <v>0</v>
      </c>
      <c r="CG9" s="64">
        <f t="shared" si="0"/>
        <v>5</v>
      </c>
      <c r="CH9" s="64">
        <f t="shared" si="0"/>
        <v>1</v>
      </c>
      <c r="CI9" s="64">
        <f t="shared" si="0"/>
        <v>10</v>
      </c>
      <c r="CJ9" s="64">
        <f t="shared" si="0"/>
        <v>18</v>
      </c>
      <c r="CK9" s="64">
        <f t="shared" si="0"/>
        <v>0</v>
      </c>
      <c r="CL9" s="64">
        <f t="shared" si="0"/>
        <v>0</v>
      </c>
      <c r="CM9" s="64">
        <f t="shared" si="0"/>
        <v>0</v>
      </c>
      <c r="CN9" s="64">
        <f t="shared" si="0"/>
        <v>11</v>
      </c>
      <c r="CO9" s="64">
        <f t="shared" si="0"/>
        <v>0</v>
      </c>
      <c r="CP9" s="64">
        <f t="shared" si="0"/>
        <v>17</v>
      </c>
      <c r="CQ9" s="64">
        <f t="shared" si="0"/>
        <v>10</v>
      </c>
      <c r="CR9" s="64">
        <f t="shared" si="0"/>
        <v>3</v>
      </c>
      <c r="CS9" s="64">
        <f t="shared" si="0"/>
        <v>0</v>
      </c>
      <c r="CT9" s="64">
        <f t="shared" si="0"/>
        <v>0</v>
      </c>
      <c r="CU9" s="64">
        <f t="shared" si="0"/>
        <v>21</v>
      </c>
      <c r="CV9" s="64">
        <f t="shared" si="0"/>
        <v>-7</v>
      </c>
      <c r="CW9" s="64">
        <f t="shared" si="0"/>
        <v>9</v>
      </c>
      <c r="CX9" s="64">
        <f t="shared" si="0"/>
        <v>3</v>
      </c>
      <c r="CY9" s="64">
        <f t="shared" si="0"/>
        <v>0</v>
      </c>
      <c r="CZ9" s="64">
        <f t="shared" si="0"/>
        <v>0</v>
      </c>
      <c r="DA9" s="64">
        <f t="shared" si="0"/>
        <v>0</v>
      </c>
      <c r="DB9" s="64">
        <f t="shared" si="0"/>
        <v>4</v>
      </c>
      <c r="DC9" s="64">
        <f t="shared" si="0"/>
        <v>1</v>
      </c>
      <c r="DD9" s="64">
        <f t="shared" si="0"/>
        <v>33</v>
      </c>
      <c r="DE9" s="64">
        <f t="shared" si="0"/>
        <v>19</v>
      </c>
      <c r="DF9" s="64">
        <f t="shared" si="0"/>
        <v>17</v>
      </c>
      <c r="DG9" s="64">
        <f t="shared" si="0"/>
        <v>0</v>
      </c>
      <c r="DH9" s="64">
        <f t="shared" si="0"/>
        <v>0</v>
      </c>
      <c r="DI9" s="64">
        <f t="shared" si="0"/>
        <v>8</v>
      </c>
      <c r="DJ9" s="64">
        <f t="shared" si="0"/>
        <v>0</v>
      </c>
      <c r="DK9" s="64">
        <f t="shared" si="0"/>
        <v>19</v>
      </c>
      <c r="DL9" s="64">
        <f t="shared" si="0"/>
        <v>8</v>
      </c>
      <c r="DM9" s="64">
        <f t="shared" si="0"/>
        <v>0</v>
      </c>
      <c r="DN9" s="64">
        <f t="shared" si="0"/>
        <v>0</v>
      </c>
      <c r="DO9" s="64">
        <f t="shared" si="0"/>
        <v>0</v>
      </c>
      <c r="DP9" s="64">
        <f t="shared" si="0"/>
        <v>18</v>
      </c>
      <c r="DQ9" s="64">
        <f t="shared" si="0"/>
        <v>12</v>
      </c>
      <c r="DR9" s="64">
        <f t="shared" si="0"/>
        <v>11</v>
      </c>
      <c r="DS9" s="64">
        <f t="shared" si="0"/>
        <v>0</v>
      </c>
      <c r="DT9" s="64">
        <f t="shared" si="0"/>
        <v>1</v>
      </c>
      <c r="DU9" s="64">
        <f t="shared" si="0"/>
        <v>0</v>
      </c>
      <c r="DV9" s="64">
        <f t="shared" si="0"/>
        <v>0</v>
      </c>
      <c r="DW9" s="64">
        <f t="shared" si="0"/>
        <v>0</v>
      </c>
      <c r="DX9" s="64">
        <f t="shared" si="0"/>
        <v>14</v>
      </c>
      <c r="DY9" s="64">
        <f t="shared" si="0"/>
        <v>13</v>
      </c>
      <c r="DZ9" s="64">
        <f t="shared" si="0"/>
        <v>18</v>
      </c>
      <c r="EA9" s="64">
        <f t="shared" si="0"/>
        <v>0</v>
      </c>
      <c r="EB9" s="64">
        <f t="shared" si="0"/>
        <v>0</v>
      </c>
      <c r="EC9" s="64">
        <f t="shared" si="0"/>
        <v>0</v>
      </c>
      <c r="ED9" s="64">
        <f t="shared" si="0"/>
        <v>0</v>
      </c>
      <c r="EE9" s="64">
        <f t="shared" si="0"/>
        <v>0</v>
      </c>
      <c r="EF9" s="64">
        <f t="shared" si="0"/>
        <v>0</v>
      </c>
      <c r="EG9" s="64">
        <f t="shared" si="0"/>
        <v>26</v>
      </c>
      <c r="EH9" s="64">
        <f t="shared" si="0"/>
        <v>15</v>
      </c>
      <c r="EI9" s="64">
        <f t="shared" si="0"/>
        <v>0</v>
      </c>
      <c r="EJ9" s="64">
        <f t="shared" si="0"/>
        <v>15</v>
      </c>
      <c r="EK9" s="64">
        <f t="shared" si="0"/>
        <v>44</v>
      </c>
      <c r="EL9" s="64">
        <f t="shared" si="0"/>
        <v>70</v>
      </c>
      <c r="EM9" s="64">
        <f t="shared" si="0"/>
        <v>15</v>
      </c>
      <c r="EN9" s="64">
        <f t="shared" si="0"/>
        <v>15</v>
      </c>
      <c r="EO9" s="64">
        <f t="shared" si="0"/>
        <v>8</v>
      </c>
      <c r="EP9" s="64">
        <f t="shared" si="0"/>
        <v>0</v>
      </c>
      <c r="EQ9" s="64">
        <f t="shared" si="0"/>
        <v>0</v>
      </c>
      <c r="ER9" s="64">
        <f t="shared" si="0"/>
        <v>0</v>
      </c>
      <c r="ES9" s="64">
        <f t="shared" si="0"/>
        <v>44</v>
      </c>
      <c r="ET9" s="64">
        <f t="shared" si="0"/>
        <v>22</v>
      </c>
      <c r="EU9" s="64">
        <f t="shared" si="0"/>
        <v>15</v>
      </c>
      <c r="EV9" s="64">
        <f t="shared" si="0"/>
        <v>12</v>
      </c>
      <c r="EW9" s="64">
        <f t="shared" si="0"/>
        <v>0</v>
      </c>
      <c r="EX9" s="64">
        <f t="shared" si="0"/>
        <v>0</v>
      </c>
      <c r="EY9" s="64">
        <f t="shared" si="0"/>
        <v>20</v>
      </c>
      <c r="EZ9" s="64">
        <f t="shared" si="0"/>
        <v>31</v>
      </c>
      <c r="FA9" s="64">
        <f t="shared" si="0"/>
        <v>54</v>
      </c>
      <c r="FB9" s="64">
        <f t="shared" si="0"/>
        <v>19</v>
      </c>
      <c r="FC9" s="64">
        <f t="shared" si="0"/>
        <v>7</v>
      </c>
      <c r="FD9" s="64">
        <f t="shared" si="0"/>
        <v>0</v>
      </c>
      <c r="FE9" s="64">
        <f t="shared" si="0"/>
        <v>0</v>
      </c>
      <c r="FF9" s="64">
        <f t="shared" si="0"/>
        <v>0</v>
      </c>
      <c r="FG9" s="64">
        <f t="shared" si="0"/>
        <v>70</v>
      </c>
      <c r="FH9" s="64">
        <f t="shared" si="0"/>
        <v>15</v>
      </c>
      <c r="FI9" s="64">
        <f t="shared" si="0"/>
        <v>0</v>
      </c>
      <c r="FJ9" s="64">
        <f t="shared" si="0"/>
        <v>85</v>
      </c>
      <c r="FK9" s="64">
        <f t="shared" si="0"/>
        <v>0</v>
      </c>
      <c r="FL9" s="64">
        <f t="shared" si="0"/>
        <v>0</v>
      </c>
      <c r="FM9" s="64">
        <f t="shared" si="0"/>
        <v>44</v>
      </c>
      <c r="FN9" s="64">
        <f t="shared" si="0"/>
        <v>23</v>
      </c>
      <c r="FO9" s="64">
        <f t="shared" si="0"/>
        <v>69</v>
      </c>
      <c r="FP9" s="64">
        <f t="shared" si="0"/>
        <v>21</v>
      </c>
      <c r="FQ9" s="64">
        <f t="shared" si="0"/>
        <v>0</v>
      </c>
      <c r="FR9" s="64">
        <f t="shared" si="0"/>
        <v>1</v>
      </c>
      <c r="FS9" s="64">
        <f t="shared" si="0"/>
        <v>0</v>
      </c>
      <c r="FT9" s="64">
        <f t="shared" si="0"/>
        <v>44</v>
      </c>
      <c r="FU9" s="64">
        <f t="shared" si="0"/>
        <v>32</v>
      </c>
      <c r="FV9" s="64">
        <f t="shared" si="0"/>
        <v>0</v>
      </c>
      <c r="FW9" s="64">
        <f t="shared" si="0"/>
        <v>0</v>
      </c>
      <c r="FX9" s="64">
        <f t="shared" si="0"/>
        <v>0</v>
      </c>
      <c r="FY9" s="64">
        <f t="shared" si="0"/>
        <v>0</v>
      </c>
      <c r="FZ9" s="64">
        <f t="shared" si="0"/>
        <v>0</v>
      </c>
      <c r="GA9" s="64">
        <f t="shared" si="0"/>
        <v>0</v>
      </c>
      <c r="GB9" s="64">
        <f t="shared" si="0"/>
        <v>0</v>
      </c>
      <c r="GC9" s="64">
        <f t="shared" si="0"/>
        <v>0</v>
      </c>
      <c r="GD9" s="64">
        <f t="shared" si="0"/>
        <v>0</v>
      </c>
      <c r="GE9" s="64">
        <f t="shared" si="0"/>
        <v>0</v>
      </c>
      <c r="GF9" s="64">
        <f t="shared" si="0"/>
        <v>0</v>
      </c>
      <c r="GG9" s="64">
        <f t="shared" si="0"/>
        <v>0</v>
      </c>
      <c r="GH9" s="64">
        <f t="shared" si="0"/>
        <v>22</v>
      </c>
      <c r="GI9" s="64">
        <f t="shared" si="0"/>
        <v>0</v>
      </c>
      <c r="GJ9" s="64">
        <f t="shared" si="0"/>
        <v>19</v>
      </c>
      <c r="GK9" s="64">
        <f t="shared" si="0"/>
        <v>40</v>
      </c>
      <c r="GL9" s="64">
        <f t="shared" si="0"/>
        <v>86</v>
      </c>
      <c r="GM9" s="64">
        <f t="shared" si="0"/>
        <v>0</v>
      </c>
      <c r="GN9" s="64">
        <f t="shared" si="0"/>
        <v>0</v>
      </c>
      <c r="GO9" s="64">
        <f t="shared" si="0"/>
        <v>49</v>
      </c>
      <c r="GP9" s="64">
        <f t="shared" si="0"/>
        <v>0</v>
      </c>
      <c r="GQ9" s="64">
        <f t="shared" si="0"/>
        <v>0</v>
      </c>
      <c r="GR9" s="64">
        <f t="shared" si="0"/>
        <v>0</v>
      </c>
      <c r="GS9" s="64">
        <f t="shared" si="0"/>
        <v>16</v>
      </c>
      <c r="GT9" s="64">
        <f t="shared" si="0"/>
        <v>0</v>
      </c>
      <c r="GU9" s="64">
        <f t="shared" si="0"/>
        <v>67</v>
      </c>
      <c r="GV9" s="64">
        <f t="shared" si="0"/>
        <v>30</v>
      </c>
      <c r="GW9" s="64">
        <f t="shared" si="0"/>
        <v>0</v>
      </c>
      <c r="GX9" s="64">
        <f t="shared" si="0"/>
        <v>0</v>
      </c>
      <c r="GY9" s="64">
        <f t="shared" si="0"/>
        <v>0</v>
      </c>
      <c r="GZ9" s="64">
        <f t="shared" si="0"/>
        <v>54</v>
      </c>
      <c r="HA9" s="64">
        <f t="shared" si="0"/>
        <v>0</v>
      </c>
      <c r="HB9" s="64">
        <f t="shared" si="0"/>
        <v>0</v>
      </c>
      <c r="HC9" s="64">
        <f t="shared" si="0"/>
        <v>42</v>
      </c>
      <c r="HD9" s="64">
        <f t="shared" si="0"/>
        <v>0</v>
      </c>
      <c r="HE9" s="64">
        <f t="shared" si="0"/>
        <v>15</v>
      </c>
      <c r="HF9" s="64">
        <f t="shared" si="0"/>
        <v>17</v>
      </c>
      <c r="HG9" s="64">
        <f t="shared" si="0"/>
        <v>11</v>
      </c>
      <c r="HH9" s="64">
        <f t="shared" si="0"/>
        <v>0</v>
      </c>
      <c r="HI9" s="64">
        <f t="shared" si="0"/>
        <v>0</v>
      </c>
      <c r="HJ9" s="64">
        <f t="shared" si="0"/>
        <v>0</v>
      </c>
      <c r="HK9" s="64">
        <f t="shared" si="0"/>
        <v>20</v>
      </c>
      <c r="HL9" s="64">
        <f t="shared" si="0"/>
        <v>3</v>
      </c>
      <c r="HM9" s="64">
        <f t="shared" si="0"/>
        <v>15</v>
      </c>
      <c r="HN9" s="64">
        <f t="shared" si="0"/>
        <v>8</v>
      </c>
      <c r="HO9" s="64">
        <f t="shared" si="0"/>
        <v>0</v>
      </c>
      <c r="HP9" s="64">
        <f t="shared" si="0"/>
        <v>0</v>
      </c>
      <c r="HQ9" s="64">
        <f t="shared" si="0"/>
        <v>21</v>
      </c>
      <c r="HR9" s="64">
        <f t="shared" si="0"/>
        <v>1</v>
      </c>
      <c r="HS9" s="64">
        <f t="shared" si="0"/>
        <v>5</v>
      </c>
      <c r="HT9" s="64">
        <f t="shared" si="0"/>
        <v>5</v>
      </c>
      <c r="HU9" s="64">
        <f t="shared" si="0"/>
        <v>43</v>
      </c>
      <c r="HV9" s="64">
        <f t="shared" si="0"/>
        <v>0</v>
      </c>
      <c r="HW9" s="64">
        <f t="shared" si="0"/>
        <v>0</v>
      </c>
      <c r="HX9" s="64">
        <f t="shared" si="0"/>
        <v>226</v>
      </c>
      <c r="HY9" s="64">
        <f t="shared" si="0"/>
        <v>0</v>
      </c>
      <c r="HZ9" s="64">
        <f t="shared" si="0"/>
        <v>0</v>
      </c>
      <c r="IA9" s="64">
        <f t="shared" si="0"/>
        <v>0</v>
      </c>
      <c r="IB9" s="64">
        <f t="shared" si="0"/>
        <v>0</v>
      </c>
      <c r="IC9" s="64">
        <f t="shared" si="0"/>
        <v>0</v>
      </c>
      <c r="ID9" s="64">
        <f t="shared" si="0"/>
        <v>0</v>
      </c>
      <c r="IE9" s="64">
        <f t="shared" si="0"/>
        <v>0</v>
      </c>
      <c r="IF9" s="64">
        <f t="shared" si="0"/>
        <v>0</v>
      </c>
      <c r="IG9" s="64">
        <f t="shared" si="0"/>
        <v>206</v>
      </c>
      <c r="IH9" s="64">
        <f t="shared" si="0"/>
        <v>1</v>
      </c>
      <c r="II9" s="64">
        <f t="shared" si="0"/>
        <v>0</v>
      </c>
      <c r="IJ9" s="64">
        <f t="shared" si="0"/>
        <v>0</v>
      </c>
      <c r="IK9" s="64">
        <f t="shared" si="0"/>
        <v>179</v>
      </c>
      <c r="IL9" s="64">
        <f t="shared" si="0"/>
        <v>0</v>
      </c>
      <c r="IM9" s="64">
        <f t="shared" si="0"/>
        <v>2</v>
      </c>
      <c r="IN9" s="64">
        <f t="shared" si="0"/>
        <v>2</v>
      </c>
      <c r="IO9" s="64">
        <f t="shared" si="0"/>
        <v>0</v>
      </c>
      <c r="IP9" s="64">
        <f t="shared" si="0"/>
        <v>134</v>
      </c>
      <c r="IQ9" s="64">
        <f t="shared" si="0"/>
        <v>7</v>
      </c>
      <c r="IR9" s="64">
        <f t="shared" si="0"/>
        <v>0</v>
      </c>
      <c r="IS9" s="64">
        <f t="shared" si="0"/>
        <v>33</v>
      </c>
      <c r="IT9" s="64">
        <f t="shared" si="0"/>
        <v>0</v>
      </c>
      <c r="IU9" s="64">
        <f t="shared" si="0"/>
        <v>2</v>
      </c>
      <c r="IV9" s="64">
        <f t="shared" si="0"/>
        <v>45</v>
      </c>
      <c r="IW9" s="64">
        <f t="shared" si="0"/>
        <v>4</v>
      </c>
      <c r="IX9" s="64">
        <f t="shared" si="0"/>
        <v>0</v>
      </c>
      <c r="IY9" s="64">
        <f t="shared" si="0"/>
        <v>0</v>
      </c>
      <c r="IZ9" s="64">
        <f t="shared" si="0"/>
        <v>2</v>
      </c>
      <c r="JA9" s="64">
        <f t="shared" si="0"/>
        <v>7</v>
      </c>
      <c r="JB9" s="64">
        <f t="shared" si="0"/>
        <v>4</v>
      </c>
      <c r="JC9" s="64">
        <f t="shared" si="0"/>
        <v>0</v>
      </c>
      <c r="JD9" s="64">
        <f t="shared" si="0"/>
        <v>0</v>
      </c>
      <c r="JE9" s="64">
        <f t="shared" si="0"/>
        <v>0</v>
      </c>
      <c r="JF9" s="64">
        <f t="shared" si="0"/>
        <v>0</v>
      </c>
      <c r="JG9" s="64">
        <f t="shared" si="0"/>
        <v>0</v>
      </c>
      <c r="JH9" s="64">
        <f t="shared" si="0"/>
        <v>0</v>
      </c>
      <c r="JI9" s="64">
        <f t="shared" si="0"/>
        <v>2</v>
      </c>
      <c r="JJ9" s="64">
        <f t="shared" si="0"/>
        <v>32</v>
      </c>
      <c r="JK9" s="64">
        <f t="shared" si="0"/>
        <v>0</v>
      </c>
      <c r="JL9" s="64">
        <f t="shared" si="0"/>
        <v>0</v>
      </c>
      <c r="JM9" s="64">
        <f t="shared" si="0"/>
        <v>0</v>
      </c>
      <c r="JN9" s="64">
        <f t="shared" si="0"/>
        <v>22</v>
      </c>
      <c r="JO9" s="64">
        <f t="shared" si="0"/>
        <v>1</v>
      </c>
      <c r="JP9" s="64">
        <f t="shared" si="0"/>
        <v>10</v>
      </c>
      <c r="JQ9" s="64">
        <f t="shared" si="0"/>
        <v>0</v>
      </c>
      <c r="JR9" s="64">
        <f t="shared" si="0"/>
        <v>-1</v>
      </c>
      <c r="JS9" s="64">
        <f t="shared" si="0"/>
        <v>0</v>
      </c>
      <c r="JT9" s="64">
        <f t="shared" si="0"/>
        <v>0</v>
      </c>
      <c r="JU9" s="64">
        <f t="shared" si="0"/>
        <v>0</v>
      </c>
      <c r="JV9" s="64">
        <f t="shared" si="0"/>
        <v>5</v>
      </c>
      <c r="JW9" s="64">
        <f t="shared" si="0"/>
        <v>0</v>
      </c>
      <c r="JX9" s="64">
        <f t="shared" si="0"/>
        <v>0</v>
      </c>
      <c r="JY9" s="64">
        <f t="shared" si="0"/>
        <v>15</v>
      </c>
      <c r="JZ9" s="64">
        <f t="shared" si="0"/>
        <v>0</v>
      </c>
      <c r="KA9" s="64">
        <f t="shared" si="0"/>
        <v>0</v>
      </c>
      <c r="KB9" s="64">
        <f t="shared" ref="KB9:TV9" si="1">KB8-KA8</f>
        <v>0</v>
      </c>
      <c r="KC9" s="64">
        <f t="shared" si="1"/>
        <v>0</v>
      </c>
      <c r="KD9" s="64">
        <f t="shared" si="1"/>
        <v>0</v>
      </c>
      <c r="KE9" s="64">
        <f t="shared" si="1"/>
        <v>5</v>
      </c>
      <c r="KF9" s="64">
        <f t="shared" si="1"/>
        <v>0</v>
      </c>
      <c r="KG9" s="64">
        <f t="shared" si="1"/>
        <v>0</v>
      </c>
      <c r="KH9" s="64">
        <f t="shared" si="1"/>
        <v>0</v>
      </c>
      <c r="KI9" s="64">
        <f t="shared" si="1"/>
        <v>11</v>
      </c>
      <c r="KJ9" s="64">
        <f t="shared" si="1"/>
        <v>0</v>
      </c>
      <c r="KK9" s="64">
        <f t="shared" si="1"/>
        <v>22</v>
      </c>
      <c r="KL9" s="64">
        <f t="shared" si="1"/>
        <v>10</v>
      </c>
      <c r="KM9" s="64">
        <f t="shared" si="1"/>
        <v>0</v>
      </c>
      <c r="KN9" s="64">
        <f t="shared" si="1"/>
        <v>0</v>
      </c>
      <c r="KO9" s="64">
        <f t="shared" si="1"/>
        <v>0</v>
      </c>
      <c r="KP9" s="64">
        <f t="shared" si="1"/>
        <v>0</v>
      </c>
      <c r="KQ9" s="64">
        <f t="shared" si="1"/>
        <v>0</v>
      </c>
      <c r="KR9" s="64">
        <f t="shared" si="1"/>
        <v>-1</v>
      </c>
      <c r="KS9" s="64">
        <f t="shared" si="1"/>
        <v>0</v>
      </c>
      <c r="KT9" s="64">
        <f t="shared" si="1"/>
        <v>0</v>
      </c>
      <c r="KU9" s="64">
        <f t="shared" si="1"/>
        <v>0</v>
      </c>
      <c r="KV9" s="64">
        <f t="shared" si="1"/>
        <v>0</v>
      </c>
      <c r="KW9" s="64">
        <f t="shared" si="1"/>
        <v>11</v>
      </c>
      <c r="KX9" s="64">
        <f t="shared" si="1"/>
        <v>0</v>
      </c>
      <c r="KY9" s="64">
        <f t="shared" si="1"/>
        <v>0</v>
      </c>
      <c r="KZ9" s="64">
        <f t="shared" si="1"/>
        <v>0</v>
      </c>
      <c r="LA9" s="64">
        <f t="shared" si="1"/>
        <v>0</v>
      </c>
      <c r="LB9" s="64">
        <f t="shared" si="1"/>
        <v>0</v>
      </c>
      <c r="LC9" s="64">
        <f t="shared" si="1"/>
        <v>0</v>
      </c>
      <c r="LD9" s="64">
        <f t="shared" si="1"/>
        <v>0</v>
      </c>
      <c r="LE9" s="64">
        <f t="shared" si="1"/>
        <v>49</v>
      </c>
      <c r="LF9" s="64">
        <f t="shared" si="1"/>
        <v>-1</v>
      </c>
      <c r="LG9" s="64">
        <f t="shared" si="1"/>
        <v>3</v>
      </c>
      <c r="LH9" s="64">
        <f t="shared" si="1"/>
        <v>0</v>
      </c>
      <c r="LI9" s="64">
        <f t="shared" si="1"/>
        <v>0</v>
      </c>
      <c r="LJ9" s="64">
        <f t="shared" si="1"/>
        <v>0</v>
      </c>
      <c r="LK9" s="64">
        <f t="shared" si="1"/>
        <v>0</v>
      </c>
      <c r="LL9" s="64">
        <f t="shared" si="1"/>
        <v>0</v>
      </c>
      <c r="LM9" s="64">
        <f t="shared" si="1"/>
        <v>-9</v>
      </c>
      <c r="LN9" s="64">
        <f t="shared" si="1"/>
        <v>0</v>
      </c>
      <c r="LO9" s="64">
        <f t="shared" si="1"/>
        <v>0</v>
      </c>
      <c r="LP9" s="64">
        <f t="shared" si="1"/>
        <v>0</v>
      </c>
      <c r="LQ9" s="64">
        <f t="shared" si="1"/>
        <v>0</v>
      </c>
      <c r="LR9" s="64">
        <f t="shared" si="1"/>
        <v>0</v>
      </c>
      <c r="LS9" s="64">
        <f t="shared" si="1"/>
        <v>2</v>
      </c>
      <c r="LT9" s="64">
        <f t="shared" si="1"/>
        <v>0</v>
      </c>
      <c r="LU9" s="64">
        <f t="shared" si="1"/>
        <v>0</v>
      </c>
      <c r="LV9" s="64">
        <f t="shared" si="1"/>
        <v>0</v>
      </c>
      <c r="LW9" s="64">
        <f t="shared" si="1"/>
        <v>0</v>
      </c>
      <c r="LX9" s="64">
        <f t="shared" si="1"/>
        <v>0</v>
      </c>
      <c r="LY9" s="64">
        <f t="shared" si="1"/>
        <v>0</v>
      </c>
      <c r="LZ9" s="64">
        <f t="shared" si="1"/>
        <v>0</v>
      </c>
      <c r="MA9" s="64">
        <f t="shared" si="1"/>
        <v>-15</v>
      </c>
      <c r="MB9" s="64">
        <f t="shared" si="1"/>
        <v>0</v>
      </c>
      <c r="MC9" s="64">
        <f t="shared" si="1"/>
        <v>255</v>
      </c>
      <c r="MD9" s="64">
        <f t="shared" si="1"/>
        <v>0</v>
      </c>
      <c r="ME9" s="64">
        <f t="shared" si="1"/>
        <v>0</v>
      </c>
      <c r="MF9" s="64">
        <f t="shared" si="1"/>
        <v>0</v>
      </c>
      <c r="MG9" s="64">
        <f t="shared" si="1"/>
        <v>0</v>
      </c>
      <c r="MH9" s="64">
        <f t="shared" si="1"/>
        <v>0</v>
      </c>
      <c r="MI9" s="64">
        <f t="shared" si="1"/>
        <v>59</v>
      </c>
      <c r="MJ9" s="64">
        <f t="shared" si="1"/>
        <v>-9</v>
      </c>
      <c r="MK9" s="64">
        <f t="shared" si="1"/>
        <v>0</v>
      </c>
      <c r="ML9" s="64">
        <f t="shared" si="1"/>
        <v>0</v>
      </c>
      <c r="MM9" s="64">
        <f t="shared" si="1"/>
        <v>35</v>
      </c>
      <c r="MN9" s="64">
        <f t="shared" si="1"/>
        <v>0</v>
      </c>
      <c r="MO9" s="64">
        <f t="shared" si="1"/>
        <v>37</v>
      </c>
      <c r="MP9" s="64">
        <f t="shared" si="1"/>
        <v>2</v>
      </c>
      <c r="MQ9" s="64">
        <f t="shared" si="1"/>
        <v>0</v>
      </c>
      <c r="MR9" s="64">
        <f t="shared" si="1"/>
        <v>0</v>
      </c>
      <c r="MS9" s="64">
        <f t="shared" si="1"/>
        <v>0</v>
      </c>
      <c r="MT9" s="64">
        <f t="shared" si="1"/>
        <v>0</v>
      </c>
      <c r="MU9" s="64">
        <f t="shared" si="1"/>
        <v>0</v>
      </c>
      <c r="MV9" s="64">
        <f t="shared" si="1"/>
        <v>0</v>
      </c>
      <c r="MW9" s="64">
        <f t="shared" si="1"/>
        <v>0</v>
      </c>
      <c r="MX9" s="64">
        <f t="shared" si="1"/>
        <v>0</v>
      </c>
      <c r="MY9" s="64">
        <f t="shared" si="1"/>
        <v>0</v>
      </c>
      <c r="MZ9" s="64">
        <f t="shared" si="1"/>
        <v>0</v>
      </c>
      <c r="NA9" s="64">
        <f t="shared" si="1"/>
        <v>0</v>
      </c>
      <c r="NB9" s="64">
        <f t="shared" si="1"/>
        <v>0</v>
      </c>
      <c r="NC9" s="64">
        <f t="shared" si="1"/>
        <v>0</v>
      </c>
      <c r="ND9" s="64">
        <f t="shared" si="1"/>
        <v>0</v>
      </c>
      <c r="NE9" s="64">
        <f t="shared" si="1"/>
        <v>0</v>
      </c>
      <c r="NF9" s="64">
        <f t="shared" si="1"/>
        <v>0</v>
      </c>
      <c r="NG9" s="64">
        <f t="shared" si="1"/>
        <v>0</v>
      </c>
      <c r="NH9" s="64">
        <f t="shared" si="1"/>
        <v>-3</v>
      </c>
      <c r="NI9" s="64">
        <f t="shared" si="1"/>
        <v>-5</v>
      </c>
      <c r="NJ9" s="64">
        <f t="shared" si="1"/>
        <v>16</v>
      </c>
      <c r="NK9" s="64">
        <f t="shared" si="1"/>
        <v>0</v>
      </c>
      <c r="NL9" s="64">
        <f t="shared" si="1"/>
        <v>0</v>
      </c>
      <c r="NM9" s="64">
        <f t="shared" si="1"/>
        <v>0</v>
      </c>
      <c r="NN9" s="64">
        <f t="shared" si="1"/>
        <v>0</v>
      </c>
      <c r="NO9" s="64">
        <f t="shared" si="1"/>
        <v>22</v>
      </c>
      <c r="NP9" s="64">
        <f t="shared" si="1"/>
        <v>1</v>
      </c>
      <c r="NQ9" s="64">
        <f t="shared" si="1"/>
        <v>0</v>
      </c>
      <c r="NR9" s="64">
        <f t="shared" si="1"/>
        <v>0</v>
      </c>
      <c r="NS9" s="64">
        <f t="shared" si="1"/>
        <v>-1</v>
      </c>
      <c r="NT9" s="64">
        <f t="shared" si="1"/>
        <v>0</v>
      </c>
      <c r="NU9" s="64">
        <f t="shared" si="1"/>
        <v>0</v>
      </c>
      <c r="NV9" s="64">
        <f t="shared" si="1"/>
        <v>14</v>
      </c>
      <c r="NW9" s="64">
        <f t="shared" si="1"/>
        <v>0</v>
      </c>
      <c r="NX9" s="64">
        <f t="shared" si="1"/>
        <v>0</v>
      </c>
      <c r="NY9" s="64">
        <f t="shared" si="1"/>
        <v>0</v>
      </c>
      <c r="NZ9" s="64">
        <f t="shared" si="1"/>
        <v>0</v>
      </c>
      <c r="OA9" s="64">
        <f t="shared" si="1"/>
        <v>0</v>
      </c>
      <c r="OB9" s="64">
        <f t="shared" si="1"/>
        <v>0</v>
      </c>
      <c r="OC9" s="64">
        <f t="shared" si="1"/>
        <v>0</v>
      </c>
      <c r="OD9" s="64">
        <f t="shared" si="1"/>
        <v>38</v>
      </c>
      <c r="OE9" s="64">
        <f t="shared" si="1"/>
        <v>52</v>
      </c>
      <c r="OF9" s="64">
        <f t="shared" si="1"/>
        <v>35</v>
      </c>
      <c r="OG9" s="64">
        <f t="shared" si="1"/>
        <v>40</v>
      </c>
      <c r="OH9" s="64">
        <f t="shared" si="1"/>
        <v>0</v>
      </c>
      <c r="OI9" s="64">
        <f t="shared" si="1"/>
        <v>0</v>
      </c>
      <c r="OJ9" s="64">
        <f t="shared" si="1"/>
        <v>21</v>
      </c>
      <c r="OK9" s="64">
        <f t="shared" si="1"/>
        <v>22</v>
      </c>
      <c r="OL9" s="64">
        <f t="shared" si="1"/>
        <v>0</v>
      </c>
      <c r="OM9" s="64">
        <f t="shared" si="1"/>
        <v>8</v>
      </c>
      <c r="ON9" s="64">
        <f t="shared" si="1"/>
        <v>12</v>
      </c>
      <c r="OO9" s="64">
        <f t="shared" si="1"/>
        <v>0</v>
      </c>
      <c r="OP9" s="64">
        <f t="shared" si="1"/>
        <v>0</v>
      </c>
      <c r="OQ9" s="64">
        <f t="shared" si="1"/>
        <v>0</v>
      </c>
      <c r="OR9" s="64">
        <f t="shared" si="1"/>
        <v>50</v>
      </c>
      <c r="OS9" s="64">
        <f t="shared" si="1"/>
        <v>79</v>
      </c>
      <c r="OT9" s="64">
        <f t="shared" si="1"/>
        <v>40</v>
      </c>
      <c r="OU9" s="64">
        <f t="shared" si="1"/>
        <v>34</v>
      </c>
      <c r="OV9" s="64">
        <f t="shared" si="1"/>
        <v>0</v>
      </c>
      <c r="OW9" s="64">
        <f t="shared" si="1"/>
        <v>79</v>
      </c>
      <c r="OX9" s="64">
        <f t="shared" si="1"/>
        <v>49</v>
      </c>
      <c r="OY9" s="64">
        <f t="shared" si="1"/>
        <v>43</v>
      </c>
      <c r="OZ9" s="64">
        <f t="shared" si="1"/>
        <v>116</v>
      </c>
      <c r="PA9" s="64">
        <f t="shared" si="1"/>
        <v>115</v>
      </c>
      <c r="PB9" s="64">
        <f t="shared" si="1"/>
        <v>12</v>
      </c>
      <c r="PC9" s="64">
        <f t="shared" si="1"/>
        <v>76</v>
      </c>
      <c r="PD9" s="64">
        <f t="shared" si="1"/>
        <v>0</v>
      </c>
      <c r="PE9" s="64">
        <f t="shared" si="1"/>
        <v>14</v>
      </c>
      <c r="PF9" s="64">
        <f t="shared" si="1"/>
        <v>42</v>
      </c>
      <c r="PG9" s="64">
        <f t="shared" si="1"/>
        <v>134</v>
      </c>
      <c r="PH9" s="64">
        <f t="shared" si="1"/>
        <v>96</v>
      </c>
      <c r="PI9" s="64">
        <f t="shared" si="1"/>
        <v>31</v>
      </c>
      <c r="PJ9" s="64">
        <f t="shared" si="1"/>
        <v>0</v>
      </c>
      <c r="PK9" s="64">
        <f t="shared" si="1"/>
        <v>0</v>
      </c>
      <c r="PL9" s="64">
        <f t="shared" si="1"/>
        <v>32</v>
      </c>
      <c r="PM9" s="64">
        <f t="shared" si="1"/>
        <v>32</v>
      </c>
      <c r="PN9" s="64">
        <f t="shared" si="1"/>
        <v>3</v>
      </c>
      <c r="PO9" s="64">
        <f t="shared" si="1"/>
        <v>0</v>
      </c>
      <c r="PP9" s="64">
        <f t="shared" si="1"/>
        <v>22</v>
      </c>
      <c r="PQ9" s="64">
        <f t="shared" si="1"/>
        <v>0</v>
      </c>
      <c r="PR9" s="64">
        <f t="shared" si="1"/>
        <v>0</v>
      </c>
      <c r="PS9" s="64">
        <f t="shared" si="1"/>
        <v>-2</v>
      </c>
      <c r="PT9" s="64">
        <f t="shared" si="1"/>
        <v>57</v>
      </c>
      <c r="PU9" s="64">
        <f t="shared" si="1"/>
        <v>11</v>
      </c>
      <c r="PV9" s="64">
        <f t="shared" si="1"/>
        <v>24</v>
      </c>
      <c r="PW9" s="64">
        <f t="shared" si="1"/>
        <v>100</v>
      </c>
      <c r="PX9" s="64">
        <f t="shared" si="1"/>
        <v>0</v>
      </c>
      <c r="PY9" s="64">
        <f t="shared" si="1"/>
        <v>0</v>
      </c>
      <c r="PZ9" s="64">
        <f t="shared" si="1"/>
        <v>46</v>
      </c>
      <c r="QA9" s="64">
        <f t="shared" si="1"/>
        <v>-1</v>
      </c>
      <c r="QB9" s="64">
        <f t="shared" si="1"/>
        <v>132</v>
      </c>
      <c r="QC9" s="64">
        <f t="shared" si="1"/>
        <v>0</v>
      </c>
      <c r="QD9" s="64">
        <f t="shared" si="1"/>
        <v>80</v>
      </c>
      <c r="QE9" s="64">
        <f t="shared" si="1"/>
        <v>0</v>
      </c>
      <c r="QF9" s="64">
        <f t="shared" si="1"/>
        <v>45</v>
      </c>
      <c r="QG9" s="64">
        <f t="shared" si="1"/>
        <v>0</v>
      </c>
      <c r="QH9" s="64">
        <f t="shared" si="1"/>
        <v>0</v>
      </c>
      <c r="QI9" s="64">
        <f t="shared" si="1"/>
        <v>0</v>
      </c>
      <c r="QJ9" s="64">
        <f t="shared" si="1"/>
        <v>182</v>
      </c>
      <c r="QK9" s="64">
        <f t="shared" si="1"/>
        <v>89</v>
      </c>
      <c r="QL9" s="64">
        <f t="shared" si="1"/>
        <v>0</v>
      </c>
      <c r="QM9" s="64">
        <f t="shared" si="1"/>
        <v>0</v>
      </c>
      <c r="QN9" s="64">
        <f t="shared" si="1"/>
        <v>40</v>
      </c>
      <c r="QO9" s="64">
        <f t="shared" si="1"/>
        <v>497</v>
      </c>
      <c r="QP9" s="64">
        <f t="shared" si="1"/>
        <v>-4</v>
      </c>
      <c r="QQ9" s="64">
        <f t="shared" si="1"/>
        <v>0</v>
      </c>
      <c r="QR9" s="64">
        <f t="shared" si="1"/>
        <v>351</v>
      </c>
      <c r="QS9" s="64">
        <f t="shared" si="1"/>
        <v>0</v>
      </c>
      <c r="QT9" s="64">
        <f t="shared" si="1"/>
        <v>0</v>
      </c>
      <c r="QU9" s="64">
        <f t="shared" si="1"/>
        <v>-2</v>
      </c>
      <c r="QV9" s="64">
        <f t="shared" si="1"/>
        <v>198</v>
      </c>
      <c r="QW9" s="64">
        <f t="shared" si="1"/>
        <v>39</v>
      </c>
      <c r="QX9" s="64">
        <f t="shared" si="1"/>
        <v>0</v>
      </c>
      <c r="QY9" s="64">
        <f t="shared" si="1"/>
        <v>0</v>
      </c>
      <c r="QZ9" s="64">
        <f t="shared" si="1"/>
        <v>0</v>
      </c>
      <c r="RA9" s="64">
        <f t="shared" si="1"/>
        <v>0</v>
      </c>
      <c r="RB9" s="64">
        <f t="shared" si="1"/>
        <v>-3</v>
      </c>
      <c r="RC9" s="64">
        <f t="shared" si="1"/>
        <v>93</v>
      </c>
      <c r="RD9" s="64">
        <f t="shared" si="1"/>
        <v>0</v>
      </c>
      <c r="RE9" s="64">
        <f t="shared" si="1"/>
        <v>57</v>
      </c>
      <c r="RF9" s="64">
        <f t="shared" si="1"/>
        <v>0</v>
      </c>
      <c r="RG9" s="64">
        <f t="shared" si="1"/>
        <v>0</v>
      </c>
      <c r="RH9" s="64">
        <f t="shared" si="1"/>
        <v>0</v>
      </c>
      <c r="RI9" s="64">
        <f t="shared" si="1"/>
        <v>69</v>
      </c>
      <c r="RJ9" s="64">
        <f t="shared" si="1"/>
        <v>56</v>
      </c>
      <c r="RK9" s="64">
        <f t="shared" si="1"/>
        <v>0</v>
      </c>
      <c r="RL9" s="64">
        <f t="shared" si="1"/>
        <v>1</v>
      </c>
      <c r="RM9" s="64">
        <f t="shared" si="1"/>
        <v>149</v>
      </c>
      <c r="RN9" s="64">
        <f t="shared" si="1"/>
        <v>0</v>
      </c>
      <c r="RO9" s="64">
        <f t="shared" si="1"/>
        <v>0</v>
      </c>
      <c r="RP9" s="64">
        <f t="shared" si="1"/>
        <v>60</v>
      </c>
      <c r="RQ9" s="64">
        <f t="shared" si="1"/>
        <v>0</v>
      </c>
      <c r="RR9" s="64">
        <f t="shared" si="1"/>
        <v>-4</v>
      </c>
      <c r="RS9" s="64">
        <f t="shared" si="1"/>
        <v>-1</v>
      </c>
      <c r="RT9" s="64">
        <f t="shared" si="1"/>
        <v>0</v>
      </c>
      <c r="RU9" s="64">
        <f t="shared" si="1"/>
        <v>0</v>
      </c>
      <c r="RV9" s="64">
        <f t="shared" si="1"/>
        <v>0</v>
      </c>
      <c r="RW9" s="64">
        <f t="shared" si="1"/>
        <v>0</v>
      </c>
      <c r="RX9" s="64">
        <f t="shared" si="1"/>
        <v>167</v>
      </c>
      <c r="RY9" s="64">
        <f t="shared" si="1"/>
        <v>142</v>
      </c>
      <c r="RZ9" s="64">
        <f t="shared" si="1"/>
        <v>50</v>
      </c>
      <c r="SA9" s="64">
        <f t="shared" si="1"/>
        <v>0</v>
      </c>
      <c r="SB9" s="64">
        <f t="shared" si="1"/>
        <v>0</v>
      </c>
      <c r="SC9" s="64">
        <f t="shared" si="1"/>
        <v>0</v>
      </c>
      <c r="SD9" s="64">
        <f t="shared" si="1"/>
        <v>206</v>
      </c>
      <c r="SE9" s="64">
        <f t="shared" si="1"/>
        <v>0</v>
      </c>
      <c r="SF9" s="64">
        <f t="shared" si="1"/>
        <v>27</v>
      </c>
      <c r="SG9" s="64">
        <f t="shared" si="1"/>
        <v>79</v>
      </c>
      <c r="SH9" s="64">
        <f t="shared" si="1"/>
        <v>0</v>
      </c>
      <c r="SI9" s="64">
        <f t="shared" si="1"/>
        <v>1</v>
      </c>
      <c r="SJ9" s="64">
        <f t="shared" si="1"/>
        <v>0</v>
      </c>
      <c r="SK9" s="64">
        <f t="shared" si="1"/>
        <v>133</v>
      </c>
      <c r="SL9" s="64">
        <f t="shared" si="1"/>
        <v>172</v>
      </c>
      <c r="SM9" s="64">
        <f t="shared" si="1"/>
        <v>33</v>
      </c>
      <c r="SN9" s="64">
        <f t="shared" si="1"/>
        <v>0</v>
      </c>
      <c r="SO9" s="64">
        <f t="shared" si="1"/>
        <v>67</v>
      </c>
      <c r="SP9" s="64">
        <f t="shared" si="1"/>
        <v>0</v>
      </c>
      <c r="SQ9" s="64">
        <f t="shared" si="1"/>
        <v>0</v>
      </c>
      <c r="SR9" s="64">
        <f t="shared" si="1"/>
        <v>0</v>
      </c>
      <c r="SS9" s="64">
        <f t="shared" si="1"/>
        <v>134</v>
      </c>
      <c r="ST9" s="64">
        <f t="shared" si="1"/>
        <v>136</v>
      </c>
      <c r="SU9" s="64">
        <f t="shared" si="1"/>
        <v>73</v>
      </c>
      <c r="SV9" s="64">
        <f t="shared" si="1"/>
        <v>44</v>
      </c>
      <c r="SW9" s="64">
        <f t="shared" si="1"/>
        <v>0</v>
      </c>
      <c r="SX9" s="64">
        <f t="shared" si="1"/>
        <v>0</v>
      </c>
      <c r="SY9" s="64">
        <f t="shared" si="1"/>
        <v>-1</v>
      </c>
      <c r="SZ9" s="64">
        <f t="shared" si="1"/>
        <v>0</v>
      </c>
      <c r="TA9" s="64">
        <f t="shared" si="1"/>
        <v>68</v>
      </c>
      <c r="TB9" s="64">
        <f t="shared" si="1"/>
        <v>-1</v>
      </c>
      <c r="TC9" s="64">
        <f t="shared" si="1"/>
        <v>162</v>
      </c>
      <c r="TD9" s="64">
        <f t="shared" si="1"/>
        <v>0</v>
      </c>
      <c r="TE9" s="64">
        <f t="shared" si="1"/>
        <v>0</v>
      </c>
      <c r="TF9" s="64">
        <f t="shared" si="1"/>
        <v>39</v>
      </c>
      <c r="TG9" s="64">
        <f t="shared" si="1"/>
        <v>364</v>
      </c>
      <c r="TH9" s="64">
        <f t="shared" si="1"/>
        <v>130</v>
      </c>
      <c r="TI9" s="64">
        <f t="shared" si="1"/>
        <v>-2</v>
      </c>
      <c r="TJ9" s="64">
        <f t="shared" si="1"/>
        <v>0</v>
      </c>
      <c r="TK9" s="64">
        <f t="shared" si="1"/>
        <v>0</v>
      </c>
      <c r="TL9" s="64">
        <f t="shared" si="1"/>
        <v>0</v>
      </c>
      <c r="TM9" s="64">
        <f t="shared" si="1"/>
        <v>200</v>
      </c>
      <c r="TN9" s="64">
        <f t="shared" si="1"/>
        <v>281</v>
      </c>
      <c r="TO9" s="64">
        <f t="shared" si="1"/>
        <v>156</v>
      </c>
      <c r="TP9" s="64">
        <f t="shared" si="1"/>
        <v>28</v>
      </c>
      <c r="TQ9" s="64">
        <f t="shared" si="1"/>
        <v>0</v>
      </c>
      <c r="TR9" s="64">
        <f t="shared" si="1"/>
        <v>0</v>
      </c>
      <c r="TS9" s="64">
        <f t="shared" si="1"/>
        <v>0</v>
      </c>
      <c r="TT9" s="64">
        <f t="shared" si="1"/>
        <v>0</v>
      </c>
      <c r="TU9" s="64">
        <f t="shared" si="1"/>
        <v>430</v>
      </c>
      <c r="TV9" s="64">
        <f t="shared" si="1"/>
        <v>47</v>
      </c>
      <c r="TW9" s="64">
        <f t="shared" ref="TW9:VR9" si="2">TW8-TV8</f>
        <v>16</v>
      </c>
      <c r="TX9" s="64">
        <f t="shared" si="2"/>
        <v>133</v>
      </c>
      <c r="TY9" s="64">
        <f t="shared" si="2"/>
        <v>0</v>
      </c>
      <c r="TZ9" s="64">
        <f t="shared" si="2"/>
        <v>0</v>
      </c>
      <c r="UA9" s="64">
        <f t="shared" si="2"/>
        <v>11</v>
      </c>
      <c r="UB9" s="64">
        <f t="shared" si="2"/>
        <v>296</v>
      </c>
      <c r="UC9" s="64">
        <f t="shared" si="2"/>
        <v>12</v>
      </c>
      <c r="UD9" s="64">
        <f t="shared" si="2"/>
        <v>0</v>
      </c>
      <c r="UE9" s="64">
        <f t="shared" si="2"/>
        <v>-6</v>
      </c>
      <c r="UF9" s="64">
        <f t="shared" si="2"/>
        <v>0</v>
      </c>
      <c r="UG9" s="64">
        <f t="shared" si="2"/>
        <v>0</v>
      </c>
      <c r="UH9" s="64">
        <f t="shared" si="2"/>
        <v>0</v>
      </c>
      <c r="UI9" s="64">
        <f t="shared" si="2"/>
        <v>-3</v>
      </c>
      <c r="UJ9" s="64">
        <f t="shared" si="2"/>
        <v>118</v>
      </c>
      <c r="UK9" s="64">
        <f t="shared" si="2"/>
        <v>14</v>
      </c>
      <c r="UL9" s="64">
        <f t="shared" si="2"/>
        <v>0</v>
      </c>
      <c r="UM9" s="64">
        <f t="shared" si="2"/>
        <v>0</v>
      </c>
      <c r="UN9" s="64">
        <f t="shared" si="2"/>
        <v>0</v>
      </c>
      <c r="UO9" s="64">
        <f t="shared" si="2"/>
        <v>23</v>
      </c>
      <c r="UP9" s="64">
        <f t="shared" si="2"/>
        <v>0</v>
      </c>
      <c r="UQ9" s="64">
        <f t="shared" si="2"/>
        <v>44</v>
      </c>
      <c r="UR9" s="64">
        <f t="shared" si="2"/>
        <v>12</v>
      </c>
      <c r="US9" s="64">
        <f t="shared" si="2"/>
        <v>12</v>
      </c>
      <c r="UT9" s="64">
        <f t="shared" si="2"/>
        <v>0</v>
      </c>
      <c r="UU9" s="64">
        <f t="shared" si="2"/>
        <v>0</v>
      </c>
      <c r="UV9" s="64">
        <f t="shared" si="2"/>
        <v>0</v>
      </c>
      <c r="UW9" s="64">
        <f t="shared" si="2"/>
        <v>303</v>
      </c>
      <c r="UX9" s="64">
        <f t="shared" si="2"/>
        <v>30</v>
      </c>
      <c r="UY9" s="64">
        <f t="shared" si="2"/>
        <v>84</v>
      </c>
      <c r="UZ9" s="64">
        <f t="shared" si="2"/>
        <v>0</v>
      </c>
      <c r="VA9" s="64">
        <f t="shared" si="2"/>
        <v>0</v>
      </c>
      <c r="VB9" s="64">
        <f t="shared" si="2"/>
        <v>0</v>
      </c>
      <c r="VC9" s="64">
        <f t="shared" si="2"/>
        <v>12</v>
      </c>
      <c r="VD9" s="64">
        <f t="shared" si="2"/>
        <v>4</v>
      </c>
      <c r="VE9" s="64">
        <f t="shared" si="2"/>
        <v>114</v>
      </c>
      <c r="VF9" s="64">
        <f t="shared" si="2"/>
        <v>0</v>
      </c>
      <c r="VG9" s="154">
        <f t="shared" si="2"/>
        <v>140</v>
      </c>
      <c r="VH9" s="154">
        <f t="shared" si="2"/>
        <v>57</v>
      </c>
      <c r="VI9" s="154">
        <f t="shared" si="2"/>
        <v>1</v>
      </c>
      <c r="VJ9" s="154">
        <f t="shared" si="2"/>
        <v>0</v>
      </c>
      <c r="VK9" s="154">
        <f t="shared" si="2"/>
        <v>-1</v>
      </c>
      <c r="VL9" s="154">
        <f t="shared" si="2"/>
        <v>0</v>
      </c>
      <c r="VM9" s="154">
        <f t="shared" si="2"/>
        <v>96</v>
      </c>
      <c r="VN9" s="154">
        <f t="shared" si="2"/>
        <v>0</v>
      </c>
      <c r="VO9" s="154">
        <f t="shared" si="2"/>
        <v>117</v>
      </c>
      <c r="VP9" s="154">
        <f t="shared" si="2"/>
        <v>0</v>
      </c>
      <c r="VQ9" s="154">
        <f t="shared" si="2"/>
        <v>0</v>
      </c>
      <c r="VR9" s="154">
        <f t="shared" si="2"/>
        <v>33</v>
      </c>
      <c r="VS9" s="154">
        <v>135</v>
      </c>
      <c r="VT9" s="154">
        <f t="shared" ref="VT9:WH9" si="3">VT8-VS8</f>
        <v>0</v>
      </c>
      <c r="VU9" s="154">
        <f t="shared" si="3"/>
        <v>0</v>
      </c>
      <c r="VV9" s="154">
        <f t="shared" si="3"/>
        <v>37</v>
      </c>
      <c r="VW9" s="154">
        <f t="shared" si="3"/>
        <v>0</v>
      </c>
      <c r="VX9" s="154">
        <f t="shared" si="3"/>
        <v>0</v>
      </c>
      <c r="VY9" s="154">
        <f t="shared" si="3"/>
        <v>0</v>
      </c>
      <c r="VZ9" s="154">
        <f t="shared" si="3"/>
        <v>0</v>
      </c>
      <c r="WA9" s="154">
        <f t="shared" si="3"/>
        <v>107</v>
      </c>
      <c r="WB9" s="154">
        <f t="shared" si="3"/>
        <v>0</v>
      </c>
      <c r="WC9" s="154">
        <f t="shared" si="3"/>
        <v>0</v>
      </c>
      <c r="WD9" s="154">
        <f t="shared" si="3"/>
        <v>0</v>
      </c>
      <c r="WE9" s="154">
        <f t="shared" si="3"/>
        <v>0</v>
      </c>
      <c r="WF9" s="154">
        <f t="shared" si="3"/>
        <v>0</v>
      </c>
      <c r="WG9" s="154">
        <f t="shared" si="3"/>
        <v>192</v>
      </c>
      <c r="WH9" s="154">
        <f t="shared" si="3"/>
        <v>0</v>
      </c>
      <c r="WI9" s="154">
        <v>11</v>
      </c>
      <c r="WJ9" s="154">
        <f t="shared" ref="WJ9:WO9" si="4">WJ8-WI8</f>
        <v>117</v>
      </c>
      <c r="WK9" s="154">
        <f t="shared" si="4"/>
        <v>0</v>
      </c>
      <c r="WL9" s="154">
        <f t="shared" si="4"/>
        <v>0</v>
      </c>
      <c r="WM9" s="154">
        <f t="shared" si="4"/>
        <v>0</v>
      </c>
      <c r="WN9" s="154">
        <f t="shared" si="4"/>
        <v>834</v>
      </c>
      <c r="WO9" s="154">
        <f t="shared" si="4"/>
        <v>237</v>
      </c>
      <c r="WP9" s="154">
        <v>40</v>
      </c>
      <c r="WQ9" s="154">
        <f t="shared" ref="WQ9:YB9" si="5">WQ8-WP8</f>
        <v>0</v>
      </c>
      <c r="WR9" s="154">
        <f t="shared" si="5"/>
        <v>584</v>
      </c>
      <c r="WS9" s="154">
        <f t="shared" si="5"/>
        <v>70</v>
      </c>
      <c r="WT9" s="154">
        <f t="shared" si="5"/>
        <v>199</v>
      </c>
      <c r="WU9" s="154">
        <f t="shared" si="5"/>
        <v>-1</v>
      </c>
      <c r="WV9" s="154">
        <f t="shared" si="5"/>
        <v>0</v>
      </c>
      <c r="WW9" s="154">
        <f t="shared" si="5"/>
        <v>188</v>
      </c>
      <c r="WX9" s="154">
        <f t="shared" si="5"/>
        <v>44</v>
      </c>
      <c r="WY9" s="154">
        <f t="shared" si="5"/>
        <v>0</v>
      </c>
      <c r="WZ9" s="154">
        <f t="shared" si="5"/>
        <v>0</v>
      </c>
      <c r="XA9" s="154">
        <f t="shared" si="5"/>
        <v>0</v>
      </c>
      <c r="XB9" s="154">
        <f t="shared" si="5"/>
        <v>171</v>
      </c>
      <c r="XC9" s="154">
        <f t="shared" si="5"/>
        <v>98</v>
      </c>
      <c r="XD9" s="154">
        <f t="shared" si="5"/>
        <v>14</v>
      </c>
      <c r="XE9" s="154">
        <f t="shared" si="5"/>
        <v>56</v>
      </c>
      <c r="XF9" s="154">
        <f t="shared" si="5"/>
        <v>0</v>
      </c>
      <c r="XG9" s="154">
        <f t="shared" si="5"/>
        <v>0</v>
      </c>
      <c r="XH9" s="154">
        <f t="shared" si="5"/>
        <v>46</v>
      </c>
      <c r="XI9" s="154">
        <f t="shared" si="5"/>
        <v>34</v>
      </c>
      <c r="XJ9" s="154">
        <f t="shared" si="5"/>
        <v>66</v>
      </c>
      <c r="XK9" s="154">
        <f t="shared" si="5"/>
        <v>82</v>
      </c>
      <c r="XL9" s="154">
        <f t="shared" si="5"/>
        <v>75</v>
      </c>
      <c r="XM9" s="154">
        <f t="shared" si="5"/>
        <v>0</v>
      </c>
      <c r="XN9" s="154">
        <f t="shared" si="5"/>
        <v>0</v>
      </c>
      <c r="XO9" s="154">
        <f t="shared" si="5"/>
        <v>0</v>
      </c>
      <c r="XP9" s="154">
        <f t="shared" si="5"/>
        <v>269</v>
      </c>
      <c r="XQ9" s="154">
        <f t="shared" si="5"/>
        <v>-1</v>
      </c>
      <c r="XR9" s="154">
        <f t="shared" si="5"/>
        <v>0</v>
      </c>
      <c r="XS9" s="154">
        <f t="shared" si="5"/>
        <v>0</v>
      </c>
      <c r="XT9" s="154">
        <f t="shared" si="5"/>
        <v>0</v>
      </c>
      <c r="XU9" s="154">
        <f t="shared" si="5"/>
        <v>0</v>
      </c>
      <c r="XV9" s="154">
        <f t="shared" si="5"/>
        <v>0</v>
      </c>
      <c r="XW9" s="154">
        <f t="shared" si="5"/>
        <v>1</v>
      </c>
      <c r="XX9" s="154">
        <f t="shared" si="5"/>
        <v>0</v>
      </c>
      <c r="XY9" s="154">
        <f t="shared" si="5"/>
        <v>0</v>
      </c>
      <c r="XZ9" s="154">
        <f t="shared" si="5"/>
        <v>-1</v>
      </c>
      <c r="YA9" s="154">
        <f t="shared" si="5"/>
        <v>0</v>
      </c>
      <c r="YB9" s="154">
        <f t="shared" si="5"/>
        <v>0</v>
      </c>
      <c r="YC9" s="155">
        <v>0</v>
      </c>
      <c r="YD9" s="155">
        <f t="shared" ref="YD9:YF9" si="6">YD8-YC8</f>
        <v>0</v>
      </c>
      <c r="YE9" s="155">
        <f t="shared" si="6"/>
        <v>0</v>
      </c>
      <c r="YF9" s="155">
        <f t="shared" si="6"/>
        <v>0</v>
      </c>
      <c r="YG9" s="155">
        <f t="shared" ref="YG9:YL9" si="7">YG8-YF8</f>
        <v>0</v>
      </c>
      <c r="YH9" s="155">
        <f t="shared" si="7"/>
        <v>0</v>
      </c>
      <c r="YI9" s="155">
        <f t="shared" si="7"/>
        <v>0</v>
      </c>
      <c r="YJ9" s="155">
        <f t="shared" si="7"/>
        <v>-1</v>
      </c>
      <c r="YK9" s="155">
        <f t="shared" si="7"/>
        <v>0</v>
      </c>
      <c r="YL9" s="155">
        <f t="shared" si="7"/>
        <v>0</v>
      </c>
      <c r="YM9" s="155">
        <f>YM8-YL8</f>
        <v>0</v>
      </c>
    </row>
    <row r="10" spans="1:663" ht="15.75" customHeight="1" x14ac:dyDescent="0.2">
      <c r="A10" s="52"/>
      <c r="B10" s="53" t="s">
        <v>159</v>
      </c>
      <c r="C10" s="54">
        <f>C8/296-1</f>
        <v>0.23986486486486491</v>
      </c>
      <c r="D10" s="54">
        <f t="shared" ref="D10:AF10" si="8">D8/C8-1</f>
        <v>0</v>
      </c>
      <c r="E10" s="54">
        <f t="shared" si="8"/>
        <v>1.6348773841961872E-2</v>
      </c>
      <c r="F10" s="54">
        <f t="shared" si="8"/>
        <v>8.0428954423592547E-3</v>
      </c>
      <c r="G10" s="54">
        <f t="shared" si="8"/>
        <v>0</v>
      </c>
      <c r="H10" s="54">
        <f t="shared" si="8"/>
        <v>0</v>
      </c>
      <c r="I10" s="54">
        <f t="shared" si="8"/>
        <v>2.659574468085113E-2</v>
      </c>
      <c r="J10" s="54">
        <f t="shared" si="8"/>
        <v>2.5906735751295429E-2</v>
      </c>
      <c r="K10" s="54">
        <f t="shared" si="8"/>
        <v>2.2727272727272707E-2</v>
      </c>
      <c r="L10" s="54">
        <f t="shared" si="8"/>
        <v>2.716049382716057E-2</v>
      </c>
      <c r="M10" s="54">
        <f t="shared" si="8"/>
        <v>-2.4038461538461453E-3</v>
      </c>
      <c r="N10" s="54">
        <f t="shared" si="8"/>
        <v>0</v>
      </c>
      <c r="O10" s="54">
        <f t="shared" si="8"/>
        <v>0</v>
      </c>
      <c r="P10" s="54">
        <f t="shared" si="8"/>
        <v>1.4457831325301207E-2</v>
      </c>
      <c r="Q10" s="54">
        <f t="shared" si="8"/>
        <v>2.6128266033254244E-2</v>
      </c>
      <c r="R10" s="54">
        <f t="shared" si="8"/>
        <v>1.8518518518518601E-2</v>
      </c>
      <c r="S10" s="54">
        <f t="shared" si="8"/>
        <v>1.8181818181818077E-2</v>
      </c>
      <c r="T10" s="54">
        <f t="shared" si="8"/>
        <v>4.4642857142858094E-3</v>
      </c>
      <c r="U10" s="54">
        <f t="shared" si="8"/>
        <v>0</v>
      </c>
      <c r="V10" s="54">
        <f t="shared" si="8"/>
        <v>2.2222222222221255E-3</v>
      </c>
      <c r="W10" s="54">
        <f t="shared" si="8"/>
        <v>2.4390243902439046E-2</v>
      </c>
      <c r="X10" s="54">
        <f t="shared" si="8"/>
        <v>2.813852813852824E-2</v>
      </c>
      <c r="Y10" s="54">
        <f t="shared" si="8"/>
        <v>2.5263157894736876E-2</v>
      </c>
      <c r="Z10" s="54">
        <f t="shared" si="8"/>
        <v>3.2854209445585258E-2</v>
      </c>
      <c r="AA10" s="54">
        <f t="shared" si="8"/>
        <v>0</v>
      </c>
      <c r="AB10" s="54">
        <f t="shared" si="8"/>
        <v>0</v>
      </c>
      <c r="AC10" s="54">
        <f t="shared" si="8"/>
        <v>0</v>
      </c>
      <c r="AD10" s="54">
        <f t="shared" si="8"/>
        <v>0</v>
      </c>
      <c r="AE10" s="54">
        <f t="shared" si="8"/>
        <v>1.9880715705764551E-3</v>
      </c>
      <c r="AF10" s="54">
        <f t="shared" si="8"/>
        <v>1.9841269841269771E-3</v>
      </c>
      <c r="AG10" s="54">
        <f t="shared" ref="AG10:KA10" si="9">IFERROR(AG8/AF8-1,"")</f>
        <v>1.3861386138613874E-2</v>
      </c>
      <c r="AH10" s="54">
        <f t="shared" si="9"/>
        <v>0</v>
      </c>
      <c r="AI10" s="54">
        <f t="shared" si="9"/>
        <v>0</v>
      </c>
      <c r="AJ10" s="54">
        <f t="shared" si="9"/>
        <v>0</v>
      </c>
      <c r="AK10" s="54">
        <f t="shared" si="9"/>
        <v>2.1484375E-2</v>
      </c>
      <c r="AL10" s="54">
        <f t="shared" si="9"/>
        <v>1.9120458891013437E-2</v>
      </c>
      <c r="AM10" s="54">
        <f t="shared" si="9"/>
        <v>5.6285178236397115E-3</v>
      </c>
      <c r="AN10" s="54">
        <f t="shared" si="9"/>
        <v>1.1194029850746245E-2</v>
      </c>
      <c r="AO10" s="54">
        <f t="shared" si="9"/>
        <v>3.6900369003689537E-3</v>
      </c>
      <c r="AP10" s="54">
        <f t="shared" si="9"/>
        <v>0</v>
      </c>
      <c r="AQ10" s="54">
        <f t="shared" si="9"/>
        <v>0</v>
      </c>
      <c r="AR10" s="54">
        <f t="shared" si="9"/>
        <v>1.8382352941176405E-2</v>
      </c>
      <c r="AS10" s="54">
        <f t="shared" si="9"/>
        <v>2.7075812274368172E-2</v>
      </c>
      <c r="AT10" s="54">
        <f t="shared" si="9"/>
        <v>3.5149384885764245E-3</v>
      </c>
      <c r="AU10" s="54">
        <f t="shared" si="9"/>
        <v>1.0507880910683109E-2</v>
      </c>
      <c r="AV10" s="54">
        <f t="shared" si="9"/>
        <v>0</v>
      </c>
      <c r="AW10" s="54">
        <f t="shared" si="9"/>
        <v>0</v>
      </c>
      <c r="AX10" s="54">
        <f t="shared" si="9"/>
        <v>6.9324090121316573E-3</v>
      </c>
      <c r="AY10" s="54">
        <f t="shared" si="9"/>
        <v>1.7211703958692759E-3</v>
      </c>
      <c r="AZ10" s="54">
        <f t="shared" si="9"/>
        <v>2.9209621993127044E-2</v>
      </c>
      <c r="BA10" s="54">
        <f t="shared" si="9"/>
        <v>5.008347245408995E-3</v>
      </c>
      <c r="BB10" s="54">
        <f t="shared" si="9"/>
        <v>1.1627906976744207E-2</v>
      </c>
      <c r="BC10" s="54">
        <f t="shared" si="9"/>
        <v>0</v>
      </c>
      <c r="BD10" s="54">
        <f t="shared" si="9"/>
        <v>0</v>
      </c>
      <c r="BE10" s="54">
        <f t="shared" si="9"/>
        <v>3.284072249589487E-3</v>
      </c>
      <c r="BF10" s="54">
        <f t="shared" si="9"/>
        <v>2.1276595744680771E-2</v>
      </c>
      <c r="BG10" s="54">
        <f t="shared" si="9"/>
        <v>1.2820512820512775E-2</v>
      </c>
      <c r="BH10" s="54">
        <f t="shared" si="9"/>
        <v>1.7405063291139333E-2</v>
      </c>
      <c r="BI10" s="54">
        <f t="shared" si="9"/>
        <v>1.5552099533437946E-3</v>
      </c>
      <c r="BJ10" s="54">
        <f t="shared" si="9"/>
        <v>0</v>
      </c>
      <c r="BK10" s="54">
        <f t="shared" si="9"/>
        <v>0</v>
      </c>
      <c r="BL10" s="54">
        <f t="shared" si="9"/>
        <v>0</v>
      </c>
      <c r="BM10" s="54">
        <f t="shared" si="9"/>
        <v>0</v>
      </c>
      <c r="BN10" s="54">
        <f t="shared" si="9"/>
        <v>0</v>
      </c>
      <c r="BO10" s="54">
        <f t="shared" si="9"/>
        <v>0</v>
      </c>
      <c r="BP10" s="54">
        <f t="shared" si="9"/>
        <v>1.5527950310558758E-3</v>
      </c>
      <c r="BQ10" s="54">
        <f t="shared" si="9"/>
        <v>0</v>
      </c>
      <c r="BR10" s="54">
        <f t="shared" si="9"/>
        <v>1.5503875968992276E-2</v>
      </c>
      <c r="BS10" s="54">
        <f t="shared" si="9"/>
        <v>0</v>
      </c>
      <c r="BT10" s="54">
        <f t="shared" si="9"/>
        <v>9.1603053435114212E-3</v>
      </c>
      <c r="BU10" s="54">
        <f t="shared" si="9"/>
        <v>0</v>
      </c>
      <c r="BV10" s="54">
        <f t="shared" si="9"/>
        <v>3.0257186081694698E-3</v>
      </c>
      <c r="BW10" s="54">
        <f t="shared" si="9"/>
        <v>9.0497737556560764E-3</v>
      </c>
      <c r="BX10" s="54">
        <f t="shared" si="9"/>
        <v>0</v>
      </c>
      <c r="BY10" s="54">
        <f t="shared" si="9"/>
        <v>0</v>
      </c>
      <c r="BZ10" s="54">
        <f t="shared" si="9"/>
        <v>0</v>
      </c>
      <c r="CA10" s="54">
        <f t="shared" si="9"/>
        <v>1.9431988041853421E-2</v>
      </c>
      <c r="CB10" s="54">
        <f t="shared" si="9"/>
        <v>1.4662756598240456E-2</v>
      </c>
      <c r="CC10" s="54">
        <f t="shared" si="9"/>
        <v>8.6705202312138407E-3</v>
      </c>
      <c r="CD10" s="54">
        <f t="shared" si="9"/>
        <v>7.1633237822350537E-3</v>
      </c>
      <c r="CE10" s="54">
        <f t="shared" si="9"/>
        <v>0</v>
      </c>
      <c r="CF10" s="54">
        <f t="shared" si="9"/>
        <v>0</v>
      </c>
      <c r="CG10" s="54">
        <f t="shared" si="9"/>
        <v>7.1123755334281391E-3</v>
      </c>
      <c r="CH10" s="54">
        <f t="shared" si="9"/>
        <v>1.4124293785311437E-3</v>
      </c>
      <c r="CI10" s="54">
        <f t="shared" si="9"/>
        <v>1.4104372355430161E-2</v>
      </c>
      <c r="CJ10" s="54">
        <f t="shared" si="9"/>
        <v>2.5034770514603677E-2</v>
      </c>
      <c r="CK10" s="54">
        <f t="shared" si="9"/>
        <v>0</v>
      </c>
      <c r="CL10" s="54">
        <f t="shared" si="9"/>
        <v>0</v>
      </c>
      <c r="CM10" s="54">
        <f t="shared" si="9"/>
        <v>0</v>
      </c>
      <c r="CN10" s="54">
        <f t="shared" si="9"/>
        <v>1.4925373134328401E-2</v>
      </c>
      <c r="CO10" s="54">
        <f t="shared" si="9"/>
        <v>0</v>
      </c>
      <c r="CP10" s="54">
        <f t="shared" si="9"/>
        <v>2.2727272727272707E-2</v>
      </c>
      <c r="CQ10" s="54">
        <f t="shared" si="9"/>
        <v>1.3071895424836555E-2</v>
      </c>
      <c r="CR10" s="54">
        <f t="shared" si="9"/>
        <v>3.870967741935516E-3</v>
      </c>
      <c r="CS10" s="54">
        <f t="shared" si="9"/>
        <v>0</v>
      </c>
      <c r="CT10" s="54">
        <f t="shared" si="9"/>
        <v>0</v>
      </c>
      <c r="CU10" s="54">
        <f t="shared" si="9"/>
        <v>2.6992287917737778E-2</v>
      </c>
      <c r="CV10" s="54">
        <f t="shared" si="9"/>
        <v>-8.7609511889862324E-3</v>
      </c>
      <c r="CW10" s="54">
        <f t="shared" si="9"/>
        <v>1.1363636363636465E-2</v>
      </c>
      <c r="CX10" s="54">
        <f t="shared" si="9"/>
        <v>3.7453183520599342E-3</v>
      </c>
      <c r="CY10" s="54">
        <f t="shared" si="9"/>
        <v>0</v>
      </c>
      <c r="CZ10" s="54">
        <f t="shared" si="9"/>
        <v>0</v>
      </c>
      <c r="DA10" s="54">
        <f t="shared" si="9"/>
        <v>0</v>
      </c>
      <c r="DB10" s="54">
        <f t="shared" si="9"/>
        <v>4.9751243781095411E-3</v>
      </c>
      <c r="DC10" s="54">
        <f t="shared" si="9"/>
        <v>1.2376237623761277E-3</v>
      </c>
      <c r="DD10" s="54">
        <f t="shared" si="9"/>
        <v>4.0791100123609425E-2</v>
      </c>
      <c r="DE10" s="54">
        <f t="shared" si="9"/>
        <v>2.25653206650831E-2</v>
      </c>
      <c r="DF10" s="54">
        <f t="shared" si="9"/>
        <v>1.9744483159117365E-2</v>
      </c>
      <c r="DG10" s="54">
        <f t="shared" si="9"/>
        <v>0</v>
      </c>
      <c r="DH10" s="54">
        <f t="shared" si="9"/>
        <v>0</v>
      </c>
      <c r="DI10" s="54">
        <f t="shared" si="9"/>
        <v>9.1116173120728838E-3</v>
      </c>
      <c r="DJ10" s="54">
        <f t="shared" si="9"/>
        <v>0</v>
      </c>
      <c r="DK10" s="54">
        <f t="shared" si="9"/>
        <v>2.1444695259593693E-2</v>
      </c>
      <c r="DL10" s="54">
        <f t="shared" si="9"/>
        <v>8.8397790055247949E-3</v>
      </c>
      <c r="DM10" s="54">
        <f t="shared" si="9"/>
        <v>0</v>
      </c>
      <c r="DN10" s="54">
        <f t="shared" si="9"/>
        <v>0</v>
      </c>
      <c r="DO10" s="54">
        <f t="shared" si="9"/>
        <v>0</v>
      </c>
      <c r="DP10" s="54">
        <f t="shared" si="9"/>
        <v>1.9715224534501585E-2</v>
      </c>
      <c r="DQ10" s="54">
        <f t="shared" si="9"/>
        <v>1.2889366272824887E-2</v>
      </c>
      <c r="DR10" s="54">
        <f t="shared" si="9"/>
        <v>1.166489925768821E-2</v>
      </c>
      <c r="DS10" s="54">
        <f t="shared" si="9"/>
        <v>0</v>
      </c>
      <c r="DT10" s="54">
        <f t="shared" si="9"/>
        <v>1.0482180293500676E-3</v>
      </c>
      <c r="DU10" s="54">
        <f t="shared" si="9"/>
        <v>0</v>
      </c>
      <c r="DV10" s="54">
        <f t="shared" si="9"/>
        <v>0</v>
      </c>
      <c r="DW10" s="54">
        <f t="shared" si="9"/>
        <v>0</v>
      </c>
      <c r="DX10" s="54">
        <f t="shared" si="9"/>
        <v>1.4659685863874339E-2</v>
      </c>
      <c r="DY10" s="54">
        <f t="shared" si="9"/>
        <v>1.3415892672858698E-2</v>
      </c>
      <c r="DZ10" s="54">
        <f t="shared" si="9"/>
        <v>1.8329938900203624E-2</v>
      </c>
      <c r="EA10" s="54">
        <f t="shared" si="9"/>
        <v>0</v>
      </c>
      <c r="EB10" s="54">
        <f t="shared" si="9"/>
        <v>0</v>
      </c>
      <c r="EC10" s="54">
        <f t="shared" si="9"/>
        <v>0</v>
      </c>
      <c r="ED10" s="54">
        <f t="shared" si="9"/>
        <v>0</v>
      </c>
      <c r="EE10" s="54">
        <f t="shared" si="9"/>
        <v>0</v>
      </c>
      <c r="EF10" s="54">
        <f t="shared" si="9"/>
        <v>0</v>
      </c>
      <c r="EG10" s="54">
        <f t="shared" si="9"/>
        <v>2.6000000000000023E-2</v>
      </c>
      <c r="EH10" s="54">
        <f t="shared" si="9"/>
        <v>1.4619883040935644E-2</v>
      </c>
      <c r="EI10" s="54">
        <f t="shared" si="9"/>
        <v>0</v>
      </c>
      <c r="EJ10" s="54">
        <f t="shared" si="9"/>
        <v>1.4409221902017322E-2</v>
      </c>
      <c r="EK10" s="54">
        <f t="shared" si="9"/>
        <v>4.1666666666666741E-2</v>
      </c>
      <c r="EL10" s="54">
        <f t="shared" si="9"/>
        <v>6.3636363636363713E-2</v>
      </c>
      <c r="EM10" s="54">
        <f t="shared" si="9"/>
        <v>1.2820512820512775E-2</v>
      </c>
      <c r="EN10" s="54">
        <f t="shared" si="9"/>
        <v>1.2658227848101333E-2</v>
      </c>
      <c r="EO10" s="54">
        <f t="shared" si="9"/>
        <v>6.6666666666665986E-3</v>
      </c>
      <c r="EP10" s="54">
        <f t="shared" si="9"/>
        <v>0</v>
      </c>
      <c r="EQ10" s="54">
        <f t="shared" si="9"/>
        <v>0</v>
      </c>
      <c r="ER10" s="54">
        <f t="shared" si="9"/>
        <v>0</v>
      </c>
      <c r="ES10" s="54">
        <f t="shared" si="9"/>
        <v>3.6423841059602724E-2</v>
      </c>
      <c r="ET10" s="54">
        <f t="shared" si="9"/>
        <v>1.7571884984025621E-2</v>
      </c>
      <c r="EU10" s="54">
        <f t="shared" si="9"/>
        <v>1.1773940345368938E-2</v>
      </c>
      <c r="EV10" s="54">
        <f t="shared" si="9"/>
        <v>9.3095422808378014E-3</v>
      </c>
      <c r="EW10" s="54">
        <f t="shared" si="9"/>
        <v>0</v>
      </c>
      <c r="EX10" s="54">
        <f t="shared" si="9"/>
        <v>0</v>
      </c>
      <c r="EY10" s="54">
        <f t="shared" si="9"/>
        <v>1.537279016141424E-2</v>
      </c>
      <c r="EZ10" s="54">
        <f t="shared" si="9"/>
        <v>2.346707040121121E-2</v>
      </c>
      <c r="FA10" s="54">
        <f t="shared" si="9"/>
        <v>3.994082840236679E-2</v>
      </c>
      <c r="FB10" s="54">
        <f t="shared" si="9"/>
        <v>1.3513513513513598E-2</v>
      </c>
      <c r="FC10" s="54">
        <f t="shared" si="9"/>
        <v>4.9122807017543124E-3</v>
      </c>
      <c r="FD10" s="54">
        <f t="shared" si="9"/>
        <v>0</v>
      </c>
      <c r="FE10" s="54">
        <f t="shared" si="9"/>
        <v>0</v>
      </c>
      <c r="FF10" s="54">
        <f t="shared" si="9"/>
        <v>0</v>
      </c>
      <c r="FG10" s="54">
        <f t="shared" si="9"/>
        <v>4.88826815642458E-2</v>
      </c>
      <c r="FH10" s="54">
        <f t="shared" si="9"/>
        <v>9.9866844207723293E-3</v>
      </c>
      <c r="FI10" s="54">
        <f t="shared" si="9"/>
        <v>0</v>
      </c>
      <c r="FJ10" s="54">
        <f t="shared" si="9"/>
        <v>5.6031641397495058E-2</v>
      </c>
      <c r="FK10" s="54">
        <f t="shared" si="9"/>
        <v>0</v>
      </c>
      <c r="FL10" s="54">
        <f t="shared" si="9"/>
        <v>0</v>
      </c>
      <c r="FM10" s="54">
        <f t="shared" si="9"/>
        <v>2.7465667915106184E-2</v>
      </c>
      <c r="FN10" s="54">
        <f t="shared" si="9"/>
        <v>1.3973268529769101E-2</v>
      </c>
      <c r="FO10" s="54">
        <f t="shared" si="9"/>
        <v>4.1342121030557122E-2</v>
      </c>
      <c r="FP10" s="54">
        <f t="shared" si="9"/>
        <v>1.2082853855005737E-2</v>
      </c>
      <c r="FQ10" s="54">
        <f t="shared" si="9"/>
        <v>0</v>
      </c>
      <c r="FR10" s="54">
        <f t="shared" si="9"/>
        <v>5.6850483229098359E-4</v>
      </c>
      <c r="FS10" s="54">
        <f t="shared" si="9"/>
        <v>0</v>
      </c>
      <c r="FT10" s="54">
        <f t="shared" si="9"/>
        <v>2.4999999999999911E-2</v>
      </c>
      <c r="FU10" s="54">
        <f t="shared" si="9"/>
        <v>1.7738359201773912E-2</v>
      </c>
      <c r="FV10" s="54">
        <f t="shared" si="9"/>
        <v>0</v>
      </c>
      <c r="FW10" s="54">
        <f t="shared" si="9"/>
        <v>0</v>
      </c>
      <c r="FX10" s="54">
        <f t="shared" si="9"/>
        <v>0</v>
      </c>
      <c r="FY10" s="54">
        <f t="shared" si="9"/>
        <v>0</v>
      </c>
      <c r="FZ10" s="54">
        <f t="shared" si="9"/>
        <v>0</v>
      </c>
      <c r="GA10" s="54">
        <f t="shared" si="9"/>
        <v>0</v>
      </c>
      <c r="GB10" s="54">
        <f t="shared" si="9"/>
        <v>0</v>
      </c>
      <c r="GC10" s="54">
        <f t="shared" si="9"/>
        <v>0</v>
      </c>
      <c r="GD10" s="54">
        <f t="shared" si="9"/>
        <v>0</v>
      </c>
      <c r="GE10" s="54">
        <f t="shared" si="9"/>
        <v>0</v>
      </c>
      <c r="GF10" s="54">
        <f t="shared" si="9"/>
        <v>0</v>
      </c>
      <c r="GG10" s="54">
        <f t="shared" si="9"/>
        <v>0</v>
      </c>
      <c r="GH10" s="54">
        <f t="shared" si="9"/>
        <v>1.1982570806100323E-2</v>
      </c>
      <c r="GI10" s="54">
        <f t="shared" si="9"/>
        <v>0</v>
      </c>
      <c r="GJ10" s="54">
        <f t="shared" si="9"/>
        <v>1.0226049515608127E-2</v>
      </c>
      <c r="GK10" s="54">
        <f t="shared" si="9"/>
        <v>2.1310602024507297E-2</v>
      </c>
      <c r="GL10" s="54">
        <f t="shared" si="9"/>
        <v>4.4861763171622382E-2</v>
      </c>
      <c r="GM10" s="54">
        <f t="shared" si="9"/>
        <v>0</v>
      </c>
      <c r="GN10" s="54">
        <f t="shared" si="9"/>
        <v>0</v>
      </c>
      <c r="GO10" s="54">
        <f t="shared" si="9"/>
        <v>2.4463305042436323E-2</v>
      </c>
      <c r="GP10" s="54">
        <f t="shared" si="9"/>
        <v>0</v>
      </c>
      <c r="GQ10" s="54">
        <f t="shared" si="9"/>
        <v>0</v>
      </c>
      <c r="GR10" s="54">
        <f t="shared" si="9"/>
        <v>0</v>
      </c>
      <c r="GS10" s="54">
        <f t="shared" si="9"/>
        <v>7.7972709551656916E-3</v>
      </c>
      <c r="GT10" s="54">
        <f t="shared" si="9"/>
        <v>0</v>
      </c>
      <c r="GU10" s="54">
        <f t="shared" si="9"/>
        <v>3.2398452611218653E-2</v>
      </c>
      <c r="GV10" s="54">
        <f t="shared" si="9"/>
        <v>1.4051522248243575E-2</v>
      </c>
      <c r="GW10" s="54">
        <f t="shared" si="9"/>
        <v>0</v>
      </c>
      <c r="GX10" s="54">
        <f t="shared" si="9"/>
        <v>0</v>
      </c>
      <c r="GY10" s="54">
        <f t="shared" si="9"/>
        <v>0</v>
      </c>
      <c r="GZ10" s="54">
        <f t="shared" si="9"/>
        <v>2.494226327944582E-2</v>
      </c>
      <c r="HA10" s="54">
        <f t="shared" si="9"/>
        <v>0</v>
      </c>
      <c r="HB10" s="54">
        <f t="shared" si="9"/>
        <v>0</v>
      </c>
      <c r="HC10" s="54">
        <f t="shared" si="9"/>
        <v>1.8927444794952786E-2</v>
      </c>
      <c r="HD10" s="54">
        <f t="shared" si="9"/>
        <v>0</v>
      </c>
      <c r="HE10" s="54">
        <f t="shared" si="9"/>
        <v>6.6342326404245089E-3</v>
      </c>
      <c r="HF10" s="54">
        <f t="shared" si="9"/>
        <v>7.4692442882249299E-3</v>
      </c>
      <c r="HG10" s="54">
        <f t="shared" si="9"/>
        <v>4.7972088966419246E-3</v>
      </c>
      <c r="HH10" s="54">
        <f t="shared" si="9"/>
        <v>0</v>
      </c>
      <c r="HI10" s="54">
        <f t="shared" si="9"/>
        <v>0</v>
      </c>
      <c r="HJ10" s="54">
        <f t="shared" si="9"/>
        <v>0</v>
      </c>
      <c r="HK10" s="54">
        <f t="shared" si="9"/>
        <v>8.6805555555555802E-3</v>
      </c>
      <c r="HL10" s="54">
        <f t="shared" si="9"/>
        <v>1.2908777969018459E-3</v>
      </c>
      <c r="HM10" s="54">
        <f t="shared" si="9"/>
        <v>6.4460678985818198E-3</v>
      </c>
      <c r="HN10" s="54">
        <f t="shared" si="9"/>
        <v>3.4158838599487318E-3</v>
      </c>
      <c r="HO10" s="54">
        <f t="shared" si="9"/>
        <v>0</v>
      </c>
      <c r="HP10" s="54">
        <f t="shared" si="9"/>
        <v>0</v>
      </c>
      <c r="HQ10" s="54">
        <f t="shared" si="9"/>
        <v>8.936170212765937E-3</v>
      </c>
      <c r="HR10" s="54">
        <f t="shared" si="9"/>
        <v>4.2176296921137002E-4</v>
      </c>
      <c r="HS10" s="54">
        <f t="shared" si="9"/>
        <v>2.1079258010117119E-3</v>
      </c>
      <c r="HT10" s="54">
        <f t="shared" si="9"/>
        <v>2.1034917963820288E-3</v>
      </c>
      <c r="HU10" s="54">
        <f t="shared" si="9"/>
        <v>1.8052057094878338E-2</v>
      </c>
      <c r="HV10" s="54">
        <f t="shared" si="9"/>
        <v>0</v>
      </c>
      <c r="HW10" s="54">
        <f t="shared" si="9"/>
        <v>0</v>
      </c>
      <c r="HX10" s="54">
        <f t="shared" si="9"/>
        <v>9.3195876288659774E-2</v>
      </c>
      <c r="HY10" s="54">
        <f t="shared" si="9"/>
        <v>0</v>
      </c>
      <c r="HZ10" s="54">
        <f t="shared" si="9"/>
        <v>0</v>
      </c>
      <c r="IA10" s="54">
        <f t="shared" si="9"/>
        <v>0</v>
      </c>
      <c r="IB10" s="54">
        <f t="shared" si="9"/>
        <v>0</v>
      </c>
      <c r="IC10" s="54">
        <f t="shared" si="9"/>
        <v>0</v>
      </c>
      <c r="ID10" s="54">
        <f t="shared" si="9"/>
        <v>0</v>
      </c>
      <c r="IE10" s="54">
        <f t="shared" si="9"/>
        <v>0</v>
      </c>
      <c r="IF10" s="54">
        <f t="shared" si="9"/>
        <v>0</v>
      </c>
      <c r="IG10" s="54">
        <f t="shared" si="9"/>
        <v>7.7706525839305929E-2</v>
      </c>
      <c r="IH10" s="54">
        <f t="shared" si="9"/>
        <v>3.5001750087504391E-4</v>
      </c>
      <c r="II10" s="54">
        <f t="shared" si="9"/>
        <v>0</v>
      </c>
      <c r="IJ10" s="54">
        <f t="shared" si="9"/>
        <v>0</v>
      </c>
      <c r="IK10" s="54">
        <f t="shared" si="9"/>
        <v>6.2631210636808987E-2</v>
      </c>
      <c r="IL10" s="54">
        <f t="shared" si="9"/>
        <v>0</v>
      </c>
      <c r="IM10" s="54">
        <f t="shared" si="9"/>
        <v>6.5854461639780482E-4</v>
      </c>
      <c r="IN10" s="54">
        <f t="shared" si="9"/>
        <v>6.5811122079639794E-4</v>
      </c>
      <c r="IO10" s="54">
        <f t="shared" si="9"/>
        <v>0</v>
      </c>
      <c r="IP10" s="54">
        <f t="shared" si="9"/>
        <v>4.406445248273605E-2</v>
      </c>
      <c r="IQ10" s="54">
        <f t="shared" si="9"/>
        <v>2.2047244094487439E-3</v>
      </c>
      <c r="IR10" s="54">
        <f t="shared" si="9"/>
        <v>0</v>
      </c>
      <c r="IS10" s="54">
        <f t="shared" si="9"/>
        <v>1.0370835952231205E-2</v>
      </c>
      <c r="IT10" s="54">
        <f t="shared" si="9"/>
        <v>0</v>
      </c>
      <c r="IU10" s="54">
        <f t="shared" si="9"/>
        <v>6.2208398133756226E-4</v>
      </c>
      <c r="IV10" s="54">
        <f t="shared" si="9"/>
        <v>1.3988187752564496E-2</v>
      </c>
      <c r="IW10" s="54">
        <f t="shared" si="9"/>
        <v>1.2262415695891704E-3</v>
      </c>
      <c r="IX10" s="54">
        <f t="shared" si="9"/>
        <v>0</v>
      </c>
      <c r="IY10" s="54">
        <f t="shared" si="9"/>
        <v>0</v>
      </c>
      <c r="IZ10" s="54">
        <f t="shared" si="9"/>
        <v>6.1236987140222965E-4</v>
      </c>
      <c r="JA10" s="54">
        <f t="shared" si="9"/>
        <v>2.1419828641371375E-3</v>
      </c>
      <c r="JB10" s="54">
        <f t="shared" si="9"/>
        <v>1.221374045801582E-3</v>
      </c>
      <c r="JC10" s="54">
        <f t="shared" si="9"/>
        <v>0</v>
      </c>
      <c r="JD10" s="54">
        <f t="shared" si="9"/>
        <v>0</v>
      </c>
      <c r="JE10" s="54">
        <f t="shared" si="9"/>
        <v>0</v>
      </c>
      <c r="JF10" s="54">
        <f t="shared" si="9"/>
        <v>0</v>
      </c>
      <c r="JG10" s="54">
        <f t="shared" si="9"/>
        <v>0</v>
      </c>
      <c r="JH10" s="54">
        <f t="shared" si="9"/>
        <v>0</v>
      </c>
      <c r="JI10" s="54">
        <f t="shared" si="9"/>
        <v>6.0994205550479741E-4</v>
      </c>
      <c r="JJ10" s="54">
        <f t="shared" si="9"/>
        <v>9.7531240475465797E-3</v>
      </c>
      <c r="JK10" s="54">
        <f t="shared" si="9"/>
        <v>0</v>
      </c>
      <c r="JL10" s="54">
        <f t="shared" si="9"/>
        <v>0</v>
      </c>
      <c r="JM10" s="54">
        <f t="shared" si="9"/>
        <v>0</v>
      </c>
      <c r="JN10" s="54">
        <f t="shared" si="9"/>
        <v>6.6405070932689103E-3</v>
      </c>
      <c r="JO10" s="54">
        <f t="shared" si="9"/>
        <v>2.9985007496247107E-4</v>
      </c>
      <c r="JP10" s="54">
        <f t="shared" si="9"/>
        <v>2.9976019184652092E-3</v>
      </c>
      <c r="JQ10" s="54">
        <f t="shared" si="9"/>
        <v>0</v>
      </c>
      <c r="JR10" s="54">
        <f t="shared" si="9"/>
        <v>-2.9886431560066651E-4</v>
      </c>
      <c r="JS10" s="54">
        <f t="shared" si="9"/>
        <v>0</v>
      </c>
      <c r="JT10" s="54">
        <f t="shared" si="9"/>
        <v>0</v>
      </c>
      <c r="JU10" s="54">
        <f t="shared" si="9"/>
        <v>0</v>
      </c>
      <c r="JV10" s="54">
        <f t="shared" si="9"/>
        <v>1.494768310911887E-3</v>
      </c>
      <c r="JW10" s="54">
        <f t="shared" si="9"/>
        <v>0</v>
      </c>
      <c r="JX10" s="54">
        <f t="shared" si="9"/>
        <v>0</v>
      </c>
      <c r="JY10" s="54">
        <f t="shared" si="9"/>
        <v>4.4776119402984982E-3</v>
      </c>
      <c r="JZ10" s="54">
        <f t="shared" si="9"/>
        <v>0</v>
      </c>
      <c r="KA10" s="54">
        <f t="shared" si="9"/>
        <v>0</v>
      </c>
      <c r="KB10" s="54">
        <f t="shared" ref="KB10:TV10" si="10">IFERROR(KB8/KA8-1,"")</f>
        <v>0</v>
      </c>
      <c r="KC10" s="54">
        <f t="shared" si="10"/>
        <v>0</v>
      </c>
      <c r="KD10" s="54">
        <f t="shared" si="10"/>
        <v>0</v>
      </c>
      <c r="KE10" s="54">
        <f t="shared" si="10"/>
        <v>1.4858841010401136E-3</v>
      </c>
      <c r="KF10" s="54">
        <f t="shared" si="10"/>
        <v>0</v>
      </c>
      <c r="KG10" s="54">
        <f t="shared" si="10"/>
        <v>0</v>
      </c>
      <c r="KH10" s="54">
        <f t="shared" si="10"/>
        <v>0</v>
      </c>
      <c r="KI10" s="54">
        <f t="shared" si="10"/>
        <v>3.264094955489627E-3</v>
      </c>
      <c r="KJ10" s="54">
        <f t="shared" si="10"/>
        <v>0</v>
      </c>
      <c r="KK10" s="54">
        <f t="shared" si="10"/>
        <v>6.5069506063295535E-3</v>
      </c>
      <c r="KL10" s="54">
        <f t="shared" si="10"/>
        <v>2.9385836027036039E-3</v>
      </c>
      <c r="KM10" s="54">
        <f t="shared" si="10"/>
        <v>0</v>
      </c>
      <c r="KN10" s="54">
        <f t="shared" si="10"/>
        <v>0</v>
      </c>
      <c r="KO10" s="54">
        <f t="shared" si="10"/>
        <v>0</v>
      </c>
      <c r="KP10" s="54">
        <f t="shared" si="10"/>
        <v>0</v>
      </c>
      <c r="KQ10" s="54">
        <f t="shared" si="10"/>
        <v>0</v>
      </c>
      <c r="KR10" s="54">
        <f t="shared" si="10"/>
        <v>-2.9299736302368373E-4</v>
      </c>
      <c r="KS10" s="54">
        <f t="shared" si="10"/>
        <v>0</v>
      </c>
      <c r="KT10" s="54">
        <f t="shared" si="10"/>
        <v>0</v>
      </c>
      <c r="KU10" s="54">
        <f t="shared" si="10"/>
        <v>0</v>
      </c>
      <c r="KV10" s="54">
        <f t="shared" si="10"/>
        <v>0</v>
      </c>
      <c r="KW10" s="54">
        <f t="shared" si="10"/>
        <v>3.2239155920281704E-3</v>
      </c>
      <c r="KX10" s="54">
        <f t="shared" si="10"/>
        <v>0</v>
      </c>
      <c r="KY10" s="54">
        <f t="shared" si="10"/>
        <v>0</v>
      </c>
      <c r="KZ10" s="54">
        <f t="shared" si="10"/>
        <v>0</v>
      </c>
      <c r="LA10" s="54">
        <f t="shared" si="10"/>
        <v>0</v>
      </c>
      <c r="LB10" s="54">
        <f t="shared" si="10"/>
        <v>0</v>
      </c>
      <c r="LC10" s="54">
        <f t="shared" si="10"/>
        <v>0</v>
      </c>
      <c r="LD10" s="54">
        <f t="shared" si="10"/>
        <v>0</v>
      </c>
      <c r="LE10" s="54">
        <f t="shared" si="10"/>
        <v>1.4314928425357865E-2</v>
      </c>
      <c r="LF10" s="54">
        <f t="shared" si="10"/>
        <v>-2.8801843317971532E-4</v>
      </c>
      <c r="LG10" s="54">
        <f t="shared" si="10"/>
        <v>8.6430423509065157E-4</v>
      </c>
      <c r="LH10" s="54">
        <f t="shared" si="10"/>
        <v>0</v>
      </c>
      <c r="LI10" s="54">
        <f t="shared" si="10"/>
        <v>0</v>
      </c>
      <c r="LJ10" s="54">
        <f t="shared" si="10"/>
        <v>0</v>
      </c>
      <c r="LK10" s="54">
        <f t="shared" si="10"/>
        <v>0</v>
      </c>
      <c r="LL10" s="54">
        <f t="shared" si="10"/>
        <v>0</v>
      </c>
      <c r="LM10" s="54">
        <f t="shared" si="10"/>
        <v>-2.5906735751295429E-3</v>
      </c>
      <c r="LN10" s="54">
        <f t="shared" si="10"/>
        <v>0</v>
      </c>
      <c r="LO10" s="54">
        <f t="shared" si="10"/>
        <v>0</v>
      </c>
      <c r="LP10" s="54">
        <f t="shared" si="10"/>
        <v>0</v>
      </c>
      <c r="LQ10" s="54">
        <f t="shared" si="10"/>
        <v>0</v>
      </c>
      <c r="LR10" s="54">
        <f t="shared" si="10"/>
        <v>0</v>
      </c>
      <c r="LS10" s="54">
        <f t="shared" si="10"/>
        <v>5.7720057720067608E-4</v>
      </c>
      <c r="LT10" s="54">
        <f t="shared" si="10"/>
        <v>0</v>
      </c>
      <c r="LU10" s="54">
        <f t="shared" si="10"/>
        <v>0</v>
      </c>
      <c r="LV10" s="54">
        <f t="shared" si="10"/>
        <v>0</v>
      </c>
      <c r="LW10" s="54">
        <f t="shared" si="10"/>
        <v>0</v>
      </c>
      <c r="LX10" s="54">
        <f t="shared" si="10"/>
        <v>0</v>
      </c>
      <c r="LY10" s="54">
        <f t="shared" si="10"/>
        <v>0</v>
      </c>
      <c r="LZ10" s="54">
        <f t="shared" si="10"/>
        <v>0</v>
      </c>
      <c r="MA10" s="54">
        <f t="shared" si="10"/>
        <v>-4.3265070666281824E-3</v>
      </c>
      <c r="MB10" s="54">
        <f t="shared" si="10"/>
        <v>0</v>
      </c>
      <c r="MC10" s="54">
        <f t="shared" si="10"/>
        <v>7.3870220162224776E-2</v>
      </c>
      <c r="MD10" s="54">
        <f t="shared" si="10"/>
        <v>0</v>
      </c>
      <c r="ME10" s="54">
        <f t="shared" si="10"/>
        <v>0</v>
      </c>
      <c r="MF10" s="54">
        <f t="shared" si="10"/>
        <v>0</v>
      </c>
      <c r="MG10" s="54">
        <f t="shared" si="10"/>
        <v>0</v>
      </c>
      <c r="MH10" s="54">
        <f t="shared" si="10"/>
        <v>0</v>
      </c>
      <c r="MI10" s="54">
        <f t="shared" si="10"/>
        <v>1.5915834906932824E-2</v>
      </c>
      <c r="MJ10" s="54">
        <f t="shared" si="10"/>
        <v>-2.3898035050451405E-3</v>
      </c>
      <c r="MK10" s="54">
        <f t="shared" si="10"/>
        <v>0</v>
      </c>
      <c r="ML10" s="54">
        <f t="shared" si="10"/>
        <v>0</v>
      </c>
      <c r="MM10" s="54">
        <f t="shared" si="10"/>
        <v>9.3159435719989414E-3</v>
      </c>
      <c r="MN10" s="54">
        <f t="shared" si="10"/>
        <v>0</v>
      </c>
      <c r="MO10" s="54">
        <f t="shared" si="10"/>
        <v>9.7573839662448147E-3</v>
      </c>
      <c r="MP10" s="54">
        <f t="shared" si="10"/>
        <v>5.2232958997122658E-4</v>
      </c>
      <c r="MQ10" s="54">
        <f t="shared" si="10"/>
        <v>0</v>
      </c>
      <c r="MR10" s="54">
        <f t="shared" si="10"/>
        <v>0</v>
      </c>
      <c r="MS10" s="54">
        <f t="shared" si="10"/>
        <v>0</v>
      </c>
      <c r="MT10" s="54">
        <f t="shared" si="10"/>
        <v>0</v>
      </c>
      <c r="MU10" s="54">
        <f t="shared" si="10"/>
        <v>0</v>
      </c>
      <c r="MV10" s="54">
        <f t="shared" si="10"/>
        <v>0</v>
      </c>
      <c r="MW10" s="54">
        <f t="shared" si="10"/>
        <v>0</v>
      </c>
      <c r="MX10" s="54">
        <f t="shared" si="10"/>
        <v>0</v>
      </c>
      <c r="MY10" s="54">
        <f t="shared" si="10"/>
        <v>0</v>
      </c>
      <c r="MZ10" s="54">
        <f t="shared" si="10"/>
        <v>0</v>
      </c>
      <c r="NA10" s="54">
        <f t="shared" si="10"/>
        <v>0</v>
      </c>
      <c r="NB10" s="54">
        <f t="shared" si="10"/>
        <v>0</v>
      </c>
      <c r="NC10" s="54">
        <f t="shared" si="10"/>
        <v>0</v>
      </c>
      <c r="ND10" s="54">
        <f t="shared" si="10"/>
        <v>0</v>
      </c>
      <c r="NE10" s="54">
        <f t="shared" si="10"/>
        <v>0</v>
      </c>
      <c r="NF10" s="54">
        <f t="shared" si="10"/>
        <v>0</v>
      </c>
      <c r="NG10" s="54">
        <f t="shared" si="10"/>
        <v>0</v>
      </c>
      <c r="NH10" s="54">
        <f t="shared" si="10"/>
        <v>-7.8308535630389198E-4</v>
      </c>
      <c r="NI10" s="54">
        <f t="shared" si="10"/>
        <v>-1.3061650992685081E-3</v>
      </c>
      <c r="NJ10" s="54">
        <f t="shared" si="10"/>
        <v>4.1851948731361777E-3</v>
      </c>
      <c r="NK10" s="54">
        <f t="shared" si="10"/>
        <v>0</v>
      </c>
      <c r="NL10" s="54">
        <f t="shared" si="10"/>
        <v>0</v>
      </c>
      <c r="NM10" s="54">
        <f t="shared" si="10"/>
        <v>0</v>
      </c>
      <c r="NN10" s="54">
        <f t="shared" si="10"/>
        <v>0</v>
      </c>
      <c r="NO10" s="54">
        <f t="shared" si="10"/>
        <v>5.7306590257879542E-3</v>
      </c>
      <c r="NP10" s="54">
        <f t="shared" si="10"/>
        <v>2.5900025900016388E-4</v>
      </c>
      <c r="NQ10" s="54">
        <f t="shared" si="10"/>
        <v>0</v>
      </c>
      <c r="NR10" s="54">
        <f t="shared" si="10"/>
        <v>0</v>
      </c>
      <c r="NS10" s="54">
        <f t="shared" si="10"/>
        <v>-2.5893319523562219E-4</v>
      </c>
      <c r="NT10" s="54">
        <f t="shared" si="10"/>
        <v>0</v>
      </c>
      <c r="NU10" s="54">
        <f t="shared" si="10"/>
        <v>0</v>
      </c>
      <c r="NV10" s="54">
        <f t="shared" si="10"/>
        <v>3.6260036260036266E-3</v>
      </c>
      <c r="NW10" s="54">
        <f t="shared" si="10"/>
        <v>0</v>
      </c>
      <c r="NX10" s="54">
        <f t="shared" si="10"/>
        <v>0</v>
      </c>
      <c r="NY10" s="54">
        <f t="shared" si="10"/>
        <v>0</v>
      </c>
      <c r="NZ10" s="54">
        <f t="shared" si="10"/>
        <v>0</v>
      </c>
      <c r="OA10" s="54">
        <f t="shared" si="10"/>
        <v>0</v>
      </c>
      <c r="OB10" s="54">
        <f t="shared" si="10"/>
        <v>0</v>
      </c>
      <c r="OC10" s="54">
        <f t="shared" si="10"/>
        <v>0</v>
      </c>
      <c r="OD10" s="54">
        <f t="shared" si="10"/>
        <v>9.8064516129032775E-3</v>
      </c>
      <c r="OE10" s="54">
        <f t="shared" si="10"/>
        <v>1.3289036544850585E-2</v>
      </c>
      <c r="OF10" s="54">
        <f t="shared" si="10"/>
        <v>8.8272383354350836E-3</v>
      </c>
      <c r="OG10" s="54">
        <f t="shared" si="10"/>
        <v>1.0000000000000009E-2</v>
      </c>
      <c r="OH10" s="54">
        <f t="shared" si="10"/>
        <v>0</v>
      </c>
      <c r="OI10" s="54">
        <f t="shared" si="10"/>
        <v>0</v>
      </c>
      <c r="OJ10" s="54">
        <f t="shared" si="10"/>
        <v>5.1980198019800916E-3</v>
      </c>
      <c r="OK10" s="54">
        <f t="shared" si="10"/>
        <v>5.4173848805711966E-3</v>
      </c>
      <c r="OL10" s="54">
        <f t="shared" si="10"/>
        <v>0</v>
      </c>
      <c r="OM10" s="54">
        <f t="shared" si="10"/>
        <v>1.9593436198872549E-3</v>
      </c>
      <c r="ON10" s="54">
        <f t="shared" si="10"/>
        <v>2.9332681495966018E-3</v>
      </c>
      <c r="OO10" s="54">
        <f t="shared" si="10"/>
        <v>0</v>
      </c>
      <c r="OP10" s="54">
        <f t="shared" si="10"/>
        <v>0</v>
      </c>
      <c r="OQ10" s="54">
        <f t="shared" si="10"/>
        <v>0</v>
      </c>
      <c r="OR10" s="54">
        <f t="shared" si="10"/>
        <v>1.21862052156958E-2</v>
      </c>
      <c r="OS10" s="54">
        <f t="shared" si="10"/>
        <v>1.9022393450517594E-2</v>
      </c>
      <c r="OT10" s="54">
        <f t="shared" si="10"/>
        <v>9.4517958412099201E-3</v>
      </c>
      <c r="OU10" s="54">
        <f t="shared" si="10"/>
        <v>7.9588014981273325E-3</v>
      </c>
      <c r="OV10" s="54">
        <f t="shared" si="10"/>
        <v>0</v>
      </c>
      <c r="OW10" s="54">
        <f t="shared" si="10"/>
        <v>1.8346493265211317E-2</v>
      </c>
      <c r="OX10" s="54">
        <f t="shared" si="10"/>
        <v>1.1174458380843744E-2</v>
      </c>
      <c r="OY10" s="54">
        <f t="shared" si="10"/>
        <v>9.6977898060441881E-3</v>
      </c>
      <c r="OZ10" s="54">
        <f t="shared" si="10"/>
        <v>2.5910207728389478E-2</v>
      </c>
      <c r="PA10" s="54">
        <f t="shared" si="10"/>
        <v>2.5038101458741524E-2</v>
      </c>
      <c r="PB10" s="54">
        <f t="shared" si="10"/>
        <v>2.5488530161428269E-3</v>
      </c>
      <c r="PC10" s="54">
        <f t="shared" si="10"/>
        <v>1.610169491525415E-2</v>
      </c>
      <c r="PD10" s="54">
        <f t="shared" si="10"/>
        <v>0</v>
      </c>
      <c r="PE10" s="54">
        <f t="shared" si="10"/>
        <v>2.9190992493743906E-3</v>
      </c>
      <c r="PF10" s="54">
        <f t="shared" si="10"/>
        <v>8.7318087318086768E-3</v>
      </c>
      <c r="PG10" s="54">
        <f t="shared" si="10"/>
        <v>2.7617477328936602E-2</v>
      </c>
      <c r="PH10" s="54">
        <f t="shared" si="10"/>
        <v>1.9253910950661757E-2</v>
      </c>
      <c r="PI10" s="54">
        <f t="shared" si="10"/>
        <v>6.0999606454152921E-3</v>
      </c>
      <c r="PJ10" s="54">
        <f t="shared" si="10"/>
        <v>0</v>
      </c>
      <c r="PK10" s="54">
        <f t="shared" si="10"/>
        <v>0</v>
      </c>
      <c r="PL10" s="54">
        <f t="shared" si="10"/>
        <v>6.2585566203794407E-3</v>
      </c>
      <c r="PM10" s="54">
        <f t="shared" si="10"/>
        <v>6.2196307094266601E-3</v>
      </c>
      <c r="PN10" s="54">
        <f t="shared" si="10"/>
        <v>5.794861889125702E-4</v>
      </c>
      <c r="PO10" s="54">
        <f t="shared" si="10"/>
        <v>0</v>
      </c>
      <c r="PP10" s="54">
        <f t="shared" si="10"/>
        <v>4.247104247104172E-3</v>
      </c>
      <c r="PQ10" s="54">
        <f t="shared" si="10"/>
        <v>0</v>
      </c>
      <c r="PR10" s="54">
        <f t="shared" si="10"/>
        <v>0</v>
      </c>
      <c r="PS10" s="54">
        <f t="shared" si="10"/>
        <v>-3.8446751249521238E-4</v>
      </c>
      <c r="PT10" s="54">
        <f t="shared" si="10"/>
        <v>1.0961538461538467E-2</v>
      </c>
      <c r="PU10" s="54">
        <f t="shared" si="10"/>
        <v>2.0924481643522785E-3</v>
      </c>
      <c r="PV10" s="54">
        <f t="shared" si="10"/>
        <v>4.5558086560364419E-3</v>
      </c>
      <c r="PW10" s="54">
        <f t="shared" si="10"/>
        <v>1.889644746787611E-2</v>
      </c>
      <c r="PX10" s="54">
        <f t="shared" si="10"/>
        <v>0</v>
      </c>
      <c r="PY10" s="54">
        <f t="shared" si="10"/>
        <v>0</v>
      </c>
      <c r="PZ10" s="54">
        <f t="shared" si="10"/>
        <v>8.5311572700297322E-3</v>
      </c>
      <c r="QA10" s="54">
        <f t="shared" si="10"/>
        <v>-1.8389113644723398E-4</v>
      </c>
      <c r="QB10" s="54">
        <f t="shared" si="10"/>
        <v>2.4278094537428796E-2</v>
      </c>
      <c r="QC10" s="54">
        <f t="shared" si="10"/>
        <v>0</v>
      </c>
      <c r="QD10" s="54">
        <f t="shared" si="10"/>
        <v>1.4365236128568881E-2</v>
      </c>
      <c r="QE10" s="54">
        <f t="shared" si="10"/>
        <v>0</v>
      </c>
      <c r="QF10" s="54">
        <f t="shared" si="10"/>
        <v>7.9660116834838757E-3</v>
      </c>
      <c r="QG10" s="54">
        <f t="shared" si="10"/>
        <v>0</v>
      </c>
      <c r="QH10" s="54">
        <f t="shared" si="10"/>
        <v>0</v>
      </c>
      <c r="QI10" s="54">
        <f t="shared" si="10"/>
        <v>0</v>
      </c>
      <c r="QJ10" s="54">
        <f t="shared" si="10"/>
        <v>3.1963470319634757E-2</v>
      </c>
      <c r="QK10" s="54">
        <f t="shared" si="10"/>
        <v>1.514635806671194E-2</v>
      </c>
      <c r="QL10" s="54">
        <f t="shared" si="10"/>
        <v>0</v>
      </c>
      <c r="QM10" s="54">
        <f t="shared" si="10"/>
        <v>0</v>
      </c>
      <c r="QN10" s="54">
        <f t="shared" si="10"/>
        <v>6.7057837384745245E-3</v>
      </c>
      <c r="QO10" s="54">
        <f t="shared" si="10"/>
        <v>8.2764363030807697E-2</v>
      </c>
      <c r="QP10" s="54">
        <f t="shared" si="10"/>
        <v>-6.1519532451548287E-4</v>
      </c>
      <c r="QQ10" s="54">
        <f t="shared" si="10"/>
        <v>0</v>
      </c>
      <c r="QR10" s="54">
        <f t="shared" si="10"/>
        <v>5.4016620498614998E-2</v>
      </c>
      <c r="QS10" s="54">
        <f t="shared" si="10"/>
        <v>0</v>
      </c>
      <c r="QT10" s="54">
        <f t="shared" si="10"/>
        <v>0</v>
      </c>
      <c r="QU10" s="54">
        <f t="shared" si="10"/>
        <v>-2.9201343261786583E-4</v>
      </c>
      <c r="QV10" s="54">
        <f t="shared" si="10"/>
        <v>2.8917774207682267E-2</v>
      </c>
      <c r="QW10" s="54">
        <f t="shared" si="10"/>
        <v>5.535841022001442E-3</v>
      </c>
      <c r="QX10" s="54">
        <f t="shared" si="10"/>
        <v>0</v>
      </c>
      <c r="QY10" s="54">
        <f t="shared" si="10"/>
        <v>0</v>
      </c>
      <c r="QZ10" s="54">
        <f t="shared" si="10"/>
        <v>0</v>
      </c>
      <c r="RA10" s="54">
        <f t="shared" si="10"/>
        <v>0</v>
      </c>
      <c r="RB10" s="54">
        <f t="shared" si="10"/>
        <v>-4.2348955392434995E-4</v>
      </c>
      <c r="RC10" s="54">
        <f t="shared" si="10"/>
        <v>1.3133738172574461E-2</v>
      </c>
      <c r="RD10" s="54">
        <f t="shared" si="10"/>
        <v>0</v>
      </c>
      <c r="RE10" s="54">
        <f t="shared" si="10"/>
        <v>7.9453582380819565E-3</v>
      </c>
      <c r="RF10" s="54">
        <f t="shared" si="10"/>
        <v>0</v>
      </c>
      <c r="RG10" s="54">
        <f t="shared" si="10"/>
        <v>0</v>
      </c>
      <c r="RH10" s="54">
        <f t="shared" si="10"/>
        <v>0</v>
      </c>
      <c r="RI10" s="54">
        <f t="shared" si="10"/>
        <v>9.5422486516387739E-3</v>
      </c>
      <c r="RJ10" s="54">
        <f t="shared" si="10"/>
        <v>7.6712328767123417E-3</v>
      </c>
      <c r="RK10" s="54">
        <f t="shared" si="10"/>
        <v>0</v>
      </c>
      <c r="RL10" s="54">
        <f t="shared" si="10"/>
        <v>1.3594344752587695E-4</v>
      </c>
      <c r="RM10" s="54">
        <f t="shared" si="10"/>
        <v>2.0252820443115382E-2</v>
      </c>
      <c r="RN10" s="54">
        <f t="shared" si="10"/>
        <v>0</v>
      </c>
      <c r="RO10" s="54">
        <f t="shared" si="10"/>
        <v>0</v>
      </c>
      <c r="RP10" s="54">
        <f t="shared" si="10"/>
        <v>7.9936051159072985E-3</v>
      </c>
      <c r="RQ10" s="54">
        <f t="shared" si="10"/>
        <v>0</v>
      </c>
      <c r="RR10" s="54">
        <f t="shared" si="10"/>
        <v>-5.2868094105207319E-4</v>
      </c>
      <c r="RS10" s="54">
        <f t="shared" si="10"/>
        <v>-1.3224014810897522E-4</v>
      </c>
      <c r="RT10" s="54">
        <f t="shared" si="10"/>
        <v>0</v>
      </c>
      <c r="RU10" s="54">
        <f t="shared" si="10"/>
        <v>0</v>
      </c>
      <c r="RV10" s="54">
        <f t="shared" si="10"/>
        <v>0</v>
      </c>
      <c r="RW10" s="54">
        <f t="shared" si="10"/>
        <v>0</v>
      </c>
      <c r="RX10" s="54">
        <f t="shared" si="10"/>
        <v>2.2087025525724169E-2</v>
      </c>
      <c r="RY10" s="54">
        <f t="shared" si="10"/>
        <v>1.837474120082816E-2</v>
      </c>
      <c r="RZ10" s="54">
        <f t="shared" si="10"/>
        <v>6.3532401524777349E-3</v>
      </c>
      <c r="SA10" s="54">
        <f t="shared" si="10"/>
        <v>0</v>
      </c>
      <c r="SB10" s="54">
        <f t="shared" si="10"/>
        <v>0</v>
      </c>
      <c r="SC10" s="54">
        <f t="shared" si="10"/>
        <v>0</v>
      </c>
      <c r="SD10" s="54">
        <f t="shared" si="10"/>
        <v>2.6010101010101039E-2</v>
      </c>
      <c r="SE10" s="54">
        <f t="shared" si="10"/>
        <v>0</v>
      </c>
      <c r="SF10" s="54">
        <f t="shared" si="10"/>
        <v>3.3226679793256775E-3</v>
      </c>
      <c r="SG10" s="54">
        <f t="shared" si="10"/>
        <v>9.6896847786092088E-3</v>
      </c>
      <c r="SH10" s="54">
        <f t="shared" si="10"/>
        <v>0</v>
      </c>
      <c r="SI10" s="54">
        <f t="shared" si="10"/>
        <v>1.2147716229349292E-4</v>
      </c>
      <c r="SJ10" s="54">
        <f t="shared" si="10"/>
        <v>0</v>
      </c>
      <c r="SK10" s="54">
        <f t="shared" si="10"/>
        <v>1.6154500182193665E-2</v>
      </c>
      <c r="SL10" s="54">
        <f t="shared" si="10"/>
        <v>2.0559407124073559E-2</v>
      </c>
      <c r="SM10" s="54">
        <f t="shared" si="10"/>
        <v>3.865073787772344E-3</v>
      </c>
      <c r="SN10" s="54">
        <f t="shared" si="10"/>
        <v>0</v>
      </c>
      <c r="SO10" s="54">
        <f t="shared" si="10"/>
        <v>7.8170575195426473E-3</v>
      </c>
      <c r="SP10" s="54">
        <f t="shared" si="10"/>
        <v>0</v>
      </c>
      <c r="SQ10" s="54">
        <f t="shared" si="10"/>
        <v>0</v>
      </c>
      <c r="SR10" s="54">
        <f t="shared" si="10"/>
        <v>0</v>
      </c>
      <c r="SS10" s="54">
        <f t="shared" si="10"/>
        <v>1.5512850196804706E-2</v>
      </c>
      <c r="ST10" s="54">
        <f t="shared" si="10"/>
        <v>1.5503875968992276E-2</v>
      </c>
      <c r="SU10" s="54">
        <f t="shared" si="10"/>
        <v>8.1948810058374288E-3</v>
      </c>
      <c r="SV10" s="54">
        <f t="shared" si="10"/>
        <v>4.899231711390728E-3</v>
      </c>
      <c r="SW10" s="54">
        <f t="shared" si="10"/>
        <v>0</v>
      </c>
      <c r="SX10" s="54">
        <f t="shared" si="10"/>
        <v>0</v>
      </c>
      <c r="SY10" s="54">
        <f t="shared" si="10"/>
        <v>-1.108033240997397E-4</v>
      </c>
      <c r="SZ10" s="54">
        <f t="shared" si="10"/>
        <v>0</v>
      </c>
      <c r="TA10" s="54">
        <f t="shared" si="10"/>
        <v>7.5354609929076943E-3</v>
      </c>
      <c r="TB10" s="54">
        <f t="shared" si="10"/>
        <v>-1.0998680158380569E-4</v>
      </c>
      <c r="TC10" s="54">
        <f t="shared" si="10"/>
        <v>1.7819821801781988E-2</v>
      </c>
      <c r="TD10" s="54">
        <f t="shared" si="10"/>
        <v>0</v>
      </c>
      <c r="TE10" s="54">
        <f t="shared" si="10"/>
        <v>0</v>
      </c>
      <c r="TF10" s="54">
        <f t="shared" si="10"/>
        <v>4.2148492380849056E-3</v>
      </c>
      <c r="TG10" s="54">
        <f t="shared" si="10"/>
        <v>3.9173482565647788E-2</v>
      </c>
      <c r="TH10" s="54">
        <f t="shared" si="10"/>
        <v>1.3463131731565881E-2</v>
      </c>
      <c r="TI10" s="54">
        <f t="shared" si="10"/>
        <v>-2.043735949315284E-4</v>
      </c>
      <c r="TJ10" s="54">
        <f t="shared" si="10"/>
        <v>0</v>
      </c>
      <c r="TK10" s="54">
        <f t="shared" si="10"/>
        <v>0</v>
      </c>
      <c r="TL10" s="54">
        <f t="shared" si="10"/>
        <v>0</v>
      </c>
      <c r="TM10" s="54">
        <f t="shared" si="10"/>
        <v>2.0441537203597759E-2</v>
      </c>
      <c r="TN10" s="54">
        <f t="shared" si="10"/>
        <v>2.8145032051282159E-2</v>
      </c>
      <c r="TO10" s="54">
        <f t="shared" si="10"/>
        <v>1.5197272284461771E-2</v>
      </c>
      <c r="TP10" s="54">
        <f t="shared" si="10"/>
        <v>2.6868822569809936E-3</v>
      </c>
      <c r="TQ10" s="54">
        <f t="shared" si="10"/>
        <v>0</v>
      </c>
      <c r="TR10" s="54">
        <f t="shared" si="10"/>
        <v>0</v>
      </c>
      <c r="TS10" s="54">
        <f t="shared" si="10"/>
        <v>0</v>
      </c>
      <c r="TT10" s="54">
        <f t="shared" si="10"/>
        <v>0</v>
      </c>
      <c r="TU10" s="54">
        <f t="shared" si="10"/>
        <v>4.1152263374485631E-2</v>
      </c>
      <c r="TV10" s="54">
        <f t="shared" si="10"/>
        <v>4.3202500229799767E-3</v>
      </c>
      <c r="TW10" s="54">
        <f t="shared" ref="TW10:VR10" si="11">IFERROR(TW8/TV8-1,"")</f>
        <v>1.4643968515468675E-3</v>
      </c>
      <c r="TX10" s="54">
        <f t="shared" si="11"/>
        <v>1.2154999086090301E-2</v>
      </c>
      <c r="TY10" s="54">
        <f t="shared" si="11"/>
        <v>0</v>
      </c>
      <c r="TZ10" s="54">
        <f t="shared" si="11"/>
        <v>0</v>
      </c>
      <c r="UA10" s="54">
        <f t="shared" si="11"/>
        <v>9.932279909705688E-4</v>
      </c>
      <c r="UB10" s="54">
        <f t="shared" si="11"/>
        <v>2.6700342774670816E-2</v>
      </c>
      <c r="UC10" s="54">
        <f t="shared" si="11"/>
        <v>1.0542962572481773E-3</v>
      </c>
      <c r="UD10" s="54">
        <f t="shared" si="11"/>
        <v>0</v>
      </c>
      <c r="UE10" s="54">
        <f t="shared" si="11"/>
        <v>-5.2659294365453579E-4</v>
      </c>
      <c r="UF10" s="54">
        <f t="shared" si="11"/>
        <v>0</v>
      </c>
      <c r="UG10" s="54">
        <f t="shared" si="11"/>
        <v>0</v>
      </c>
      <c r="UH10" s="54">
        <f t="shared" si="11"/>
        <v>0</v>
      </c>
      <c r="UI10" s="54">
        <f t="shared" si="11"/>
        <v>-2.6343519494209655E-4</v>
      </c>
      <c r="UJ10" s="54">
        <f t="shared" si="11"/>
        <v>1.0364514712340789E-2</v>
      </c>
      <c r="UK10" s="54">
        <f t="shared" si="11"/>
        <v>1.2170738068328912E-3</v>
      </c>
      <c r="UL10" s="54">
        <f t="shared" si="11"/>
        <v>0</v>
      </c>
      <c r="UM10" s="54">
        <f t="shared" si="11"/>
        <v>0</v>
      </c>
      <c r="UN10" s="54">
        <f t="shared" si="11"/>
        <v>0</v>
      </c>
      <c r="UO10" s="54">
        <f t="shared" si="11"/>
        <v>1.9970478423201321E-3</v>
      </c>
      <c r="UP10" s="54">
        <f t="shared" si="11"/>
        <v>0</v>
      </c>
      <c r="UQ10" s="54">
        <f t="shared" si="11"/>
        <v>3.8128249566724559E-3</v>
      </c>
      <c r="UR10" s="54">
        <f t="shared" si="11"/>
        <v>1.035911602209838E-3</v>
      </c>
      <c r="US10" s="54">
        <f t="shared" si="11"/>
        <v>1.0348395998620585E-3</v>
      </c>
      <c r="UT10" s="54">
        <f t="shared" si="11"/>
        <v>0</v>
      </c>
      <c r="UU10" s="54">
        <f t="shared" si="11"/>
        <v>0</v>
      </c>
      <c r="UV10" s="54">
        <f t="shared" si="11"/>
        <v>0</v>
      </c>
      <c r="UW10" s="54">
        <f t="shared" si="11"/>
        <v>2.6102687801516256E-2</v>
      </c>
      <c r="UX10" s="54">
        <f t="shared" si="11"/>
        <v>2.5186802115690909E-3</v>
      </c>
      <c r="UY10" s="54">
        <f t="shared" si="11"/>
        <v>7.0345867180303667E-3</v>
      </c>
      <c r="UZ10" s="54">
        <f t="shared" si="11"/>
        <v>0</v>
      </c>
      <c r="VA10" s="54">
        <f t="shared" si="11"/>
        <v>0</v>
      </c>
      <c r="VB10" s="54">
        <f t="shared" si="11"/>
        <v>0</v>
      </c>
      <c r="VC10" s="54">
        <f t="shared" si="11"/>
        <v>9.9792099792095357E-4</v>
      </c>
      <c r="VD10" s="54">
        <f t="shared" si="11"/>
        <v>3.3230871479594803E-4</v>
      </c>
      <c r="VE10" s="54">
        <f t="shared" si="11"/>
        <v>9.4676521883565457E-3</v>
      </c>
      <c r="VF10" s="54">
        <f t="shared" si="11"/>
        <v>0</v>
      </c>
      <c r="VG10" s="156">
        <f t="shared" si="11"/>
        <v>1.1517893870835128E-2</v>
      </c>
      <c r="VH10" s="156">
        <f t="shared" si="11"/>
        <v>4.6360309068727013E-3</v>
      </c>
      <c r="VI10" s="156">
        <f t="shared" si="11"/>
        <v>8.0958549222742704E-5</v>
      </c>
      <c r="VJ10" s="156">
        <f t="shared" si="11"/>
        <v>0</v>
      </c>
      <c r="VK10" s="156">
        <f t="shared" si="11"/>
        <v>-8.0951995466649329E-5</v>
      </c>
      <c r="VL10" s="156">
        <f t="shared" si="11"/>
        <v>0</v>
      </c>
      <c r="VM10" s="156">
        <f t="shared" si="11"/>
        <v>7.7720207253886286E-3</v>
      </c>
      <c r="VN10" s="156">
        <f t="shared" si="11"/>
        <v>0</v>
      </c>
      <c r="VO10" s="156">
        <f t="shared" si="11"/>
        <v>9.3991002570694704E-3</v>
      </c>
      <c r="VP10" s="156">
        <f t="shared" si="11"/>
        <v>0</v>
      </c>
      <c r="VQ10" s="156">
        <f t="shared" si="11"/>
        <v>0</v>
      </c>
      <c r="VR10" s="156">
        <f t="shared" si="11"/>
        <v>2.6263430163151469E-3</v>
      </c>
      <c r="VS10" s="156">
        <v>1.071598666454987E-2</v>
      </c>
      <c r="VT10" s="156">
        <f t="shared" ref="VT10:WH10" si="12">IFERROR(VT8/VS8-1,"")</f>
        <v>0</v>
      </c>
      <c r="VU10" s="156">
        <f t="shared" si="12"/>
        <v>0</v>
      </c>
      <c r="VV10" s="156">
        <f t="shared" si="12"/>
        <v>2.9058352312887337E-3</v>
      </c>
      <c r="VW10" s="156">
        <f t="shared" si="12"/>
        <v>0</v>
      </c>
      <c r="VX10" s="156">
        <f t="shared" si="12"/>
        <v>0</v>
      </c>
      <c r="VY10" s="156">
        <f t="shared" si="12"/>
        <v>0</v>
      </c>
      <c r="VZ10" s="156">
        <f t="shared" si="12"/>
        <v>0</v>
      </c>
      <c r="WA10" s="156">
        <f t="shared" si="12"/>
        <v>8.3790133124510557E-3</v>
      </c>
      <c r="WB10" s="156">
        <f t="shared" si="12"/>
        <v>0</v>
      </c>
      <c r="WC10" s="156">
        <f t="shared" si="12"/>
        <v>0</v>
      </c>
      <c r="WD10" s="156">
        <f t="shared" si="12"/>
        <v>0</v>
      </c>
      <c r="WE10" s="156">
        <f t="shared" si="12"/>
        <v>0</v>
      </c>
      <c r="WF10" s="156">
        <f t="shared" si="12"/>
        <v>0</v>
      </c>
      <c r="WG10" s="156">
        <f t="shared" si="12"/>
        <v>1.4910305195309448E-2</v>
      </c>
      <c r="WH10" s="156">
        <f t="shared" si="12"/>
        <v>0</v>
      </c>
      <c r="WI10" s="156">
        <v>8.4168643350000002E-4</v>
      </c>
      <c r="WJ10" s="156">
        <f t="shared" ref="WJ10:WO10" si="13">IFERROR(WJ8/WI8-1,"")</f>
        <v>8.9449541284403189E-3</v>
      </c>
      <c r="WK10" s="156">
        <f t="shared" si="13"/>
        <v>0</v>
      </c>
      <c r="WL10" s="156">
        <f t="shared" si="13"/>
        <v>0</v>
      </c>
      <c r="WM10" s="156">
        <f t="shared" si="13"/>
        <v>0</v>
      </c>
      <c r="WN10" s="156">
        <f t="shared" si="13"/>
        <v>6.3196180950215952E-2</v>
      </c>
      <c r="WO10" s="156">
        <f t="shared" si="13"/>
        <v>1.6891169553132412E-2</v>
      </c>
      <c r="WP10" s="156">
        <v>2.8034763110000001E-3</v>
      </c>
      <c r="WQ10" s="156">
        <f t="shared" ref="WQ10:YB10" si="14">IFERROR(WQ8/WP8-1,"")</f>
        <v>0</v>
      </c>
      <c r="WR10" s="156">
        <f t="shared" si="14"/>
        <v>4.081632653061229E-2</v>
      </c>
      <c r="WS10" s="156">
        <f t="shared" si="14"/>
        <v>4.7005103411228433E-3</v>
      </c>
      <c r="WT10" s="156">
        <f t="shared" si="14"/>
        <v>1.33003609143163E-2</v>
      </c>
      <c r="WU10" s="156">
        <f t="shared" si="14"/>
        <v>-6.5958709847602215E-5</v>
      </c>
      <c r="WV10" s="156">
        <f t="shared" si="14"/>
        <v>0</v>
      </c>
      <c r="WW10" s="156">
        <f t="shared" si="14"/>
        <v>1.2401055408971073E-2</v>
      </c>
      <c r="WX10" s="156">
        <f t="shared" si="14"/>
        <v>2.8668230388324556E-3</v>
      </c>
      <c r="WY10" s="156">
        <f t="shared" si="14"/>
        <v>0</v>
      </c>
      <c r="WZ10" s="156">
        <f t="shared" si="14"/>
        <v>0</v>
      </c>
      <c r="XA10" s="156">
        <f t="shared" si="14"/>
        <v>0</v>
      </c>
      <c r="XB10" s="156">
        <f t="shared" si="14"/>
        <v>1.1109667359667341E-2</v>
      </c>
      <c r="XC10" s="156">
        <f t="shared" si="14"/>
        <v>6.2969864422026678E-3</v>
      </c>
      <c r="XD10" s="156">
        <f t="shared" si="14"/>
        <v>8.9394036140721944E-4</v>
      </c>
      <c r="XE10" s="156">
        <f t="shared" si="14"/>
        <v>3.572567783094005E-3</v>
      </c>
      <c r="XF10" s="156">
        <f t="shared" si="14"/>
        <v>0</v>
      </c>
      <c r="XG10" s="156">
        <f t="shared" si="14"/>
        <v>0</v>
      </c>
      <c r="XH10" s="156">
        <f t="shared" si="14"/>
        <v>2.9241624817240019E-3</v>
      </c>
      <c r="XI10" s="156">
        <f t="shared" si="14"/>
        <v>2.1550358116244617E-3</v>
      </c>
      <c r="XJ10" s="156">
        <f t="shared" si="14"/>
        <v>4.1743090253620885E-3</v>
      </c>
      <c r="XK10" s="156">
        <f t="shared" si="14"/>
        <v>5.1647036593815976E-3</v>
      </c>
      <c r="XL10" s="156">
        <f t="shared" si="14"/>
        <v>4.6995425778557642E-3</v>
      </c>
      <c r="XM10" s="156">
        <f t="shared" si="14"/>
        <v>0</v>
      </c>
      <c r="XN10" s="156">
        <f t="shared" si="14"/>
        <v>0</v>
      </c>
      <c r="XO10" s="156">
        <f t="shared" si="14"/>
        <v>0</v>
      </c>
      <c r="XP10" s="156">
        <f t="shared" si="14"/>
        <v>1.6776849195459631E-2</v>
      </c>
      <c r="XQ10" s="156">
        <f t="shared" si="14"/>
        <v>-6.133840397470891E-5</v>
      </c>
      <c r="XR10" s="156">
        <f t="shared" si="14"/>
        <v>0</v>
      </c>
      <c r="XS10" s="156">
        <f t="shared" si="14"/>
        <v>0</v>
      </c>
      <c r="XT10" s="156">
        <f t="shared" si="14"/>
        <v>0</v>
      </c>
      <c r="XU10" s="156">
        <f t="shared" si="14"/>
        <v>0</v>
      </c>
      <c r="XV10" s="156">
        <f t="shared" si="14"/>
        <v>0</v>
      </c>
      <c r="XW10" s="156">
        <f t="shared" si="14"/>
        <v>6.1342166605360404E-5</v>
      </c>
      <c r="XX10" s="156">
        <f t="shared" si="14"/>
        <v>0</v>
      </c>
      <c r="XY10" s="156">
        <f t="shared" si="14"/>
        <v>0</v>
      </c>
      <c r="XZ10" s="156">
        <f t="shared" si="14"/>
        <v>-6.133840397470891E-5</v>
      </c>
      <c r="YA10" s="156">
        <f t="shared" si="14"/>
        <v>0</v>
      </c>
      <c r="YB10" s="156">
        <f t="shared" si="14"/>
        <v>0</v>
      </c>
      <c r="YC10" s="157">
        <v>0</v>
      </c>
      <c r="YD10" s="157">
        <f t="shared" ref="YD10:YF10" si="15">IFERROR(YD8/YC8-1,"")</f>
        <v>0</v>
      </c>
      <c r="YE10" s="157">
        <f t="shared" si="15"/>
        <v>0</v>
      </c>
      <c r="YF10" s="157">
        <f t="shared" si="15"/>
        <v>0</v>
      </c>
      <c r="YG10" s="157">
        <f t="shared" ref="YG10:YL10" si="16">IFERROR(YG8/YF8-1,"")</f>
        <v>0</v>
      </c>
      <c r="YH10" s="157">
        <f t="shared" si="16"/>
        <v>0</v>
      </c>
      <c r="YI10" s="157">
        <f t="shared" si="16"/>
        <v>0</v>
      </c>
      <c r="YJ10" s="157">
        <f t="shared" si="16"/>
        <v>-6.1342166605360404E-5</v>
      </c>
      <c r="YK10" s="157">
        <f t="shared" si="16"/>
        <v>0</v>
      </c>
      <c r="YL10" s="157">
        <f t="shared" si="16"/>
        <v>0</v>
      </c>
      <c r="YM10" s="157">
        <f>IFERROR(YM8/YL8-1,"")</f>
        <v>0</v>
      </c>
    </row>
    <row r="11" spans="1:663" ht="15.75" customHeight="1" x14ac:dyDescent="0.2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64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149"/>
      <c r="VH11" s="149"/>
      <c r="VI11" s="149"/>
      <c r="VJ11" s="149"/>
      <c r="VK11" s="149"/>
      <c r="VL11" s="149"/>
      <c r="VM11" s="149"/>
      <c r="VN11" s="149"/>
      <c r="VO11" s="149"/>
      <c r="VP11" s="149"/>
      <c r="VQ11" s="149"/>
      <c r="VR11" s="149"/>
      <c r="VS11" s="149"/>
      <c r="VT11" s="149"/>
      <c r="VU11" s="149"/>
      <c r="VV11" s="149"/>
      <c r="VW11" s="149"/>
      <c r="VX11" s="149"/>
      <c r="VY11" s="149"/>
      <c r="VZ11" s="149"/>
      <c r="WA11" s="149"/>
      <c r="WB11" s="149"/>
      <c r="WC11" s="149"/>
      <c r="WD11" s="149"/>
      <c r="WE11" s="149"/>
      <c r="WF11" s="149"/>
      <c r="WG11" s="149"/>
      <c r="WH11" s="149"/>
      <c r="WI11" s="149"/>
      <c r="WJ11" s="149"/>
      <c r="WK11" s="149"/>
      <c r="WL11" s="149"/>
      <c r="WM11" s="149"/>
      <c r="WN11" s="149"/>
      <c r="WO11" s="149"/>
      <c r="WP11" s="149"/>
      <c r="WQ11" s="149"/>
      <c r="WR11" s="149"/>
      <c r="WS11" s="149"/>
      <c r="WT11" s="149"/>
      <c r="WU11" s="149"/>
      <c r="WV11" s="149"/>
      <c r="WW11" s="149"/>
      <c r="WX11" s="149"/>
      <c r="WY11" s="149"/>
      <c r="WZ11" s="149"/>
      <c r="XA11" s="149"/>
      <c r="XB11" s="149"/>
      <c r="XC11" s="149"/>
      <c r="XD11" s="149"/>
      <c r="XE11" s="149"/>
      <c r="XF11" s="149"/>
      <c r="XG11" s="149"/>
      <c r="XH11" s="149"/>
      <c r="XI11" s="149"/>
      <c r="XJ11" s="149"/>
      <c r="XK11" s="149"/>
      <c r="XL11" s="149"/>
      <c r="XM11" s="149"/>
      <c r="XN11" s="149"/>
      <c r="XO11" s="149"/>
      <c r="XP11" s="149"/>
      <c r="XQ11" s="149"/>
      <c r="XR11" s="149"/>
      <c r="XS11" s="149"/>
      <c r="XT11" s="149"/>
      <c r="XU11" s="149"/>
      <c r="XV11" s="149"/>
      <c r="XW11" s="149"/>
      <c r="XX11" s="149"/>
      <c r="XY11" s="149"/>
      <c r="XZ11" s="149"/>
      <c r="YA11" s="149"/>
      <c r="YB11" s="149"/>
      <c r="YC11" s="150"/>
      <c r="YD11" s="150"/>
      <c r="YE11" s="150"/>
      <c r="YF11" s="150"/>
      <c r="YG11" s="150"/>
      <c r="YH11" s="150"/>
      <c r="YI11" s="150"/>
      <c r="YJ11" s="150"/>
      <c r="YK11" s="150"/>
      <c r="YL11" s="150"/>
      <c r="YM11" s="150"/>
    </row>
    <row r="12" spans="1:663" ht="15.75" customHeight="1" x14ac:dyDescent="0.2">
      <c r="B12" s="30" t="s">
        <v>160</v>
      </c>
      <c r="C12" s="64">
        <v>85</v>
      </c>
      <c r="D12" s="64">
        <v>72</v>
      </c>
      <c r="E12" s="64">
        <v>92</v>
      </c>
      <c r="F12" s="64">
        <v>95</v>
      </c>
      <c r="G12" s="64">
        <v>85</v>
      </c>
      <c r="H12" s="64">
        <v>79</v>
      </c>
      <c r="I12" s="64">
        <v>98</v>
      </c>
      <c r="J12" s="64">
        <v>91</v>
      </c>
      <c r="K12" s="64">
        <v>91</v>
      </c>
      <c r="L12" s="64">
        <v>95</v>
      </c>
      <c r="M12" s="64">
        <v>99</v>
      </c>
      <c r="N12" s="64">
        <v>85</v>
      </c>
      <c r="O12" s="64">
        <v>80</v>
      </c>
      <c r="P12" s="64">
        <v>107</v>
      </c>
      <c r="Q12" s="64">
        <v>114</v>
      </c>
      <c r="R12" s="64">
        <v>122</v>
      </c>
      <c r="S12" s="64">
        <v>113</v>
      </c>
      <c r="T12" s="64">
        <v>114</v>
      </c>
      <c r="U12" s="64">
        <v>97</v>
      </c>
      <c r="V12" s="64">
        <v>105</v>
      </c>
      <c r="W12" s="64">
        <v>107</v>
      </c>
      <c r="X12" s="64">
        <v>109</v>
      </c>
      <c r="Y12" s="64">
        <v>128</v>
      </c>
      <c r="Z12" s="64">
        <v>121</v>
      </c>
      <c r="AA12" s="64">
        <v>118</v>
      </c>
      <c r="AB12" s="64">
        <v>125</v>
      </c>
      <c r="AC12" s="64">
        <v>107</v>
      </c>
      <c r="AD12" s="64">
        <v>109</v>
      </c>
      <c r="AE12" s="64">
        <v>128</v>
      </c>
      <c r="AF12" s="64">
        <v>107</v>
      </c>
      <c r="AG12" s="64">
        <v>108</v>
      </c>
      <c r="AH12" s="64">
        <v>135</v>
      </c>
      <c r="AI12" s="64">
        <v>124</v>
      </c>
      <c r="AJ12" s="64">
        <v>96</v>
      </c>
      <c r="AK12" s="64">
        <v>110</v>
      </c>
      <c r="AL12" s="64">
        <v>139</v>
      </c>
      <c r="AM12" s="64">
        <v>129</v>
      </c>
      <c r="AN12" s="64">
        <v>116</v>
      </c>
      <c r="AO12" s="64">
        <v>131</v>
      </c>
      <c r="AP12" s="64">
        <v>118</v>
      </c>
      <c r="AQ12" s="64">
        <v>114</v>
      </c>
      <c r="AR12" s="64">
        <v>122</v>
      </c>
      <c r="AS12" s="64">
        <v>122</v>
      </c>
      <c r="AT12" s="64">
        <v>129</v>
      </c>
      <c r="AU12" s="64">
        <v>143</v>
      </c>
      <c r="AV12" s="64">
        <v>163</v>
      </c>
      <c r="AW12" s="64">
        <v>130</v>
      </c>
      <c r="AX12" s="64">
        <v>142</v>
      </c>
      <c r="AY12" s="64">
        <v>132</v>
      </c>
      <c r="AZ12" s="64">
        <v>144</v>
      </c>
      <c r="BA12" s="64">
        <v>145</v>
      </c>
      <c r="BB12" s="64">
        <v>140</v>
      </c>
      <c r="BC12" s="64">
        <v>148</v>
      </c>
      <c r="BD12" s="64">
        <v>142</v>
      </c>
      <c r="BE12" s="64">
        <v>148</v>
      </c>
      <c r="BF12" s="64">
        <v>126</v>
      </c>
      <c r="BG12" s="64">
        <v>118</v>
      </c>
      <c r="BH12" s="64">
        <v>145</v>
      </c>
      <c r="BI12" s="64">
        <v>140</v>
      </c>
      <c r="BJ12" s="64">
        <v>195</v>
      </c>
      <c r="BK12" s="64">
        <v>166</v>
      </c>
      <c r="BL12" s="64">
        <v>156</v>
      </c>
      <c r="BM12" s="64">
        <v>147</v>
      </c>
      <c r="BN12" s="64">
        <v>141</v>
      </c>
      <c r="BO12" s="64">
        <v>149</v>
      </c>
      <c r="BP12" s="64">
        <v>149</v>
      </c>
      <c r="BQ12" s="64">
        <v>149</v>
      </c>
      <c r="BR12" s="64">
        <v>140</v>
      </c>
      <c r="BS12" s="64">
        <v>137</v>
      </c>
      <c r="BT12" s="64">
        <v>132</v>
      </c>
      <c r="BU12" s="64">
        <v>130</v>
      </c>
      <c r="BV12" s="64">
        <v>127</v>
      </c>
      <c r="BW12" s="64">
        <v>166</v>
      </c>
      <c r="BX12" s="64">
        <v>173</v>
      </c>
      <c r="BY12" s="64">
        <v>149</v>
      </c>
      <c r="BZ12" s="64">
        <v>138</v>
      </c>
      <c r="CA12" s="64">
        <v>159</v>
      </c>
      <c r="CB12" s="64">
        <v>154</v>
      </c>
      <c r="CC12" s="64">
        <v>165</v>
      </c>
      <c r="CD12" s="64">
        <v>160</v>
      </c>
      <c r="CE12" s="64">
        <v>182</v>
      </c>
      <c r="CF12" s="64">
        <v>163</v>
      </c>
      <c r="CG12" s="64">
        <v>144</v>
      </c>
      <c r="CH12" s="64">
        <v>162</v>
      </c>
      <c r="CI12" s="64">
        <v>162</v>
      </c>
      <c r="CJ12" s="64"/>
      <c r="CK12" s="64">
        <v>171</v>
      </c>
      <c r="CL12" s="64">
        <v>188</v>
      </c>
      <c r="CM12" s="64">
        <v>160</v>
      </c>
      <c r="CN12" s="64">
        <v>170</v>
      </c>
      <c r="CO12" s="64">
        <v>168</v>
      </c>
      <c r="CP12" s="64">
        <v>183</v>
      </c>
      <c r="CQ12" s="64">
        <v>169</v>
      </c>
      <c r="CR12" s="64">
        <v>193</v>
      </c>
      <c r="CS12" s="64">
        <v>192</v>
      </c>
      <c r="CT12" s="64">
        <v>187</v>
      </c>
      <c r="CU12" s="64">
        <v>178</v>
      </c>
      <c r="CV12" s="64">
        <v>165</v>
      </c>
      <c r="CW12" s="64">
        <v>178</v>
      </c>
      <c r="CX12" s="64">
        <v>193</v>
      </c>
      <c r="CY12" s="64">
        <v>174</v>
      </c>
      <c r="CZ12" s="64">
        <v>198</v>
      </c>
      <c r="DA12" s="64">
        <v>184</v>
      </c>
      <c r="DB12" s="64">
        <v>176</v>
      </c>
      <c r="DC12" s="64">
        <v>193</v>
      </c>
      <c r="DD12" s="64">
        <v>208</v>
      </c>
      <c r="DE12" s="64">
        <v>173</v>
      </c>
      <c r="DF12" s="64">
        <v>160</v>
      </c>
      <c r="DG12" s="64">
        <v>199</v>
      </c>
      <c r="DH12" s="64">
        <v>200</v>
      </c>
      <c r="DI12" s="64">
        <v>192</v>
      </c>
      <c r="DJ12" s="64">
        <v>196</v>
      </c>
      <c r="DK12" s="64">
        <v>210</v>
      </c>
      <c r="DL12" s="64">
        <v>202</v>
      </c>
      <c r="DM12" s="64">
        <v>194</v>
      </c>
      <c r="DN12" s="64">
        <v>216</v>
      </c>
      <c r="DO12" s="64">
        <v>232</v>
      </c>
      <c r="DP12" s="64">
        <v>192</v>
      </c>
      <c r="DQ12" s="64">
        <v>172</v>
      </c>
      <c r="DR12" s="64">
        <v>207</v>
      </c>
      <c r="DS12" s="64">
        <v>230</v>
      </c>
      <c r="DT12" s="64">
        <v>222</v>
      </c>
      <c r="DU12" s="64">
        <v>209</v>
      </c>
      <c r="DV12" s="64">
        <v>192</v>
      </c>
      <c r="DW12" s="64">
        <v>201</v>
      </c>
      <c r="DX12" s="64">
        <v>189</v>
      </c>
      <c r="DY12" s="64">
        <v>214</v>
      </c>
      <c r="DZ12" s="64">
        <v>224</v>
      </c>
      <c r="EA12" s="64">
        <v>215</v>
      </c>
      <c r="EB12" s="64">
        <v>228</v>
      </c>
      <c r="EC12" s="64">
        <v>214</v>
      </c>
      <c r="ED12" s="64">
        <v>180</v>
      </c>
      <c r="EE12" s="64">
        <v>180</v>
      </c>
      <c r="EF12" s="64">
        <v>208</v>
      </c>
      <c r="EG12" s="64">
        <v>237</v>
      </c>
      <c r="EH12" s="64">
        <v>236</v>
      </c>
      <c r="EI12" s="64">
        <v>249</v>
      </c>
      <c r="EJ12" s="64">
        <v>249</v>
      </c>
      <c r="EK12" s="64">
        <v>213</v>
      </c>
      <c r="EL12" s="64">
        <v>249</v>
      </c>
      <c r="EM12" s="64">
        <v>267</v>
      </c>
      <c r="EN12" s="64">
        <v>278</v>
      </c>
      <c r="EO12" s="64">
        <v>303</v>
      </c>
      <c r="EP12" s="64">
        <v>273</v>
      </c>
      <c r="EQ12" s="64">
        <v>256</v>
      </c>
      <c r="ER12" s="64">
        <v>228</v>
      </c>
      <c r="ES12" s="64">
        <v>265</v>
      </c>
      <c r="ET12" s="64">
        <v>253</v>
      </c>
      <c r="EU12" s="64">
        <v>270</v>
      </c>
      <c r="EV12" s="64">
        <v>279</v>
      </c>
      <c r="EW12" s="64">
        <v>274</v>
      </c>
      <c r="EX12" s="64">
        <v>309</v>
      </c>
      <c r="EY12" s="64">
        <v>270</v>
      </c>
      <c r="EZ12" s="64">
        <v>284</v>
      </c>
      <c r="FA12" s="64">
        <v>302</v>
      </c>
      <c r="FB12" s="64">
        <v>321</v>
      </c>
      <c r="FC12" s="64">
        <v>337</v>
      </c>
      <c r="FD12" s="64">
        <v>316</v>
      </c>
      <c r="FE12" s="64">
        <v>308</v>
      </c>
      <c r="FF12" s="64">
        <v>281</v>
      </c>
      <c r="FG12" s="64">
        <v>289</v>
      </c>
      <c r="FH12" s="64">
        <v>299</v>
      </c>
      <c r="FI12" s="64">
        <v>310</v>
      </c>
      <c r="FJ12" s="64">
        <v>315</v>
      </c>
      <c r="FK12" s="64">
        <v>355</v>
      </c>
      <c r="FL12" s="64">
        <v>343</v>
      </c>
      <c r="FM12" s="64">
        <v>312</v>
      </c>
      <c r="FN12" s="64">
        <v>322</v>
      </c>
      <c r="FO12" s="64">
        <v>310</v>
      </c>
      <c r="FP12" s="64">
        <v>369</v>
      </c>
      <c r="FQ12" s="64">
        <v>360</v>
      </c>
      <c r="FR12" s="64">
        <v>357</v>
      </c>
      <c r="FS12" s="64">
        <v>376</v>
      </c>
      <c r="FT12" s="64">
        <v>352</v>
      </c>
      <c r="FU12" s="64">
        <v>352</v>
      </c>
      <c r="FV12" s="64">
        <v>359</v>
      </c>
      <c r="FW12" s="64">
        <v>351</v>
      </c>
      <c r="FX12" s="64">
        <v>361</v>
      </c>
      <c r="FY12" s="64">
        <v>396</v>
      </c>
      <c r="FZ12" s="64">
        <v>363</v>
      </c>
      <c r="GA12" s="64">
        <v>350</v>
      </c>
      <c r="GB12" s="64">
        <v>366</v>
      </c>
      <c r="GC12" s="64">
        <v>368</v>
      </c>
      <c r="GD12" s="64">
        <v>376</v>
      </c>
      <c r="GE12" s="64">
        <v>382</v>
      </c>
      <c r="GF12" s="64">
        <v>415</v>
      </c>
      <c r="GG12" s="64">
        <v>388</v>
      </c>
      <c r="GH12" s="64">
        <v>390</v>
      </c>
      <c r="GI12" s="64">
        <v>323</v>
      </c>
      <c r="GJ12" s="64">
        <v>345</v>
      </c>
      <c r="GK12" s="64">
        <v>358</v>
      </c>
      <c r="GL12" s="64">
        <v>389</v>
      </c>
      <c r="GM12" s="64">
        <v>389</v>
      </c>
      <c r="GN12" s="64">
        <v>414</v>
      </c>
      <c r="GO12" s="64">
        <v>398</v>
      </c>
      <c r="GP12" s="64">
        <v>386</v>
      </c>
      <c r="GQ12" s="64">
        <v>417</v>
      </c>
      <c r="GR12" s="64">
        <v>412</v>
      </c>
      <c r="GS12" s="64">
        <v>422</v>
      </c>
      <c r="GT12" s="64">
        <v>442</v>
      </c>
      <c r="GU12" s="64">
        <v>438</v>
      </c>
      <c r="GV12" s="64">
        <v>361</v>
      </c>
      <c r="GW12" s="64">
        <v>363</v>
      </c>
      <c r="GX12" s="64">
        <v>360</v>
      </c>
      <c r="GY12" s="64">
        <v>364</v>
      </c>
      <c r="GZ12" s="64">
        <v>409</v>
      </c>
      <c r="HA12" s="64">
        <v>447</v>
      </c>
      <c r="HB12" s="64">
        <v>412</v>
      </c>
      <c r="HC12" s="64">
        <v>396</v>
      </c>
      <c r="HD12" s="64">
        <v>361</v>
      </c>
      <c r="HE12" s="64">
        <v>416</v>
      </c>
      <c r="HF12" s="64">
        <v>424</v>
      </c>
      <c r="HG12" s="64">
        <v>493</v>
      </c>
      <c r="HH12" s="64">
        <v>492</v>
      </c>
      <c r="HI12" s="64">
        <v>486</v>
      </c>
      <c r="HJ12" s="64">
        <v>409</v>
      </c>
      <c r="HK12" s="64">
        <v>392</v>
      </c>
      <c r="HL12" s="64">
        <v>430</v>
      </c>
      <c r="HM12" s="64">
        <v>442</v>
      </c>
      <c r="HN12" s="64">
        <v>445</v>
      </c>
      <c r="HO12" s="64">
        <v>469</v>
      </c>
      <c r="HP12" s="64">
        <v>455</v>
      </c>
      <c r="HQ12" s="64">
        <v>396</v>
      </c>
      <c r="HR12" s="64">
        <v>382</v>
      </c>
      <c r="HS12" s="64">
        <v>400</v>
      </c>
      <c r="HT12" s="64">
        <v>429</v>
      </c>
      <c r="HU12" s="64">
        <v>493</v>
      </c>
      <c r="HV12" s="64">
        <v>512</v>
      </c>
      <c r="HW12" s="64">
        <v>491</v>
      </c>
      <c r="HX12" s="64">
        <v>468</v>
      </c>
      <c r="HY12" s="64">
        <v>484</v>
      </c>
      <c r="HZ12" s="64">
        <v>517</v>
      </c>
      <c r="IA12" s="64">
        <v>538</v>
      </c>
      <c r="IB12" s="64">
        <v>502</v>
      </c>
      <c r="IC12" s="64">
        <v>502</v>
      </c>
      <c r="ID12" s="64">
        <v>486</v>
      </c>
      <c r="IE12" s="64">
        <v>474</v>
      </c>
      <c r="IF12" s="64">
        <v>413</v>
      </c>
      <c r="IG12" s="64">
        <v>467</v>
      </c>
      <c r="IH12" s="64">
        <v>486</v>
      </c>
      <c r="II12" s="64">
        <v>500</v>
      </c>
      <c r="IJ12" s="64">
        <v>516</v>
      </c>
      <c r="IK12" s="64">
        <v>532</v>
      </c>
      <c r="IL12" s="64">
        <v>605</v>
      </c>
      <c r="IM12" s="64">
        <v>568</v>
      </c>
      <c r="IN12" s="64">
        <v>555</v>
      </c>
      <c r="IO12" s="64">
        <v>568</v>
      </c>
      <c r="IP12" s="64">
        <v>591</v>
      </c>
      <c r="IQ12" s="64">
        <v>658</v>
      </c>
      <c r="IR12" s="64">
        <v>619</v>
      </c>
      <c r="IS12" s="64">
        <v>562</v>
      </c>
      <c r="IT12" s="64">
        <v>633</v>
      </c>
      <c r="IU12" s="64">
        <v>552</v>
      </c>
      <c r="IV12" s="64">
        <v>523</v>
      </c>
      <c r="IW12" s="64">
        <v>599</v>
      </c>
      <c r="IX12" s="64">
        <v>648</v>
      </c>
      <c r="IY12" s="64">
        <v>608</v>
      </c>
      <c r="IZ12" s="64">
        <v>651</v>
      </c>
      <c r="JA12" s="64">
        <v>596</v>
      </c>
      <c r="JB12" s="64">
        <v>608</v>
      </c>
      <c r="JC12" s="64">
        <v>616</v>
      </c>
      <c r="JD12" s="64">
        <v>600</v>
      </c>
      <c r="JE12" s="64">
        <v>632</v>
      </c>
      <c r="JF12" s="64">
        <v>599</v>
      </c>
      <c r="JG12" s="64">
        <v>531</v>
      </c>
      <c r="JH12" s="64">
        <v>566</v>
      </c>
      <c r="JI12" s="64">
        <v>538</v>
      </c>
      <c r="JJ12" s="64">
        <v>588</v>
      </c>
      <c r="JK12" s="64">
        <v>578</v>
      </c>
      <c r="JL12" s="64">
        <v>616</v>
      </c>
      <c r="JM12" s="64">
        <v>607</v>
      </c>
      <c r="JN12" s="64">
        <v>527</v>
      </c>
      <c r="JO12" s="64">
        <v>585</v>
      </c>
      <c r="JP12" s="64">
        <v>637</v>
      </c>
      <c r="JQ12" s="64">
        <v>655</v>
      </c>
      <c r="JR12" s="64">
        <v>641</v>
      </c>
      <c r="JS12" s="64">
        <v>682</v>
      </c>
      <c r="JT12" s="64">
        <v>670</v>
      </c>
      <c r="JU12" s="64">
        <v>626</v>
      </c>
      <c r="JV12" s="64">
        <v>627</v>
      </c>
      <c r="JW12" s="64">
        <v>613</v>
      </c>
      <c r="JX12" s="64">
        <v>609</v>
      </c>
      <c r="JY12" s="64">
        <v>643</v>
      </c>
      <c r="JZ12" s="64">
        <v>689</v>
      </c>
      <c r="KA12" s="64">
        <v>637</v>
      </c>
      <c r="KB12" s="64">
        <v>528</v>
      </c>
      <c r="KC12" s="64">
        <v>576</v>
      </c>
      <c r="KD12" s="64">
        <v>639</v>
      </c>
      <c r="KE12" s="64">
        <v>611</v>
      </c>
      <c r="KF12" s="64">
        <v>691</v>
      </c>
      <c r="KG12" s="64">
        <v>686</v>
      </c>
      <c r="KH12" s="64">
        <v>674</v>
      </c>
      <c r="KI12" s="64">
        <v>606</v>
      </c>
      <c r="KJ12" s="64">
        <v>646</v>
      </c>
      <c r="KK12" s="64">
        <v>611</v>
      </c>
      <c r="KL12" s="64">
        <v>610</v>
      </c>
      <c r="KM12" s="64">
        <v>594</v>
      </c>
      <c r="KN12" s="64">
        <v>653</v>
      </c>
      <c r="KO12" s="64">
        <v>633</v>
      </c>
      <c r="KP12" s="64">
        <v>587</v>
      </c>
      <c r="KQ12" s="64">
        <v>567</v>
      </c>
      <c r="KR12" s="64">
        <v>591</v>
      </c>
      <c r="KS12" s="64">
        <v>576</v>
      </c>
      <c r="KT12" s="64">
        <v>650</v>
      </c>
      <c r="KU12" s="64">
        <v>652</v>
      </c>
      <c r="KV12" s="64">
        <v>693</v>
      </c>
      <c r="KW12" s="64">
        <v>629</v>
      </c>
      <c r="KX12" s="64">
        <v>585</v>
      </c>
      <c r="KY12" s="64">
        <v>640</v>
      </c>
      <c r="KZ12" s="64">
        <v>590</v>
      </c>
      <c r="LA12" s="64">
        <v>735</v>
      </c>
      <c r="LB12" s="64">
        <v>775</v>
      </c>
      <c r="LC12" s="64">
        <v>640</v>
      </c>
      <c r="LD12" s="64">
        <v>660</v>
      </c>
      <c r="LE12" s="64">
        <v>752</v>
      </c>
      <c r="LF12" s="64">
        <v>654</v>
      </c>
      <c r="LG12" s="64">
        <v>679</v>
      </c>
      <c r="LH12" s="64">
        <v>674</v>
      </c>
      <c r="LI12" s="64">
        <v>758</v>
      </c>
      <c r="LJ12" s="64">
        <v>756</v>
      </c>
      <c r="LK12" s="64">
        <v>645</v>
      </c>
      <c r="LL12" s="64">
        <v>800</v>
      </c>
      <c r="LM12" s="64">
        <v>724</v>
      </c>
      <c r="LN12" s="64">
        <v>720</v>
      </c>
      <c r="LO12" s="64">
        <v>744</v>
      </c>
      <c r="LP12" s="64">
        <v>778</v>
      </c>
      <c r="LQ12" s="64">
        <v>733</v>
      </c>
      <c r="LR12" s="64">
        <v>711</v>
      </c>
      <c r="LS12" s="64">
        <v>638</v>
      </c>
      <c r="LT12" s="64">
        <v>727</v>
      </c>
      <c r="LU12" s="64">
        <v>781</v>
      </c>
      <c r="LV12" s="64">
        <v>788</v>
      </c>
      <c r="LW12" s="64">
        <v>812</v>
      </c>
      <c r="LX12" s="64">
        <v>779</v>
      </c>
      <c r="LY12" s="64">
        <v>841</v>
      </c>
      <c r="LZ12" s="64">
        <v>786</v>
      </c>
      <c r="MA12" s="64">
        <v>761</v>
      </c>
      <c r="MB12" s="64">
        <v>748</v>
      </c>
      <c r="MC12" s="64">
        <v>779</v>
      </c>
      <c r="MD12" s="64">
        <v>797</v>
      </c>
      <c r="ME12" s="64">
        <v>802</v>
      </c>
      <c r="MF12" s="64">
        <v>759</v>
      </c>
      <c r="MG12" s="64">
        <v>674</v>
      </c>
      <c r="MH12" s="64">
        <v>708</v>
      </c>
      <c r="MI12" s="64">
        <v>718</v>
      </c>
      <c r="MJ12" s="64">
        <v>730</v>
      </c>
      <c r="MK12" s="64">
        <v>760</v>
      </c>
      <c r="ML12" s="64">
        <v>739</v>
      </c>
      <c r="MM12" s="64">
        <v>747</v>
      </c>
      <c r="MN12" s="64">
        <v>710</v>
      </c>
      <c r="MO12" s="64">
        <v>737</v>
      </c>
      <c r="MP12" s="64">
        <v>759</v>
      </c>
      <c r="MQ12" s="64">
        <v>731</v>
      </c>
      <c r="MR12" s="64">
        <v>815</v>
      </c>
      <c r="MS12" s="64">
        <v>779</v>
      </c>
      <c r="MT12" s="64">
        <v>764</v>
      </c>
      <c r="MU12" s="64">
        <v>778</v>
      </c>
      <c r="MV12" s="64">
        <v>714</v>
      </c>
      <c r="MW12" s="64">
        <v>572</v>
      </c>
      <c r="MX12" s="64">
        <v>669</v>
      </c>
      <c r="MY12" s="64">
        <v>710</v>
      </c>
      <c r="MZ12" s="64">
        <v>695</v>
      </c>
      <c r="NA12" s="64">
        <v>668</v>
      </c>
      <c r="NB12" s="64">
        <v>684</v>
      </c>
      <c r="NC12" s="64">
        <v>684</v>
      </c>
      <c r="ND12" s="64">
        <v>626</v>
      </c>
      <c r="NE12" s="64">
        <v>737</v>
      </c>
      <c r="NF12" s="64">
        <v>747</v>
      </c>
      <c r="NG12" s="64">
        <v>735</v>
      </c>
      <c r="NH12" s="64">
        <v>721</v>
      </c>
      <c r="NI12" s="64">
        <v>641</v>
      </c>
      <c r="NJ12" s="64">
        <v>648</v>
      </c>
      <c r="NK12" s="64">
        <v>643</v>
      </c>
      <c r="NL12" s="64">
        <v>661</v>
      </c>
      <c r="NM12" s="64">
        <v>713</v>
      </c>
      <c r="NN12" s="64">
        <v>662</v>
      </c>
      <c r="NO12" s="64">
        <v>655</v>
      </c>
      <c r="NP12" s="64">
        <v>628</v>
      </c>
      <c r="NQ12" s="64">
        <v>622</v>
      </c>
      <c r="NR12" s="64">
        <v>686</v>
      </c>
      <c r="NS12" s="64">
        <v>694</v>
      </c>
      <c r="NT12" s="64">
        <v>755</v>
      </c>
      <c r="NU12" s="64">
        <v>776</v>
      </c>
      <c r="NV12" s="64">
        <v>673</v>
      </c>
      <c r="NW12" s="64">
        <v>667</v>
      </c>
      <c r="NX12" s="64">
        <v>716</v>
      </c>
      <c r="NY12" s="64">
        <v>657</v>
      </c>
      <c r="NZ12" s="64">
        <v>683</v>
      </c>
      <c r="OA12" s="64">
        <v>697</v>
      </c>
      <c r="OB12" s="64">
        <v>673</v>
      </c>
      <c r="OC12" s="64">
        <v>646</v>
      </c>
      <c r="OD12" s="64">
        <v>645</v>
      </c>
      <c r="OE12" s="64">
        <v>641</v>
      </c>
      <c r="OF12" s="64">
        <v>609</v>
      </c>
      <c r="OG12" s="64">
        <v>701</v>
      </c>
      <c r="OH12" s="64">
        <v>729</v>
      </c>
      <c r="OI12" s="64">
        <v>873</v>
      </c>
      <c r="OJ12" s="64">
        <v>809</v>
      </c>
      <c r="OK12" s="64">
        <v>735</v>
      </c>
      <c r="OL12" s="64">
        <v>701</v>
      </c>
      <c r="OM12" s="64">
        <v>732</v>
      </c>
      <c r="ON12" s="64">
        <v>729</v>
      </c>
      <c r="OO12" s="64">
        <v>783</v>
      </c>
      <c r="OP12" s="64">
        <v>746</v>
      </c>
      <c r="OQ12" s="64">
        <v>674</v>
      </c>
      <c r="OR12" s="64">
        <v>704</v>
      </c>
      <c r="OS12" s="64">
        <v>716</v>
      </c>
      <c r="OT12" s="64">
        <v>698</v>
      </c>
      <c r="OU12" s="64">
        <v>865</v>
      </c>
      <c r="OV12" s="64">
        <v>883</v>
      </c>
      <c r="OW12" s="64">
        <v>880</v>
      </c>
      <c r="OX12" s="64">
        <v>853</v>
      </c>
      <c r="OY12" s="64">
        <v>864</v>
      </c>
      <c r="OZ12" s="64">
        <v>841</v>
      </c>
      <c r="PA12" s="64">
        <v>860</v>
      </c>
      <c r="PB12" s="64">
        <v>875</v>
      </c>
      <c r="PC12" s="64">
        <v>971</v>
      </c>
      <c r="PD12" s="64">
        <v>910</v>
      </c>
      <c r="PE12" s="64">
        <v>901</v>
      </c>
      <c r="PF12" s="64">
        <v>831</v>
      </c>
      <c r="PG12" s="64">
        <v>833</v>
      </c>
      <c r="PH12" s="64">
        <v>914</v>
      </c>
      <c r="PI12" s="64">
        <v>1012</v>
      </c>
      <c r="PJ12" s="64">
        <v>1085</v>
      </c>
      <c r="PK12" s="64">
        <v>1181</v>
      </c>
      <c r="PL12" s="64">
        <v>1065</v>
      </c>
      <c r="PM12" s="64">
        <v>1095</v>
      </c>
      <c r="PN12" s="64">
        <v>999</v>
      </c>
      <c r="PO12" s="64">
        <v>1044</v>
      </c>
      <c r="PP12" s="64">
        <v>1025</v>
      </c>
      <c r="PQ12" s="64">
        <v>1058</v>
      </c>
      <c r="PR12" s="64">
        <v>990</v>
      </c>
      <c r="PS12" s="64">
        <v>892</v>
      </c>
      <c r="PT12" s="64">
        <v>867</v>
      </c>
      <c r="PU12" s="64">
        <v>899</v>
      </c>
      <c r="PV12" s="64">
        <v>909</v>
      </c>
      <c r="PW12" s="64">
        <v>974</v>
      </c>
      <c r="PX12" s="64">
        <v>1047</v>
      </c>
      <c r="PY12" s="64">
        <v>1091</v>
      </c>
      <c r="PZ12" s="64">
        <v>1027</v>
      </c>
      <c r="QA12" s="64">
        <v>1055</v>
      </c>
      <c r="QB12" s="64">
        <v>1100</v>
      </c>
      <c r="QC12" s="64">
        <v>1056</v>
      </c>
      <c r="QD12" s="64">
        <v>1116</v>
      </c>
      <c r="QE12" s="64">
        <v>1127</v>
      </c>
      <c r="QF12" s="64">
        <v>1100</v>
      </c>
      <c r="QG12" s="64">
        <v>1009</v>
      </c>
      <c r="QH12" s="64">
        <v>1041</v>
      </c>
      <c r="QI12" s="64">
        <v>991</v>
      </c>
      <c r="QJ12" s="64">
        <v>1003</v>
      </c>
      <c r="QK12" s="64">
        <v>1097</v>
      </c>
      <c r="QL12" s="64">
        <v>1166</v>
      </c>
      <c r="QM12" s="64">
        <v>1090</v>
      </c>
      <c r="QN12" s="64">
        <v>1049</v>
      </c>
      <c r="QO12" s="64">
        <v>1068</v>
      </c>
      <c r="QP12" s="64">
        <v>1382</v>
      </c>
      <c r="QQ12" s="64">
        <v>1172</v>
      </c>
      <c r="QR12" s="64">
        <v>1075</v>
      </c>
      <c r="QS12" s="64">
        <v>1311</v>
      </c>
      <c r="QT12" s="64">
        <v>1344</v>
      </c>
      <c r="QU12" s="64">
        <v>1262</v>
      </c>
      <c r="QV12" s="64">
        <v>1259</v>
      </c>
      <c r="QW12" s="64">
        <v>1281</v>
      </c>
      <c r="QX12" s="64">
        <v>1313</v>
      </c>
      <c r="QY12" s="64">
        <v>1258</v>
      </c>
      <c r="QZ12" s="64">
        <v>1300</v>
      </c>
      <c r="RA12" s="64">
        <v>1289</v>
      </c>
      <c r="RB12" s="64">
        <v>1217</v>
      </c>
      <c r="RC12" s="64">
        <v>1229</v>
      </c>
      <c r="RD12" s="64">
        <v>1271</v>
      </c>
      <c r="RE12" s="64">
        <v>1390</v>
      </c>
      <c r="RF12" s="64">
        <v>1430</v>
      </c>
      <c r="RG12" s="64">
        <v>1473</v>
      </c>
      <c r="RH12" s="64">
        <v>1443</v>
      </c>
      <c r="RI12" s="64">
        <v>1321</v>
      </c>
      <c r="RJ12" s="64">
        <v>1289</v>
      </c>
      <c r="RK12" s="64">
        <v>1283</v>
      </c>
      <c r="RL12" s="64">
        <v>1248</v>
      </c>
      <c r="RM12" s="64">
        <v>1327</v>
      </c>
      <c r="RN12" s="64">
        <v>1404</v>
      </c>
      <c r="RO12" s="64">
        <v>1385</v>
      </c>
      <c r="RP12" s="64">
        <v>1260</v>
      </c>
      <c r="RQ12" s="64">
        <v>1219</v>
      </c>
      <c r="RR12" s="64">
        <v>1199</v>
      </c>
      <c r="RS12" s="64">
        <v>1321</v>
      </c>
      <c r="RT12" s="64">
        <v>1529</v>
      </c>
      <c r="RU12" s="64">
        <v>1490</v>
      </c>
      <c r="RV12" s="64">
        <v>1459</v>
      </c>
      <c r="RW12" s="64">
        <v>1387</v>
      </c>
      <c r="RX12" s="64">
        <v>1389</v>
      </c>
      <c r="RY12" s="64">
        <v>1350</v>
      </c>
      <c r="RZ12" s="64">
        <v>1363</v>
      </c>
      <c r="SA12" s="64">
        <v>1356</v>
      </c>
      <c r="SB12" s="64">
        <v>1429</v>
      </c>
      <c r="SC12" s="64">
        <v>1510</v>
      </c>
      <c r="SD12" s="64">
        <v>1350</v>
      </c>
      <c r="SE12" s="64">
        <v>1259</v>
      </c>
      <c r="SF12" s="64">
        <v>1309</v>
      </c>
      <c r="SG12" s="64">
        <v>1349</v>
      </c>
      <c r="SH12" s="64">
        <v>1555</v>
      </c>
      <c r="SI12" s="64">
        <v>1541</v>
      </c>
      <c r="SJ12" s="64">
        <v>1605</v>
      </c>
      <c r="SK12" s="64">
        <v>1592</v>
      </c>
      <c r="SL12" s="64">
        <v>1457</v>
      </c>
      <c r="SM12" s="64">
        <v>1505</v>
      </c>
      <c r="SN12" s="64">
        <v>1467</v>
      </c>
      <c r="SO12" s="64">
        <v>1552</v>
      </c>
      <c r="SP12" s="64">
        <v>1612</v>
      </c>
      <c r="SQ12" s="64">
        <v>1594</v>
      </c>
      <c r="SR12" s="64">
        <v>1475</v>
      </c>
      <c r="SS12" s="64">
        <v>1431</v>
      </c>
      <c r="ST12" s="64">
        <v>1492</v>
      </c>
      <c r="SU12" s="64">
        <v>1468</v>
      </c>
      <c r="SV12" s="64">
        <v>1504</v>
      </c>
      <c r="SW12" s="64">
        <v>1502</v>
      </c>
      <c r="SX12" s="64">
        <v>1486</v>
      </c>
      <c r="SY12" s="64">
        <v>1781</v>
      </c>
      <c r="SZ12" s="64">
        <v>1694</v>
      </c>
      <c r="TA12" s="64">
        <v>1625</v>
      </c>
      <c r="TB12" s="64">
        <v>1597</v>
      </c>
      <c r="TC12" s="64">
        <v>1693</v>
      </c>
      <c r="TD12" s="64">
        <v>1859</v>
      </c>
      <c r="TE12" s="64">
        <v>1684</v>
      </c>
      <c r="TF12" s="64">
        <v>1534</v>
      </c>
      <c r="TG12" s="64">
        <v>1562</v>
      </c>
      <c r="TH12" s="65">
        <v>1531</v>
      </c>
      <c r="TI12" s="65">
        <v>1536</v>
      </c>
      <c r="TJ12" s="65">
        <v>1663</v>
      </c>
      <c r="TK12" s="65">
        <v>1645</v>
      </c>
      <c r="TL12" s="65">
        <v>1678</v>
      </c>
      <c r="TM12" s="65">
        <v>1636</v>
      </c>
      <c r="TN12" s="65">
        <v>1620</v>
      </c>
      <c r="TO12" s="65">
        <v>1724</v>
      </c>
      <c r="TP12" s="65">
        <v>1733</v>
      </c>
      <c r="TQ12" s="65">
        <v>1805</v>
      </c>
      <c r="TR12" s="65">
        <v>1823</v>
      </c>
      <c r="TS12" s="65">
        <v>1787</v>
      </c>
      <c r="TT12" s="65">
        <v>1555</v>
      </c>
      <c r="TU12" s="65">
        <v>1642</v>
      </c>
      <c r="TV12" s="65">
        <v>1570</v>
      </c>
      <c r="TW12" s="65">
        <v>1659</v>
      </c>
      <c r="TX12" s="65">
        <v>1704</v>
      </c>
      <c r="TY12" s="65">
        <v>1748</v>
      </c>
      <c r="TZ12" s="65">
        <v>1745</v>
      </c>
      <c r="UA12" s="65">
        <v>1551</v>
      </c>
      <c r="UB12" s="65">
        <v>1683</v>
      </c>
      <c r="UC12" s="65">
        <v>1963</v>
      </c>
      <c r="UD12" s="65">
        <v>1871</v>
      </c>
      <c r="UE12" s="65">
        <v>1962</v>
      </c>
      <c r="UF12" s="65">
        <v>1963</v>
      </c>
      <c r="UG12" s="65">
        <v>1931</v>
      </c>
      <c r="UH12" s="65">
        <v>1777</v>
      </c>
      <c r="UI12" s="65">
        <v>1820</v>
      </c>
      <c r="UJ12" s="65">
        <v>1719</v>
      </c>
      <c r="UK12" s="65">
        <v>1701</v>
      </c>
      <c r="UL12" s="65">
        <v>1708</v>
      </c>
      <c r="UM12" s="65">
        <v>1843</v>
      </c>
      <c r="UN12" s="65">
        <v>1787</v>
      </c>
      <c r="UO12" s="65">
        <v>1644</v>
      </c>
      <c r="UP12" s="65">
        <v>1654</v>
      </c>
      <c r="UQ12" s="65">
        <v>1838</v>
      </c>
      <c r="UR12" s="65">
        <v>1790</v>
      </c>
      <c r="US12" s="65">
        <v>1873</v>
      </c>
      <c r="UT12" s="65">
        <v>1961</v>
      </c>
      <c r="UU12" s="65">
        <v>1933</v>
      </c>
      <c r="UV12" s="65">
        <v>1733</v>
      </c>
      <c r="UW12" s="65">
        <v>1701</v>
      </c>
      <c r="UX12" s="65">
        <v>1715</v>
      </c>
      <c r="UY12" s="65">
        <v>1718</v>
      </c>
      <c r="UZ12" s="65">
        <v>1769</v>
      </c>
      <c r="VA12" s="65">
        <v>1862</v>
      </c>
      <c r="VB12" s="65">
        <v>1758</v>
      </c>
      <c r="VC12" s="65">
        <v>1648</v>
      </c>
      <c r="VD12" s="65">
        <v>1617</v>
      </c>
      <c r="VE12" s="65">
        <v>1610</v>
      </c>
      <c r="VF12" s="65">
        <v>1610</v>
      </c>
      <c r="VG12" s="65">
        <v>1714</v>
      </c>
      <c r="VH12" s="65">
        <v>1800</v>
      </c>
      <c r="VI12" s="65">
        <v>2294</v>
      </c>
      <c r="VJ12" s="65">
        <v>2136</v>
      </c>
      <c r="VK12" s="65">
        <v>1886</v>
      </c>
      <c r="VL12" s="65">
        <v>1828</v>
      </c>
      <c r="VM12" s="65">
        <v>1779</v>
      </c>
      <c r="VN12" s="65">
        <v>1832</v>
      </c>
      <c r="VO12" s="65">
        <v>1925</v>
      </c>
      <c r="VP12" s="65">
        <v>1998</v>
      </c>
      <c r="VQ12" s="65">
        <v>1795</v>
      </c>
      <c r="VR12" s="65">
        <v>1639</v>
      </c>
      <c r="VS12" s="65">
        <v>1675</v>
      </c>
      <c r="VT12" s="65">
        <v>1626</v>
      </c>
      <c r="VU12" s="65">
        <v>1703</v>
      </c>
      <c r="VV12" s="65">
        <v>1800</v>
      </c>
      <c r="VW12" s="65">
        <v>2146</v>
      </c>
      <c r="VX12" s="65">
        <v>2015</v>
      </c>
      <c r="VY12" s="65">
        <v>1750</v>
      </c>
      <c r="VZ12" s="65">
        <v>1691</v>
      </c>
      <c r="WA12" s="65">
        <v>1773</v>
      </c>
      <c r="WB12" s="65">
        <v>2052</v>
      </c>
      <c r="WC12" s="65">
        <v>2191</v>
      </c>
      <c r="WD12" s="65">
        <v>2254</v>
      </c>
      <c r="WE12" s="65">
        <v>2197</v>
      </c>
      <c r="WF12" s="65">
        <v>2003</v>
      </c>
      <c r="WG12" s="65">
        <v>1957</v>
      </c>
      <c r="WH12" s="65">
        <v>1885</v>
      </c>
      <c r="WI12" s="65">
        <v>1940</v>
      </c>
      <c r="WJ12" s="65">
        <v>1907</v>
      </c>
      <c r="WK12" s="65">
        <v>1974</v>
      </c>
      <c r="WL12" s="65">
        <v>2067</v>
      </c>
      <c r="WM12" s="65">
        <v>1996</v>
      </c>
      <c r="WN12" s="65">
        <v>2414</v>
      </c>
      <c r="WO12" s="65">
        <v>2302</v>
      </c>
      <c r="WP12" s="65">
        <v>2224</v>
      </c>
      <c r="WQ12" s="65">
        <v>2280</v>
      </c>
      <c r="WR12" s="65">
        <v>2434</v>
      </c>
      <c r="WS12" s="65">
        <v>2455</v>
      </c>
      <c r="WT12" s="65">
        <v>2291</v>
      </c>
      <c r="WU12" s="65">
        <v>2379</v>
      </c>
      <c r="WV12" s="65">
        <v>2480</v>
      </c>
      <c r="WW12" s="65">
        <v>2335</v>
      </c>
      <c r="WX12" s="65">
        <v>2500</v>
      </c>
      <c r="WY12" s="65">
        <v>2437</v>
      </c>
      <c r="WZ12" s="65">
        <v>2451</v>
      </c>
      <c r="XA12" s="65">
        <v>2288</v>
      </c>
      <c r="XB12" s="65">
        <v>2314</v>
      </c>
      <c r="XC12" s="65">
        <v>2450</v>
      </c>
      <c r="XD12" s="65">
        <v>2425</v>
      </c>
      <c r="XE12" s="65">
        <v>2543</v>
      </c>
      <c r="XF12" s="65">
        <v>2573</v>
      </c>
      <c r="XG12" s="65">
        <v>2644</v>
      </c>
      <c r="XH12" s="65">
        <v>2382</v>
      </c>
      <c r="XI12" s="65">
        <v>2315</v>
      </c>
      <c r="XJ12" s="65">
        <v>2448</v>
      </c>
      <c r="XK12" s="65">
        <v>2448</v>
      </c>
      <c r="XL12" s="65">
        <v>2553</v>
      </c>
      <c r="XM12" s="65">
        <v>2634</v>
      </c>
      <c r="XN12" s="65">
        <v>2553</v>
      </c>
      <c r="XO12" s="65">
        <v>2311</v>
      </c>
      <c r="XP12" s="65">
        <v>2342</v>
      </c>
      <c r="XQ12" s="65">
        <v>2504</v>
      </c>
      <c r="XR12" s="65">
        <v>2754</v>
      </c>
      <c r="XS12" s="65">
        <v>2708</v>
      </c>
      <c r="XT12" s="65">
        <v>2858</v>
      </c>
      <c r="XU12" s="65">
        <v>2710</v>
      </c>
      <c r="XV12" s="65">
        <v>2494</v>
      </c>
      <c r="XW12" s="65">
        <v>2483</v>
      </c>
      <c r="XX12" s="65">
        <v>2471</v>
      </c>
      <c r="XY12" s="65">
        <v>2460</v>
      </c>
      <c r="XZ12" s="65">
        <v>2631</v>
      </c>
      <c r="YA12" s="65">
        <v>2757</v>
      </c>
      <c r="YB12" s="65">
        <v>2607</v>
      </c>
      <c r="YC12" s="158">
        <v>2300</v>
      </c>
      <c r="YD12" s="158">
        <v>2250</v>
      </c>
      <c r="YE12" s="158">
        <v>2296</v>
      </c>
      <c r="YF12" s="158">
        <v>2495</v>
      </c>
      <c r="YG12" s="158">
        <v>2700</v>
      </c>
      <c r="YH12" s="158">
        <v>2817</v>
      </c>
      <c r="YI12" s="158">
        <v>2864</v>
      </c>
      <c r="YJ12" s="158">
        <v>2509</v>
      </c>
      <c r="YK12" s="158">
        <v>2470</v>
      </c>
      <c r="YL12" s="158">
        <v>2483</v>
      </c>
      <c r="YM12" s="158">
        <v>2452</v>
      </c>
    </row>
    <row r="13" spans="1:663" ht="15.75" customHeight="1" x14ac:dyDescent="0.2">
      <c r="A13" s="52"/>
      <c r="B13" s="53" t="s">
        <v>159</v>
      </c>
      <c r="C13" s="54">
        <f>C12/296-1</f>
        <v>-0.71283783783783783</v>
      </c>
      <c r="D13" s="54">
        <f t="shared" ref="D13:AF13" si="17">D12/C12-1</f>
        <v>-0.15294117647058825</v>
      </c>
      <c r="E13" s="54">
        <f t="shared" si="17"/>
        <v>0.27777777777777768</v>
      </c>
      <c r="F13" s="54">
        <f t="shared" si="17"/>
        <v>3.2608695652173836E-2</v>
      </c>
      <c r="G13" s="54">
        <f t="shared" si="17"/>
        <v>-0.10526315789473684</v>
      </c>
      <c r="H13" s="54">
        <f t="shared" si="17"/>
        <v>-7.0588235294117618E-2</v>
      </c>
      <c r="I13" s="54">
        <f t="shared" si="17"/>
        <v>0.240506329113924</v>
      </c>
      <c r="J13" s="54">
        <f t="shared" si="17"/>
        <v>-7.1428571428571397E-2</v>
      </c>
      <c r="K13" s="54">
        <f t="shared" si="17"/>
        <v>0</v>
      </c>
      <c r="L13" s="54">
        <f t="shared" si="17"/>
        <v>4.3956043956044022E-2</v>
      </c>
      <c r="M13" s="54">
        <f t="shared" si="17"/>
        <v>4.2105263157894646E-2</v>
      </c>
      <c r="N13" s="54">
        <f t="shared" si="17"/>
        <v>-0.14141414141414144</v>
      </c>
      <c r="O13" s="54">
        <f t="shared" si="17"/>
        <v>-5.8823529411764719E-2</v>
      </c>
      <c r="P13" s="54">
        <f t="shared" si="17"/>
        <v>0.33749999999999991</v>
      </c>
      <c r="Q13" s="54">
        <f t="shared" si="17"/>
        <v>6.5420560747663448E-2</v>
      </c>
      <c r="R13" s="54">
        <f t="shared" si="17"/>
        <v>7.0175438596491224E-2</v>
      </c>
      <c r="S13" s="54">
        <f t="shared" si="17"/>
        <v>-7.3770491803278659E-2</v>
      </c>
      <c r="T13" s="54">
        <f t="shared" si="17"/>
        <v>8.8495575221239076E-3</v>
      </c>
      <c r="U13" s="54">
        <f t="shared" si="17"/>
        <v>-0.14912280701754388</v>
      </c>
      <c r="V13" s="54">
        <f t="shared" si="17"/>
        <v>8.247422680412364E-2</v>
      </c>
      <c r="W13" s="54">
        <f t="shared" si="17"/>
        <v>1.904761904761898E-2</v>
      </c>
      <c r="X13" s="54">
        <f t="shared" si="17"/>
        <v>1.8691588785046731E-2</v>
      </c>
      <c r="Y13" s="54">
        <f t="shared" si="17"/>
        <v>0.17431192660550465</v>
      </c>
      <c r="Z13" s="54">
        <f t="shared" si="17"/>
        <v>-5.46875E-2</v>
      </c>
      <c r="AA13" s="54">
        <f t="shared" si="17"/>
        <v>-2.4793388429752095E-2</v>
      </c>
      <c r="AB13" s="54">
        <f t="shared" si="17"/>
        <v>5.9322033898305149E-2</v>
      </c>
      <c r="AC13" s="54">
        <f t="shared" si="17"/>
        <v>-0.14400000000000002</v>
      </c>
      <c r="AD13" s="54">
        <f t="shared" si="17"/>
        <v>1.8691588785046731E-2</v>
      </c>
      <c r="AE13" s="54">
        <f t="shared" si="17"/>
        <v>0.17431192660550465</v>
      </c>
      <c r="AF13" s="54">
        <f t="shared" si="17"/>
        <v>-0.1640625</v>
      </c>
      <c r="AG13" s="54">
        <f t="shared" ref="AG13:KA13" si="18">IFERROR(AG12/AF12-1,"")</f>
        <v>9.3457943925232545E-3</v>
      </c>
      <c r="AH13" s="54">
        <f t="shared" si="18"/>
        <v>0.25</v>
      </c>
      <c r="AI13" s="54">
        <f t="shared" si="18"/>
        <v>-8.1481481481481488E-2</v>
      </c>
      <c r="AJ13" s="54">
        <f t="shared" si="18"/>
        <v>-0.22580645161290325</v>
      </c>
      <c r="AK13" s="54">
        <f t="shared" si="18"/>
        <v>0.14583333333333326</v>
      </c>
      <c r="AL13" s="54">
        <f t="shared" si="18"/>
        <v>0.26363636363636367</v>
      </c>
      <c r="AM13" s="54">
        <f t="shared" si="18"/>
        <v>-7.1942446043165464E-2</v>
      </c>
      <c r="AN13" s="54">
        <f t="shared" si="18"/>
        <v>-0.10077519379844957</v>
      </c>
      <c r="AO13" s="54">
        <f t="shared" si="18"/>
        <v>0.1293103448275863</v>
      </c>
      <c r="AP13" s="54">
        <f t="shared" si="18"/>
        <v>-9.92366412213741E-2</v>
      </c>
      <c r="AQ13" s="54">
        <f t="shared" si="18"/>
        <v>-3.3898305084745783E-2</v>
      </c>
      <c r="AR13" s="54">
        <f t="shared" si="18"/>
        <v>7.0175438596491224E-2</v>
      </c>
      <c r="AS13" s="54">
        <f t="shared" si="18"/>
        <v>0</v>
      </c>
      <c r="AT13" s="54">
        <f t="shared" si="18"/>
        <v>5.7377049180327822E-2</v>
      </c>
      <c r="AU13" s="54">
        <f t="shared" si="18"/>
        <v>0.10852713178294571</v>
      </c>
      <c r="AV13" s="54">
        <f t="shared" si="18"/>
        <v>0.13986013986013979</v>
      </c>
      <c r="AW13" s="54">
        <f t="shared" si="18"/>
        <v>-0.2024539877300614</v>
      </c>
      <c r="AX13" s="54">
        <f t="shared" si="18"/>
        <v>9.2307692307692202E-2</v>
      </c>
      <c r="AY13" s="54">
        <f t="shared" si="18"/>
        <v>-7.0422535211267623E-2</v>
      </c>
      <c r="AZ13" s="54">
        <f t="shared" si="18"/>
        <v>9.0909090909090828E-2</v>
      </c>
      <c r="BA13" s="54">
        <f t="shared" si="18"/>
        <v>6.9444444444444198E-3</v>
      </c>
      <c r="BB13" s="54">
        <f t="shared" si="18"/>
        <v>-3.4482758620689613E-2</v>
      </c>
      <c r="BC13" s="54">
        <f t="shared" si="18"/>
        <v>5.7142857142857162E-2</v>
      </c>
      <c r="BD13" s="54">
        <f t="shared" si="18"/>
        <v>-4.0540540540540571E-2</v>
      </c>
      <c r="BE13" s="54">
        <f t="shared" si="18"/>
        <v>4.2253521126760507E-2</v>
      </c>
      <c r="BF13" s="54">
        <f t="shared" si="18"/>
        <v>-0.14864864864864868</v>
      </c>
      <c r="BG13" s="54">
        <f t="shared" si="18"/>
        <v>-6.3492063492063489E-2</v>
      </c>
      <c r="BH13" s="54">
        <f t="shared" si="18"/>
        <v>0.22881355932203395</v>
      </c>
      <c r="BI13" s="54">
        <f t="shared" si="18"/>
        <v>-3.4482758620689613E-2</v>
      </c>
      <c r="BJ13" s="54">
        <f t="shared" si="18"/>
        <v>0.39285714285714279</v>
      </c>
      <c r="BK13" s="54">
        <f t="shared" si="18"/>
        <v>-0.14871794871794874</v>
      </c>
      <c r="BL13" s="54">
        <f t="shared" si="18"/>
        <v>-6.0240963855421659E-2</v>
      </c>
      <c r="BM13" s="54">
        <f t="shared" si="18"/>
        <v>-5.7692307692307709E-2</v>
      </c>
      <c r="BN13" s="54">
        <f t="shared" si="18"/>
        <v>-4.081632653061229E-2</v>
      </c>
      <c r="BO13" s="54">
        <f t="shared" si="18"/>
        <v>5.6737588652482351E-2</v>
      </c>
      <c r="BP13" s="54">
        <f t="shared" si="18"/>
        <v>0</v>
      </c>
      <c r="BQ13" s="54">
        <f t="shared" si="18"/>
        <v>0</v>
      </c>
      <c r="BR13" s="54">
        <f t="shared" si="18"/>
        <v>-6.0402684563758413E-2</v>
      </c>
      <c r="BS13" s="54">
        <f t="shared" si="18"/>
        <v>-2.1428571428571463E-2</v>
      </c>
      <c r="BT13" s="54">
        <f t="shared" si="18"/>
        <v>-3.6496350364963459E-2</v>
      </c>
      <c r="BU13" s="54">
        <f t="shared" si="18"/>
        <v>-1.5151515151515138E-2</v>
      </c>
      <c r="BV13" s="54">
        <f t="shared" si="18"/>
        <v>-2.3076923076923106E-2</v>
      </c>
      <c r="BW13" s="54">
        <f t="shared" si="18"/>
        <v>0.30708661417322825</v>
      </c>
      <c r="BX13" s="54">
        <f t="shared" si="18"/>
        <v>4.2168674698795261E-2</v>
      </c>
      <c r="BY13" s="54">
        <f t="shared" si="18"/>
        <v>-0.13872832369942201</v>
      </c>
      <c r="BZ13" s="54">
        <f t="shared" si="18"/>
        <v>-7.3825503355704702E-2</v>
      </c>
      <c r="CA13" s="54">
        <f t="shared" si="18"/>
        <v>0.15217391304347827</v>
      </c>
      <c r="CB13" s="54">
        <f t="shared" si="18"/>
        <v>-3.1446540880503138E-2</v>
      </c>
      <c r="CC13" s="54">
        <f t="shared" si="18"/>
        <v>7.1428571428571397E-2</v>
      </c>
      <c r="CD13" s="54">
        <f t="shared" si="18"/>
        <v>-3.0303030303030276E-2</v>
      </c>
      <c r="CE13" s="54">
        <f t="shared" si="18"/>
        <v>0.13749999999999996</v>
      </c>
      <c r="CF13" s="54">
        <f t="shared" si="18"/>
        <v>-0.10439560439560436</v>
      </c>
      <c r="CG13" s="54">
        <f t="shared" si="18"/>
        <v>-0.1165644171779141</v>
      </c>
      <c r="CH13" s="54">
        <f t="shared" si="18"/>
        <v>0.125</v>
      </c>
      <c r="CI13" s="54">
        <f t="shared" si="18"/>
        <v>0</v>
      </c>
      <c r="CJ13" s="54">
        <f t="shared" si="18"/>
        <v>-1</v>
      </c>
      <c r="CK13" s="54" t="str">
        <f t="shared" si="18"/>
        <v/>
      </c>
      <c r="CL13" s="54">
        <f t="shared" si="18"/>
        <v>9.9415204678362512E-2</v>
      </c>
      <c r="CM13" s="54">
        <f t="shared" si="18"/>
        <v>-0.14893617021276595</v>
      </c>
      <c r="CN13" s="54">
        <f t="shared" si="18"/>
        <v>6.25E-2</v>
      </c>
      <c r="CO13" s="54">
        <f t="shared" si="18"/>
        <v>-1.1764705882352899E-2</v>
      </c>
      <c r="CP13" s="54">
        <f t="shared" si="18"/>
        <v>8.9285714285714191E-2</v>
      </c>
      <c r="CQ13" s="54">
        <f t="shared" si="18"/>
        <v>-7.6502732240437132E-2</v>
      </c>
      <c r="CR13" s="54">
        <f t="shared" si="18"/>
        <v>0.14201183431952669</v>
      </c>
      <c r="CS13" s="54">
        <f t="shared" si="18"/>
        <v>-5.1813471502590858E-3</v>
      </c>
      <c r="CT13" s="54">
        <f t="shared" si="18"/>
        <v>-2.604166666666663E-2</v>
      </c>
      <c r="CU13" s="54">
        <f t="shared" si="18"/>
        <v>-4.8128342245989275E-2</v>
      </c>
      <c r="CV13" s="54">
        <f t="shared" si="18"/>
        <v>-7.3033707865168496E-2</v>
      </c>
      <c r="CW13" s="54">
        <f t="shared" si="18"/>
        <v>7.8787878787878851E-2</v>
      </c>
      <c r="CX13" s="54">
        <f t="shared" si="18"/>
        <v>8.4269662921348409E-2</v>
      </c>
      <c r="CY13" s="54">
        <f t="shared" si="18"/>
        <v>-9.8445595854922296E-2</v>
      </c>
      <c r="CZ13" s="54">
        <f t="shared" si="18"/>
        <v>0.13793103448275867</v>
      </c>
      <c r="DA13" s="54">
        <f t="shared" si="18"/>
        <v>-7.0707070707070718E-2</v>
      </c>
      <c r="DB13" s="54">
        <f t="shared" si="18"/>
        <v>-4.3478260869565188E-2</v>
      </c>
      <c r="DC13" s="54">
        <f t="shared" si="18"/>
        <v>9.6590909090909172E-2</v>
      </c>
      <c r="DD13" s="54">
        <f t="shared" si="18"/>
        <v>7.7720207253886064E-2</v>
      </c>
      <c r="DE13" s="54">
        <f t="shared" si="18"/>
        <v>-0.16826923076923073</v>
      </c>
      <c r="DF13" s="54">
        <f t="shared" si="18"/>
        <v>-7.5144508670520249E-2</v>
      </c>
      <c r="DG13" s="54">
        <f t="shared" si="18"/>
        <v>0.24374999999999991</v>
      </c>
      <c r="DH13" s="54">
        <f t="shared" si="18"/>
        <v>5.0251256281406143E-3</v>
      </c>
      <c r="DI13" s="54">
        <f t="shared" si="18"/>
        <v>-4.0000000000000036E-2</v>
      </c>
      <c r="DJ13" s="54">
        <f t="shared" si="18"/>
        <v>2.0833333333333259E-2</v>
      </c>
      <c r="DK13" s="54">
        <f t="shared" si="18"/>
        <v>7.1428571428571397E-2</v>
      </c>
      <c r="DL13" s="54">
        <f t="shared" si="18"/>
        <v>-3.8095238095238071E-2</v>
      </c>
      <c r="DM13" s="54">
        <f t="shared" si="18"/>
        <v>-3.9603960396039639E-2</v>
      </c>
      <c r="DN13" s="54">
        <f t="shared" si="18"/>
        <v>0.11340206185567014</v>
      </c>
      <c r="DO13" s="54">
        <f t="shared" si="18"/>
        <v>7.4074074074074181E-2</v>
      </c>
      <c r="DP13" s="54">
        <f t="shared" si="18"/>
        <v>-0.17241379310344829</v>
      </c>
      <c r="DQ13" s="54">
        <f t="shared" si="18"/>
        <v>-0.10416666666666663</v>
      </c>
      <c r="DR13" s="54">
        <f t="shared" si="18"/>
        <v>0.20348837209302317</v>
      </c>
      <c r="DS13" s="54">
        <f t="shared" si="18"/>
        <v>0.11111111111111116</v>
      </c>
      <c r="DT13" s="54">
        <f t="shared" si="18"/>
        <v>-3.4782608695652195E-2</v>
      </c>
      <c r="DU13" s="54">
        <f t="shared" si="18"/>
        <v>-5.8558558558558516E-2</v>
      </c>
      <c r="DV13" s="54">
        <f t="shared" si="18"/>
        <v>-8.1339712918660267E-2</v>
      </c>
      <c r="DW13" s="54">
        <f t="shared" si="18"/>
        <v>4.6875E-2</v>
      </c>
      <c r="DX13" s="54">
        <f t="shared" si="18"/>
        <v>-5.9701492537313383E-2</v>
      </c>
      <c r="DY13" s="54">
        <f t="shared" si="18"/>
        <v>0.13227513227513232</v>
      </c>
      <c r="DZ13" s="54">
        <f t="shared" si="18"/>
        <v>4.6728971962616717E-2</v>
      </c>
      <c r="EA13" s="54">
        <f t="shared" si="18"/>
        <v>-4.0178571428571397E-2</v>
      </c>
      <c r="EB13" s="54">
        <f t="shared" si="18"/>
        <v>6.0465116279069697E-2</v>
      </c>
      <c r="EC13" s="54">
        <f t="shared" si="18"/>
        <v>-6.1403508771929793E-2</v>
      </c>
      <c r="ED13" s="54">
        <f t="shared" si="18"/>
        <v>-0.15887850467289721</v>
      </c>
      <c r="EE13" s="54">
        <f t="shared" si="18"/>
        <v>0</v>
      </c>
      <c r="EF13" s="54">
        <f t="shared" si="18"/>
        <v>0.15555555555555545</v>
      </c>
      <c r="EG13" s="54">
        <f t="shared" si="18"/>
        <v>0.13942307692307687</v>
      </c>
      <c r="EH13" s="54">
        <f t="shared" si="18"/>
        <v>-4.2194092827003704E-3</v>
      </c>
      <c r="EI13" s="54">
        <f t="shared" si="18"/>
        <v>5.508474576271194E-2</v>
      </c>
      <c r="EJ13" s="54">
        <f t="shared" si="18"/>
        <v>0</v>
      </c>
      <c r="EK13" s="54">
        <f t="shared" si="18"/>
        <v>-0.14457831325301207</v>
      </c>
      <c r="EL13" s="54">
        <f t="shared" si="18"/>
        <v>0.16901408450704225</v>
      </c>
      <c r="EM13" s="54">
        <f t="shared" si="18"/>
        <v>7.2289156626506035E-2</v>
      </c>
      <c r="EN13" s="54">
        <f t="shared" si="18"/>
        <v>4.1198501872659277E-2</v>
      </c>
      <c r="EO13" s="54">
        <f t="shared" si="18"/>
        <v>8.9928057553956942E-2</v>
      </c>
      <c r="EP13" s="54">
        <f t="shared" si="18"/>
        <v>-9.9009900990098987E-2</v>
      </c>
      <c r="EQ13" s="54">
        <f t="shared" si="18"/>
        <v>-6.2271062271062272E-2</v>
      </c>
      <c r="ER13" s="54">
        <f t="shared" si="18"/>
        <v>-0.109375</v>
      </c>
      <c r="ES13" s="54">
        <f t="shared" si="18"/>
        <v>0.16228070175438591</v>
      </c>
      <c r="ET13" s="54">
        <f t="shared" si="18"/>
        <v>-4.5283018867924518E-2</v>
      </c>
      <c r="EU13" s="54">
        <f t="shared" si="18"/>
        <v>6.7193675889328119E-2</v>
      </c>
      <c r="EV13" s="54">
        <f t="shared" si="18"/>
        <v>3.3333333333333437E-2</v>
      </c>
      <c r="EW13" s="54">
        <f t="shared" si="18"/>
        <v>-1.7921146953404965E-2</v>
      </c>
      <c r="EX13" s="54">
        <f t="shared" si="18"/>
        <v>0.12773722627737216</v>
      </c>
      <c r="EY13" s="54">
        <f t="shared" si="18"/>
        <v>-0.12621359223300976</v>
      </c>
      <c r="EZ13" s="54">
        <f t="shared" si="18"/>
        <v>5.1851851851851816E-2</v>
      </c>
      <c r="FA13" s="54">
        <f t="shared" si="18"/>
        <v>6.3380281690140761E-2</v>
      </c>
      <c r="FB13" s="54">
        <f t="shared" si="18"/>
        <v>6.29139072847682E-2</v>
      </c>
      <c r="FC13" s="54">
        <f t="shared" si="18"/>
        <v>4.9844236760124616E-2</v>
      </c>
      <c r="FD13" s="54">
        <f t="shared" si="18"/>
        <v>-6.2314540059347223E-2</v>
      </c>
      <c r="FE13" s="54">
        <f t="shared" si="18"/>
        <v>-2.5316455696202556E-2</v>
      </c>
      <c r="FF13" s="54">
        <f t="shared" si="18"/>
        <v>-8.7662337662337664E-2</v>
      </c>
      <c r="FG13" s="54">
        <f t="shared" si="18"/>
        <v>2.8469750889679624E-2</v>
      </c>
      <c r="FH13" s="54">
        <f t="shared" si="18"/>
        <v>3.460207612456756E-2</v>
      </c>
      <c r="FI13" s="54">
        <f t="shared" si="18"/>
        <v>3.6789297658862852E-2</v>
      </c>
      <c r="FJ13" s="54">
        <f t="shared" si="18"/>
        <v>1.6129032258064502E-2</v>
      </c>
      <c r="FK13" s="54">
        <f t="shared" si="18"/>
        <v>0.12698412698412698</v>
      </c>
      <c r="FL13" s="54">
        <f t="shared" si="18"/>
        <v>-3.3802816901408406E-2</v>
      </c>
      <c r="FM13" s="54">
        <f t="shared" si="18"/>
        <v>-9.0379008746355738E-2</v>
      </c>
      <c r="FN13" s="54">
        <f t="shared" si="18"/>
        <v>3.2051282051282159E-2</v>
      </c>
      <c r="FO13" s="54">
        <f t="shared" si="18"/>
        <v>-3.7267080745341574E-2</v>
      </c>
      <c r="FP13" s="54">
        <f t="shared" si="18"/>
        <v>0.19032258064516139</v>
      </c>
      <c r="FQ13" s="54">
        <f t="shared" si="18"/>
        <v>-2.4390243902439046E-2</v>
      </c>
      <c r="FR13" s="54">
        <f t="shared" si="18"/>
        <v>-8.3333333333333037E-3</v>
      </c>
      <c r="FS13" s="54">
        <f t="shared" si="18"/>
        <v>5.3221288515406195E-2</v>
      </c>
      <c r="FT13" s="54">
        <f t="shared" si="18"/>
        <v>-6.3829787234042534E-2</v>
      </c>
      <c r="FU13" s="54">
        <f t="shared" si="18"/>
        <v>0</v>
      </c>
      <c r="FV13" s="54">
        <f t="shared" si="18"/>
        <v>1.9886363636363535E-2</v>
      </c>
      <c r="FW13" s="54">
        <f t="shared" si="18"/>
        <v>-2.2284122562674091E-2</v>
      </c>
      <c r="FX13" s="54">
        <f t="shared" si="18"/>
        <v>2.8490028490028463E-2</v>
      </c>
      <c r="FY13" s="54">
        <f t="shared" si="18"/>
        <v>9.695290858725758E-2</v>
      </c>
      <c r="FZ13" s="54">
        <f t="shared" si="18"/>
        <v>-8.333333333333337E-2</v>
      </c>
      <c r="GA13" s="54">
        <f t="shared" si="18"/>
        <v>-3.5812672176308569E-2</v>
      </c>
      <c r="GB13" s="54">
        <f t="shared" si="18"/>
        <v>4.5714285714285818E-2</v>
      </c>
      <c r="GC13" s="54">
        <f t="shared" si="18"/>
        <v>5.464480874316946E-3</v>
      </c>
      <c r="GD13" s="54">
        <f t="shared" si="18"/>
        <v>2.1739130434782705E-2</v>
      </c>
      <c r="GE13" s="54">
        <f t="shared" si="18"/>
        <v>1.5957446808510634E-2</v>
      </c>
      <c r="GF13" s="54">
        <f t="shared" si="18"/>
        <v>8.6387434554973774E-2</v>
      </c>
      <c r="GG13" s="54">
        <f t="shared" si="18"/>
        <v>-6.5060240963855431E-2</v>
      </c>
      <c r="GH13" s="54">
        <f t="shared" si="18"/>
        <v>5.1546391752577136E-3</v>
      </c>
      <c r="GI13" s="54">
        <f t="shared" si="18"/>
        <v>-0.17179487179487174</v>
      </c>
      <c r="GJ13" s="54">
        <f t="shared" si="18"/>
        <v>6.8111455108359031E-2</v>
      </c>
      <c r="GK13" s="54">
        <f t="shared" si="18"/>
        <v>3.7681159420289934E-2</v>
      </c>
      <c r="GL13" s="54">
        <f t="shared" si="18"/>
        <v>8.6592178770949824E-2</v>
      </c>
      <c r="GM13" s="54">
        <f t="shared" si="18"/>
        <v>0</v>
      </c>
      <c r="GN13" s="54">
        <f t="shared" si="18"/>
        <v>6.4267352185090054E-2</v>
      </c>
      <c r="GO13" s="54">
        <f t="shared" si="18"/>
        <v>-3.8647342995169032E-2</v>
      </c>
      <c r="GP13" s="54">
        <f t="shared" si="18"/>
        <v>-3.0150753768844241E-2</v>
      </c>
      <c r="GQ13" s="54">
        <f t="shared" si="18"/>
        <v>8.0310880829015607E-2</v>
      </c>
      <c r="GR13" s="54">
        <f t="shared" si="18"/>
        <v>-1.1990407673860948E-2</v>
      </c>
      <c r="GS13" s="54">
        <f t="shared" si="18"/>
        <v>2.4271844660194164E-2</v>
      </c>
      <c r="GT13" s="54">
        <f t="shared" si="18"/>
        <v>4.7393364928909998E-2</v>
      </c>
      <c r="GU13" s="54">
        <f t="shared" si="18"/>
        <v>-9.0497737556560764E-3</v>
      </c>
      <c r="GV13" s="54">
        <f t="shared" si="18"/>
        <v>-0.17579908675799083</v>
      </c>
      <c r="GW13" s="54">
        <f t="shared" si="18"/>
        <v>5.5401662049860967E-3</v>
      </c>
      <c r="GX13" s="54">
        <f t="shared" si="18"/>
        <v>-8.2644628099173278E-3</v>
      </c>
      <c r="GY13" s="54">
        <f t="shared" si="18"/>
        <v>1.1111111111111072E-2</v>
      </c>
      <c r="GZ13" s="54">
        <f t="shared" si="18"/>
        <v>0.12362637362637363</v>
      </c>
      <c r="HA13" s="54">
        <f t="shared" si="18"/>
        <v>9.2909535452322833E-2</v>
      </c>
      <c r="HB13" s="54">
        <f t="shared" si="18"/>
        <v>-7.8299776286353429E-2</v>
      </c>
      <c r="HC13" s="54">
        <f t="shared" si="18"/>
        <v>-3.8834951456310662E-2</v>
      </c>
      <c r="HD13" s="54">
        <f t="shared" si="18"/>
        <v>-8.8383838383838342E-2</v>
      </c>
      <c r="HE13" s="54">
        <f t="shared" si="18"/>
        <v>0.15235457063711921</v>
      </c>
      <c r="HF13" s="54">
        <f t="shared" si="18"/>
        <v>1.9230769230769162E-2</v>
      </c>
      <c r="HG13" s="54">
        <f t="shared" si="18"/>
        <v>0.16273584905660377</v>
      </c>
      <c r="HH13" s="54">
        <f t="shared" si="18"/>
        <v>-2.0283975659228792E-3</v>
      </c>
      <c r="HI13" s="54">
        <f t="shared" si="18"/>
        <v>-1.2195121951219523E-2</v>
      </c>
      <c r="HJ13" s="54">
        <f t="shared" si="18"/>
        <v>-0.15843621399176955</v>
      </c>
      <c r="HK13" s="54">
        <f t="shared" si="18"/>
        <v>-4.1564792176039145E-2</v>
      </c>
      <c r="HL13" s="54">
        <f t="shared" si="18"/>
        <v>9.6938775510204023E-2</v>
      </c>
      <c r="HM13" s="54">
        <f t="shared" si="18"/>
        <v>2.7906976744185963E-2</v>
      </c>
      <c r="HN13" s="54">
        <f t="shared" si="18"/>
        <v>6.7873303167420573E-3</v>
      </c>
      <c r="HO13" s="54">
        <f t="shared" si="18"/>
        <v>5.3932584269662964E-2</v>
      </c>
      <c r="HP13" s="54">
        <f t="shared" si="18"/>
        <v>-2.9850746268656692E-2</v>
      </c>
      <c r="HQ13" s="54">
        <f t="shared" si="18"/>
        <v>-0.12967032967032965</v>
      </c>
      <c r="HR13" s="54">
        <f t="shared" si="18"/>
        <v>-3.5353535353535359E-2</v>
      </c>
      <c r="HS13" s="54">
        <f t="shared" si="18"/>
        <v>4.7120418848167533E-2</v>
      </c>
      <c r="HT13" s="54">
        <f t="shared" si="18"/>
        <v>7.2500000000000009E-2</v>
      </c>
      <c r="HU13" s="54">
        <f t="shared" si="18"/>
        <v>0.14918414918414924</v>
      </c>
      <c r="HV13" s="54">
        <f t="shared" si="18"/>
        <v>3.8539553752535483E-2</v>
      </c>
      <c r="HW13" s="54">
        <f t="shared" si="18"/>
        <v>-4.1015625E-2</v>
      </c>
      <c r="HX13" s="54">
        <f t="shared" si="18"/>
        <v>-4.6843177189409335E-2</v>
      </c>
      <c r="HY13" s="54">
        <f t="shared" si="18"/>
        <v>3.4188034188034289E-2</v>
      </c>
      <c r="HZ13" s="54">
        <f t="shared" si="18"/>
        <v>6.8181818181818121E-2</v>
      </c>
      <c r="IA13" s="54">
        <f t="shared" si="18"/>
        <v>4.0618955512572441E-2</v>
      </c>
      <c r="IB13" s="54">
        <f t="shared" si="18"/>
        <v>-6.6914498141263934E-2</v>
      </c>
      <c r="IC13" s="54">
        <f t="shared" si="18"/>
        <v>0</v>
      </c>
      <c r="ID13" s="54">
        <f t="shared" si="18"/>
        <v>-3.1872509960159334E-2</v>
      </c>
      <c r="IE13" s="54">
        <f t="shared" si="18"/>
        <v>-2.4691358024691357E-2</v>
      </c>
      <c r="IF13" s="54">
        <f t="shared" si="18"/>
        <v>-0.12869198312236285</v>
      </c>
      <c r="IG13" s="54">
        <f t="shared" si="18"/>
        <v>0.13075060532687655</v>
      </c>
      <c r="IH13" s="54">
        <f t="shared" si="18"/>
        <v>4.0685224839400513E-2</v>
      </c>
      <c r="II13" s="54">
        <f t="shared" si="18"/>
        <v>2.8806584362139898E-2</v>
      </c>
      <c r="IJ13" s="54">
        <f t="shared" si="18"/>
        <v>3.2000000000000028E-2</v>
      </c>
      <c r="IK13" s="54">
        <f t="shared" si="18"/>
        <v>3.1007751937984551E-2</v>
      </c>
      <c r="IL13" s="54">
        <f t="shared" si="18"/>
        <v>0.13721804511278202</v>
      </c>
      <c r="IM13" s="54">
        <f t="shared" si="18"/>
        <v>-6.115702479338847E-2</v>
      </c>
      <c r="IN13" s="54">
        <f t="shared" si="18"/>
        <v>-2.2887323943661997E-2</v>
      </c>
      <c r="IO13" s="54">
        <f t="shared" si="18"/>
        <v>2.3423423423423406E-2</v>
      </c>
      <c r="IP13" s="54">
        <f t="shared" si="18"/>
        <v>4.0492957746478764E-2</v>
      </c>
      <c r="IQ13" s="54">
        <f t="shared" si="18"/>
        <v>0.11336717428087995</v>
      </c>
      <c r="IR13" s="54">
        <f t="shared" si="18"/>
        <v>-5.9270516717325195E-2</v>
      </c>
      <c r="IS13" s="54">
        <f t="shared" si="18"/>
        <v>-9.2084006462035517E-2</v>
      </c>
      <c r="IT13" s="54">
        <f t="shared" si="18"/>
        <v>0.12633451957295372</v>
      </c>
      <c r="IU13" s="54">
        <f t="shared" si="18"/>
        <v>-0.12796208530805686</v>
      </c>
      <c r="IV13" s="54">
        <f t="shared" si="18"/>
        <v>-5.2536231884057982E-2</v>
      </c>
      <c r="IW13" s="54">
        <f t="shared" si="18"/>
        <v>0.14531548757170176</v>
      </c>
      <c r="IX13" s="54">
        <f t="shared" si="18"/>
        <v>8.1803005008347141E-2</v>
      </c>
      <c r="IY13" s="54">
        <f t="shared" si="18"/>
        <v>-6.1728395061728447E-2</v>
      </c>
      <c r="IZ13" s="54">
        <f t="shared" si="18"/>
        <v>7.0723684210526327E-2</v>
      </c>
      <c r="JA13" s="54">
        <f t="shared" si="18"/>
        <v>-8.4485407066052232E-2</v>
      </c>
      <c r="JB13" s="54">
        <f t="shared" si="18"/>
        <v>2.0134228187919545E-2</v>
      </c>
      <c r="JC13" s="54">
        <f t="shared" si="18"/>
        <v>1.3157894736842035E-2</v>
      </c>
      <c r="JD13" s="54">
        <f t="shared" si="18"/>
        <v>-2.5974025974025983E-2</v>
      </c>
      <c r="JE13" s="54">
        <f t="shared" si="18"/>
        <v>5.3333333333333233E-2</v>
      </c>
      <c r="JF13" s="54">
        <f t="shared" si="18"/>
        <v>-5.2215189873417667E-2</v>
      </c>
      <c r="JG13" s="54">
        <f t="shared" si="18"/>
        <v>-0.11352253756260433</v>
      </c>
      <c r="JH13" s="54">
        <f t="shared" si="18"/>
        <v>6.5913370998116783E-2</v>
      </c>
      <c r="JI13" s="54">
        <f t="shared" si="18"/>
        <v>-4.9469964664310973E-2</v>
      </c>
      <c r="JJ13" s="54">
        <f t="shared" si="18"/>
        <v>9.2936802973977661E-2</v>
      </c>
      <c r="JK13" s="54">
        <f t="shared" si="18"/>
        <v>-1.7006802721088454E-2</v>
      </c>
      <c r="JL13" s="54">
        <f t="shared" si="18"/>
        <v>6.5743944636678098E-2</v>
      </c>
      <c r="JM13" s="54">
        <f t="shared" si="18"/>
        <v>-1.4610389610389629E-2</v>
      </c>
      <c r="JN13" s="54">
        <f t="shared" si="18"/>
        <v>-0.13179571663920919</v>
      </c>
      <c r="JO13" s="54">
        <f t="shared" si="18"/>
        <v>0.11005692599620498</v>
      </c>
      <c r="JP13" s="54">
        <f t="shared" si="18"/>
        <v>8.8888888888888795E-2</v>
      </c>
      <c r="JQ13" s="54">
        <f t="shared" si="18"/>
        <v>2.8257456828885363E-2</v>
      </c>
      <c r="JR13" s="54">
        <f t="shared" si="18"/>
        <v>-2.1374045801526687E-2</v>
      </c>
      <c r="JS13" s="54">
        <f t="shared" si="18"/>
        <v>6.3962558502340006E-2</v>
      </c>
      <c r="JT13" s="54">
        <f t="shared" si="18"/>
        <v>-1.7595307917888547E-2</v>
      </c>
      <c r="JU13" s="54">
        <f t="shared" si="18"/>
        <v>-6.5671641791044788E-2</v>
      </c>
      <c r="JV13" s="54">
        <f t="shared" si="18"/>
        <v>1.5974440894568342E-3</v>
      </c>
      <c r="JW13" s="54">
        <f t="shared" si="18"/>
        <v>-2.2328548644338087E-2</v>
      </c>
      <c r="JX13" s="54">
        <f t="shared" si="18"/>
        <v>-6.525285481239762E-3</v>
      </c>
      <c r="JY13" s="54">
        <f t="shared" si="18"/>
        <v>5.5829228243021278E-2</v>
      </c>
      <c r="JZ13" s="54">
        <f t="shared" si="18"/>
        <v>7.1539657853810334E-2</v>
      </c>
      <c r="KA13" s="54">
        <f t="shared" si="18"/>
        <v>-7.547169811320753E-2</v>
      </c>
      <c r="KB13" s="54">
        <f t="shared" ref="KB13:TV13" si="19">IFERROR(KB12/KA12-1,"")</f>
        <v>-0.17111459968602827</v>
      </c>
      <c r="KC13" s="54">
        <f t="shared" si="19"/>
        <v>9.0909090909090828E-2</v>
      </c>
      <c r="KD13" s="54">
        <f t="shared" si="19"/>
        <v>0.109375</v>
      </c>
      <c r="KE13" s="54">
        <f t="shared" si="19"/>
        <v>-4.3818466353677588E-2</v>
      </c>
      <c r="KF13" s="54">
        <f t="shared" si="19"/>
        <v>0.1309328968903436</v>
      </c>
      <c r="KG13" s="54">
        <f t="shared" si="19"/>
        <v>-7.2358900144717797E-3</v>
      </c>
      <c r="KH13" s="54">
        <f t="shared" si="19"/>
        <v>-1.7492711370262426E-2</v>
      </c>
      <c r="KI13" s="54">
        <f t="shared" si="19"/>
        <v>-0.10089020771513357</v>
      </c>
      <c r="KJ13" s="54">
        <f t="shared" si="19"/>
        <v>6.6006600660065917E-2</v>
      </c>
      <c r="KK13" s="54">
        <f t="shared" si="19"/>
        <v>-5.4179566563467452E-2</v>
      </c>
      <c r="KL13" s="54">
        <f t="shared" si="19"/>
        <v>-1.6366612111292644E-3</v>
      </c>
      <c r="KM13" s="54">
        <f t="shared" si="19"/>
        <v>-2.6229508196721318E-2</v>
      </c>
      <c r="KN13" s="54">
        <f t="shared" si="19"/>
        <v>9.9326599326599263E-2</v>
      </c>
      <c r="KO13" s="54">
        <f t="shared" si="19"/>
        <v>-3.0627871362940318E-2</v>
      </c>
      <c r="KP13" s="54">
        <f t="shared" si="19"/>
        <v>-7.2669826224328604E-2</v>
      </c>
      <c r="KQ13" s="54">
        <f t="shared" si="19"/>
        <v>-3.4071550255536653E-2</v>
      </c>
      <c r="KR13" s="54">
        <f t="shared" si="19"/>
        <v>4.2328042328042326E-2</v>
      </c>
      <c r="KS13" s="54">
        <f t="shared" si="19"/>
        <v>-2.5380710659898442E-2</v>
      </c>
      <c r="KT13" s="54">
        <f t="shared" si="19"/>
        <v>0.12847222222222232</v>
      </c>
      <c r="KU13" s="54">
        <f t="shared" si="19"/>
        <v>3.0769230769229772E-3</v>
      </c>
      <c r="KV13" s="54">
        <f t="shared" si="19"/>
        <v>6.2883435582822056E-2</v>
      </c>
      <c r="KW13" s="54">
        <f t="shared" si="19"/>
        <v>-9.2352092352092408E-2</v>
      </c>
      <c r="KX13" s="54">
        <f t="shared" si="19"/>
        <v>-6.995230524642293E-2</v>
      </c>
      <c r="KY13" s="54">
        <f t="shared" si="19"/>
        <v>9.4017094017094127E-2</v>
      </c>
      <c r="KZ13" s="54">
        <f t="shared" si="19"/>
        <v>-7.8125E-2</v>
      </c>
      <c r="LA13" s="54">
        <f t="shared" si="19"/>
        <v>0.24576271186440679</v>
      </c>
      <c r="LB13" s="54">
        <f t="shared" si="19"/>
        <v>5.4421768707483054E-2</v>
      </c>
      <c r="LC13" s="54">
        <f t="shared" si="19"/>
        <v>-0.17419354838709677</v>
      </c>
      <c r="LD13" s="54">
        <f t="shared" si="19"/>
        <v>3.125E-2</v>
      </c>
      <c r="LE13" s="54">
        <f t="shared" si="19"/>
        <v>0.1393939393939394</v>
      </c>
      <c r="LF13" s="54">
        <f t="shared" si="19"/>
        <v>-0.13031914893617025</v>
      </c>
      <c r="LG13" s="54">
        <f t="shared" si="19"/>
        <v>3.8226299694189558E-2</v>
      </c>
      <c r="LH13" s="54">
        <f t="shared" si="19"/>
        <v>-7.3637702503681624E-3</v>
      </c>
      <c r="LI13" s="54">
        <f t="shared" si="19"/>
        <v>0.12462908011869445</v>
      </c>
      <c r="LJ13" s="54">
        <f t="shared" si="19"/>
        <v>-2.6385224274406704E-3</v>
      </c>
      <c r="LK13" s="54">
        <f t="shared" si="19"/>
        <v>-0.14682539682539686</v>
      </c>
      <c r="LL13" s="54">
        <f t="shared" si="19"/>
        <v>0.24031007751937983</v>
      </c>
      <c r="LM13" s="54">
        <f t="shared" si="19"/>
        <v>-9.4999999999999973E-2</v>
      </c>
      <c r="LN13" s="54">
        <f t="shared" si="19"/>
        <v>-5.5248618784530246E-3</v>
      </c>
      <c r="LO13" s="54">
        <f t="shared" si="19"/>
        <v>3.3333333333333437E-2</v>
      </c>
      <c r="LP13" s="54">
        <f t="shared" si="19"/>
        <v>4.5698924731182755E-2</v>
      </c>
      <c r="LQ13" s="54">
        <f t="shared" si="19"/>
        <v>-5.7840616966580938E-2</v>
      </c>
      <c r="LR13" s="54">
        <f t="shared" si="19"/>
        <v>-3.0013642564802212E-2</v>
      </c>
      <c r="LS13" s="54">
        <f t="shared" si="19"/>
        <v>-0.10267229254571031</v>
      </c>
      <c r="LT13" s="54">
        <f t="shared" si="19"/>
        <v>0.13949843260188088</v>
      </c>
      <c r="LU13" s="54">
        <f t="shared" si="19"/>
        <v>7.427785419532329E-2</v>
      </c>
      <c r="LV13" s="54">
        <f t="shared" si="19"/>
        <v>8.9628681177977843E-3</v>
      </c>
      <c r="LW13" s="54">
        <f t="shared" si="19"/>
        <v>3.0456852791878264E-2</v>
      </c>
      <c r="LX13" s="54">
        <f t="shared" si="19"/>
        <v>-4.0640394088669929E-2</v>
      </c>
      <c r="LY13" s="54">
        <f t="shared" si="19"/>
        <v>7.9589216944800922E-2</v>
      </c>
      <c r="LZ13" s="54">
        <f t="shared" si="19"/>
        <v>-6.5398335315101086E-2</v>
      </c>
      <c r="MA13" s="54">
        <f t="shared" si="19"/>
        <v>-3.1806615776081459E-2</v>
      </c>
      <c r="MB13" s="54">
        <f t="shared" si="19"/>
        <v>-1.708278580814715E-2</v>
      </c>
      <c r="MC13" s="54">
        <f t="shared" si="19"/>
        <v>4.1443850267379734E-2</v>
      </c>
      <c r="MD13" s="54">
        <f t="shared" si="19"/>
        <v>2.3106546854942289E-2</v>
      </c>
      <c r="ME13" s="54">
        <f t="shared" si="19"/>
        <v>6.273525721455453E-3</v>
      </c>
      <c r="MF13" s="54">
        <f t="shared" si="19"/>
        <v>-5.361596009975067E-2</v>
      </c>
      <c r="MG13" s="54">
        <f t="shared" si="19"/>
        <v>-0.11198945981554675</v>
      </c>
      <c r="MH13" s="54">
        <f t="shared" si="19"/>
        <v>5.0445103857566842E-2</v>
      </c>
      <c r="MI13" s="54">
        <f t="shared" si="19"/>
        <v>1.4124293785310771E-2</v>
      </c>
      <c r="MJ13" s="54">
        <f t="shared" si="19"/>
        <v>1.6713091922005541E-2</v>
      </c>
      <c r="MK13" s="54">
        <f t="shared" si="19"/>
        <v>4.1095890410958846E-2</v>
      </c>
      <c r="ML13" s="54">
        <f t="shared" si="19"/>
        <v>-2.7631578947368451E-2</v>
      </c>
      <c r="MM13" s="54">
        <f t="shared" si="19"/>
        <v>1.0825439783491264E-2</v>
      </c>
      <c r="MN13" s="54">
        <f t="shared" si="19"/>
        <v>-4.9531459170013337E-2</v>
      </c>
      <c r="MO13" s="54">
        <f t="shared" si="19"/>
        <v>3.8028169014084456E-2</v>
      </c>
      <c r="MP13" s="54">
        <f t="shared" si="19"/>
        <v>2.9850746268656803E-2</v>
      </c>
      <c r="MQ13" s="54">
        <f t="shared" si="19"/>
        <v>-3.6890645586297732E-2</v>
      </c>
      <c r="MR13" s="54">
        <f t="shared" si="19"/>
        <v>0.11491108071135425</v>
      </c>
      <c r="MS13" s="54">
        <f t="shared" si="19"/>
        <v>-4.4171779141104262E-2</v>
      </c>
      <c r="MT13" s="54">
        <f t="shared" si="19"/>
        <v>-1.9255455712451908E-2</v>
      </c>
      <c r="MU13" s="54">
        <f t="shared" si="19"/>
        <v>1.8324607329842868E-2</v>
      </c>
      <c r="MV13" s="54">
        <f t="shared" si="19"/>
        <v>-8.2262210796915203E-2</v>
      </c>
      <c r="MW13" s="54">
        <f t="shared" si="19"/>
        <v>-0.19887955182072825</v>
      </c>
      <c r="MX13" s="54">
        <f t="shared" si="19"/>
        <v>0.16958041958041958</v>
      </c>
      <c r="MY13" s="54">
        <f t="shared" si="19"/>
        <v>6.1285500747384258E-2</v>
      </c>
      <c r="MZ13" s="54">
        <f t="shared" si="19"/>
        <v>-2.1126760563380254E-2</v>
      </c>
      <c r="NA13" s="54">
        <f t="shared" si="19"/>
        <v>-3.8848920863309377E-2</v>
      </c>
      <c r="NB13" s="54">
        <f t="shared" si="19"/>
        <v>2.39520958083832E-2</v>
      </c>
      <c r="NC13" s="54">
        <f t="shared" si="19"/>
        <v>0</v>
      </c>
      <c r="ND13" s="54">
        <f t="shared" si="19"/>
        <v>-8.4795321637426868E-2</v>
      </c>
      <c r="NE13" s="54">
        <f t="shared" si="19"/>
        <v>0.17731629392971238</v>
      </c>
      <c r="NF13" s="54">
        <f t="shared" si="19"/>
        <v>1.3568521031207537E-2</v>
      </c>
      <c r="NG13" s="54">
        <f t="shared" si="19"/>
        <v>-1.6064257028112428E-2</v>
      </c>
      <c r="NH13" s="54">
        <f t="shared" si="19"/>
        <v>-1.9047619047619091E-2</v>
      </c>
      <c r="NI13" s="54">
        <f t="shared" si="19"/>
        <v>-0.11095700416088761</v>
      </c>
      <c r="NJ13" s="54">
        <f t="shared" si="19"/>
        <v>1.0920436817472678E-2</v>
      </c>
      <c r="NK13" s="54">
        <f t="shared" si="19"/>
        <v>-7.7160493827160836E-3</v>
      </c>
      <c r="NL13" s="54">
        <f t="shared" si="19"/>
        <v>2.7993779160186527E-2</v>
      </c>
      <c r="NM13" s="54">
        <f t="shared" si="19"/>
        <v>7.8668683812405549E-2</v>
      </c>
      <c r="NN13" s="54">
        <f t="shared" si="19"/>
        <v>-7.152875175315565E-2</v>
      </c>
      <c r="NO13" s="54">
        <f t="shared" si="19"/>
        <v>-1.0574018126888185E-2</v>
      </c>
      <c r="NP13" s="54">
        <f t="shared" si="19"/>
        <v>-4.1221374045801507E-2</v>
      </c>
      <c r="NQ13" s="54">
        <f t="shared" si="19"/>
        <v>-9.5541401273885329E-3</v>
      </c>
      <c r="NR13" s="54">
        <f t="shared" si="19"/>
        <v>0.10289389067524124</v>
      </c>
      <c r="NS13" s="54">
        <f t="shared" si="19"/>
        <v>1.1661807580174877E-2</v>
      </c>
      <c r="NT13" s="54">
        <f t="shared" si="19"/>
        <v>8.7896253602305574E-2</v>
      </c>
      <c r="NU13" s="54">
        <f t="shared" si="19"/>
        <v>2.7814569536423805E-2</v>
      </c>
      <c r="NV13" s="54">
        <f t="shared" si="19"/>
        <v>-0.13273195876288657</v>
      </c>
      <c r="NW13" s="54">
        <f t="shared" si="19"/>
        <v>-8.9153046062406816E-3</v>
      </c>
      <c r="NX13" s="54">
        <f t="shared" si="19"/>
        <v>7.346326836581718E-2</v>
      </c>
      <c r="NY13" s="54">
        <f t="shared" si="19"/>
        <v>-8.2402234636871463E-2</v>
      </c>
      <c r="NZ13" s="54">
        <f t="shared" si="19"/>
        <v>3.9573820395738313E-2</v>
      </c>
      <c r="OA13" s="54">
        <f t="shared" si="19"/>
        <v>2.0497803806734938E-2</v>
      </c>
      <c r="OB13" s="54">
        <f t="shared" si="19"/>
        <v>-3.4433285509325673E-2</v>
      </c>
      <c r="OC13" s="54">
        <f t="shared" si="19"/>
        <v>-4.0118870728083178E-2</v>
      </c>
      <c r="OD13" s="54">
        <f t="shared" si="19"/>
        <v>-1.5479876160990891E-3</v>
      </c>
      <c r="OE13" s="54">
        <f t="shared" si="19"/>
        <v>-6.2015503875969546E-3</v>
      </c>
      <c r="OF13" s="54">
        <f t="shared" si="19"/>
        <v>-4.9921996879875197E-2</v>
      </c>
      <c r="OG13" s="54">
        <f t="shared" si="19"/>
        <v>0.15106732348111662</v>
      </c>
      <c r="OH13" s="54">
        <f t="shared" si="19"/>
        <v>3.9942938659058402E-2</v>
      </c>
      <c r="OI13" s="54">
        <f t="shared" si="19"/>
        <v>0.19753086419753085</v>
      </c>
      <c r="OJ13" s="54">
        <f t="shared" si="19"/>
        <v>-7.3310423825887705E-2</v>
      </c>
      <c r="OK13" s="54">
        <f t="shared" si="19"/>
        <v>-9.1470951792336219E-2</v>
      </c>
      <c r="OL13" s="54">
        <f t="shared" si="19"/>
        <v>-4.6258503401360507E-2</v>
      </c>
      <c r="OM13" s="54">
        <f t="shared" si="19"/>
        <v>4.4222539229671787E-2</v>
      </c>
      <c r="ON13" s="54">
        <f t="shared" si="19"/>
        <v>-4.098360655737654E-3</v>
      </c>
      <c r="OO13" s="54">
        <f t="shared" si="19"/>
        <v>7.4074074074074181E-2</v>
      </c>
      <c r="OP13" s="54">
        <f t="shared" si="19"/>
        <v>-4.7254150702426556E-2</v>
      </c>
      <c r="OQ13" s="54">
        <f t="shared" si="19"/>
        <v>-9.6514745308310945E-2</v>
      </c>
      <c r="OR13" s="54">
        <f t="shared" si="19"/>
        <v>4.4510385756676651E-2</v>
      </c>
      <c r="OS13" s="54">
        <f t="shared" si="19"/>
        <v>1.7045454545454586E-2</v>
      </c>
      <c r="OT13" s="54">
        <f t="shared" si="19"/>
        <v>-2.5139664804469275E-2</v>
      </c>
      <c r="OU13" s="54">
        <f t="shared" si="19"/>
        <v>0.23925501432664764</v>
      </c>
      <c r="OV13" s="54">
        <f t="shared" si="19"/>
        <v>2.0809248554913395E-2</v>
      </c>
      <c r="OW13" s="54">
        <f t="shared" si="19"/>
        <v>-3.3975084937711841E-3</v>
      </c>
      <c r="OX13" s="54">
        <f t="shared" si="19"/>
        <v>-3.0681818181818143E-2</v>
      </c>
      <c r="OY13" s="54">
        <f t="shared" si="19"/>
        <v>1.2895662368112459E-2</v>
      </c>
      <c r="OZ13" s="54">
        <f t="shared" si="19"/>
        <v>-2.662037037037035E-2</v>
      </c>
      <c r="PA13" s="54">
        <f t="shared" si="19"/>
        <v>2.2592152199762294E-2</v>
      </c>
      <c r="PB13" s="54">
        <f t="shared" si="19"/>
        <v>1.744186046511631E-2</v>
      </c>
      <c r="PC13" s="54">
        <f t="shared" si="19"/>
        <v>0.10971428571428565</v>
      </c>
      <c r="PD13" s="54">
        <f t="shared" si="19"/>
        <v>-6.2821833161688989E-2</v>
      </c>
      <c r="PE13" s="54">
        <f t="shared" si="19"/>
        <v>-9.890109890109855E-3</v>
      </c>
      <c r="PF13" s="54">
        <f t="shared" si="19"/>
        <v>-7.7691453940066602E-2</v>
      </c>
      <c r="PG13" s="54">
        <f t="shared" si="19"/>
        <v>2.4067388688326918E-3</v>
      </c>
      <c r="PH13" s="54">
        <f t="shared" si="19"/>
        <v>9.7238895558223293E-2</v>
      </c>
      <c r="PI13" s="54">
        <f t="shared" si="19"/>
        <v>0.10722100656455136</v>
      </c>
      <c r="PJ13" s="54">
        <f t="shared" si="19"/>
        <v>7.2134387351778573E-2</v>
      </c>
      <c r="PK13" s="54">
        <f t="shared" si="19"/>
        <v>8.8479262672811032E-2</v>
      </c>
      <c r="PL13" s="54">
        <f t="shared" si="19"/>
        <v>-9.8221845893310733E-2</v>
      </c>
      <c r="PM13" s="54">
        <f t="shared" si="19"/>
        <v>2.8169014084507005E-2</v>
      </c>
      <c r="PN13" s="54">
        <f t="shared" si="19"/>
        <v>-8.7671232876712302E-2</v>
      </c>
      <c r="PO13" s="54">
        <f t="shared" si="19"/>
        <v>4.5045045045045029E-2</v>
      </c>
      <c r="PP13" s="54">
        <f t="shared" si="19"/>
        <v>-1.8199233716475138E-2</v>
      </c>
      <c r="PQ13" s="54">
        <f t="shared" si="19"/>
        <v>3.2195121951219541E-2</v>
      </c>
      <c r="PR13" s="54">
        <f t="shared" si="19"/>
        <v>-6.4272211720226791E-2</v>
      </c>
      <c r="PS13" s="54">
        <f t="shared" si="19"/>
        <v>-9.8989898989898961E-2</v>
      </c>
      <c r="PT13" s="54">
        <f t="shared" si="19"/>
        <v>-2.8026905829596438E-2</v>
      </c>
      <c r="PU13" s="54">
        <f t="shared" si="19"/>
        <v>3.6908881199538612E-2</v>
      </c>
      <c r="PV13" s="54">
        <f t="shared" si="19"/>
        <v>1.1123470522803158E-2</v>
      </c>
      <c r="PW13" s="54">
        <f t="shared" si="19"/>
        <v>7.1507150715071521E-2</v>
      </c>
      <c r="PX13" s="54">
        <f t="shared" si="19"/>
        <v>7.4948665297741357E-2</v>
      </c>
      <c r="PY13" s="54">
        <f t="shared" si="19"/>
        <v>4.2024832855778405E-2</v>
      </c>
      <c r="PZ13" s="54">
        <f t="shared" si="19"/>
        <v>-5.8661778185151281E-2</v>
      </c>
      <c r="QA13" s="54">
        <f t="shared" si="19"/>
        <v>2.7263875365141077E-2</v>
      </c>
      <c r="QB13" s="54">
        <f t="shared" si="19"/>
        <v>4.2654028436019065E-2</v>
      </c>
      <c r="QC13" s="54">
        <f t="shared" si="19"/>
        <v>-4.0000000000000036E-2</v>
      </c>
      <c r="QD13" s="54">
        <f t="shared" si="19"/>
        <v>5.6818181818181879E-2</v>
      </c>
      <c r="QE13" s="54">
        <f t="shared" si="19"/>
        <v>9.8566308243728251E-3</v>
      </c>
      <c r="QF13" s="54">
        <f t="shared" si="19"/>
        <v>-2.395740905057675E-2</v>
      </c>
      <c r="QG13" s="54">
        <f t="shared" si="19"/>
        <v>-8.272727272727276E-2</v>
      </c>
      <c r="QH13" s="54">
        <f t="shared" si="19"/>
        <v>3.1714568880079286E-2</v>
      </c>
      <c r="QI13" s="54">
        <f t="shared" si="19"/>
        <v>-4.8030739673390999E-2</v>
      </c>
      <c r="QJ13" s="54">
        <f t="shared" si="19"/>
        <v>1.2108980827447047E-2</v>
      </c>
      <c r="QK13" s="54">
        <f t="shared" si="19"/>
        <v>9.3718843469591251E-2</v>
      </c>
      <c r="QL13" s="54">
        <f t="shared" si="19"/>
        <v>6.2898814949863269E-2</v>
      </c>
      <c r="QM13" s="54">
        <f t="shared" si="19"/>
        <v>-6.5180102915951998E-2</v>
      </c>
      <c r="QN13" s="54">
        <f t="shared" si="19"/>
        <v>-3.7614678899082543E-2</v>
      </c>
      <c r="QO13" s="54">
        <f t="shared" si="19"/>
        <v>1.8112488083889433E-2</v>
      </c>
      <c r="QP13" s="54">
        <f t="shared" si="19"/>
        <v>0.29400749063670406</v>
      </c>
      <c r="QQ13" s="54">
        <f t="shared" si="19"/>
        <v>-0.15195369030390737</v>
      </c>
      <c r="QR13" s="54">
        <f t="shared" si="19"/>
        <v>-8.2764505119453879E-2</v>
      </c>
      <c r="QS13" s="54">
        <f t="shared" si="19"/>
        <v>0.21953488372093033</v>
      </c>
      <c r="QT13" s="54">
        <f t="shared" si="19"/>
        <v>2.517162471395884E-2</v>
      </c>
      <c r="QU13" s="54">
        <f t="shared" si="19"/>
        <v>-6.1011904761904767E-2</v>
      </c>
      <c r="QV13" s="54">
        <f t="shared" si="19"/>
        <v>-2.3771790808241322E-3</v>
      </c>
      <c r="QW13" s="54">
        <f t="shared" si="19"/>
        <v>1.7474185861795055E-2</v>
      </c>
      <c r="QX13" s="54">
        <f t="shared" si="19"/>
        <v>2.4980483996877467E-2</v>
      </c>
      <c r="QY13" s="54">
        <f t="shared" si="19"/>
        <v>-4.1888804265041935E-2</v>
      </c>
      <c r="QZ13" s="54">
        <f t="shared" si="19"/>
        <v>3.3386327503974522E-2</v>
      </c>
      <c r="RA13" s="54">
        <f t="shared" si="19"/>
        <v>-8.4615384615384093E-3</v>
      </c>
      <c r="RB13" s="54">
        <f t="shared" si="19"/>
        <v>-5.5857253685027142E-2</v>
      </c>
      <c r="RC13" s="54">
        <f t="shared" si="19"/>
        <v>9.8603122432210366E-3</v>
      </c>
      <c r="RD13" s="54">
        <f t="shared" si="19"/>
        <v>3.4174125305126202E-2</v>
      </c>
      <c r="RE13" s="54">
        <f t="shared" si="19"/>
        <v>9.3627065302910983E-2</v>
      </c>
      <c r="RF13" s="54">
        <f t="shared" si="19"/>
        <v>2.877697841726623E-2</v>
      </c>
      <c r="RG13" s="54">
        <f t="shared" si="19"/>
        <v>3.0069930069930084E-2</v>
      </c>
      <c r="RH13" s="54">
        <f t="shared" si="19"/>
        <v>-2.0366598778004064E-2</v>
      </c>
      <c r="RI13" s="54">
        <f t="shared" si="19"/>
        <v>-8.4546084546084588E-2</v>
      </c>
      <c r="RJ13" s="54">
        <f t="shared" si="19"/>
        <v>-2.4224072672218044E-2</v>
      </c>
      <c r="RK13" s="54">
        <f t="shared" si="19"/>
        <v>-4.6547711404189007E-3</v>
      </c>
      <c r="RL13" s="54">
        <f t="shared" si="19"/>
        <v>-2.7279812938425518E-2</v>
      </c>
      <c r="RM13" s="54">
        <f t="shared" si="19"/>
        <v>6.3301282051282159E-2</v>
      </c>
      <c r="RN13" s="54">
        <f t="shared" si="19"/>
        <v>5.8025621703089669E-2</v>
      </c>
      <c r="RO13" s="54">
        <f t="shared" si="19"/>
        <v>-1.3532763532763559E-2</v>
      </c>
      <c r="RP13" s="54">
        <f t="shared" si="19"/>
        <v>-9.0252707581227387E-2</v>
      </c>
      <c r="RQ13" s="54">
        <f t="shared" si="19"/>
        <v>-3.2539682539682535E-2</v>
      </c>
      <c r="RR13" s="54">
        <f t="shared" si="19"/>
        <v>-1.6406890894175574E-2</v>
      </c>
      <c r="RS13" s="54">
        <f t="shared" si="19"/>
        <v>0.10175145954962472</v>
      </c>
      <c r="RT13" s="54">
        <f t="shared" si="19"/>
        <v>0.15745647236941718</v>
      </c>
      <c r="RU13" s="54">
        <f t="shared" si="19"/>
        <v>-2.5506867233485941E-2</v>
      </c>
      <c r="RV13" s="54">
        <f t="shared" si="19"/>
        <v>-2.0805369127516737E-2</v>
      </c>
      <c r="RW13" s="54">
        <f t="shared" si="19"/>
        <v>-4.9348869088416736E-2</v>
      </c>
      <c r="RX13" s="54">
        <f t="shared" si="19"/>
        <v>1.4419610670513006E-3</v>
      </c>
      <c r="RY13" s="54">
        <f t="shared" si="19"/>
        <v>-2.8077753779697678E-2</v>
      </c>
      <c r="RZ13" s="54">
        <f t="shared" si="19"/>
        <v>9.6296296296296546E-3</v>
      </c>
      <c r="SA13" s="54">
        <f t="shared" si="19"/>
        <v>-5.1357300073368028E-3</v>
      </c>
      <c r="SB13" s="54">
        <f t="shared" si="19"/>
        <v>5.3834808259586975E-2</v>
      </c>
      <c r="SC13" s="54">
        <f t="shared" si="19"/>
        <v>5.6682995101469569E-2</v>
      </c>
      <c r="SD13" s="54">
        <f t="shared" si="19"/>
        <v>-0.10596026490066224</v>
      </c>
      <c r="SE13" s="54">
        <f t="shared" si="19"/>
        <v>-6.740740740740736E-2</v>
      </c>
      <c r="SF13" s="54">
        <f t="shared" si="19"/>
        <v>3.9714058776807004E-2</v>
      </c>
      <c r="SG13" s="54">
        <f t="shared" si="19"/>
        <v>3.0557677616501078E-2</v>
      </c>
      <c r="SH13" s="54">
        <f t="shared" si="19"/>
        <v>0.15270570793180127</v>
      </c>
      <c r="SI13" s="54">
        <f t="shared" si="19"/>
        <v>-9.0032154340835557E-3</v>
      </c>
      <c r="SJ13" s="54">
        <f t="shared" si="19"/>
        <v>4.1531473069435387E-2</v>
      </c>
      <c r="SK13" s="54">
        <f t="shared" si="19"/>
        <v>-8.0996884735202723E-3</v>
      </c>
      <c r="SL13" s="54">
        <f t="shared" si="19"/>
        <v>-8.479899497487442E-2</v>
      </c>
      <c r="SM13" s="54">
        <f t="shared" si="19"/>
        <v>3.2944406314344477E-2</v>
      </c>
      <c r="SN13" s="54">
        <f t="shared" si="19"/>
        <v>-2.5249169435215935E-2</v>
      </c>
      <c r="SO13" s="54">
        <f t="shared" si="19"/>
        <v>5.7941376959781854E-2</v>
      </c>
      <c r="SP13" s="54">
        <f t="shared" si="19"/>
        <v>3.8659793814433074E-2</v>
      </c>
      <c r="SQ13" s="54">
        <f t="shared" si="19"/>
        <v>-1.1166253101737023E-2</v>
      </c>
      <c r="SR13" s="54">
        <f t="shared" si="19"/>
        <v>-7.4654956085319912E-2</v>
      </c>
      <c r="SS13" s="54">
        <f t="shared" si="19"/>
        <v>-2.9830508474576245E-2</v>
      </c>
      <c r="ST13" s="54">
        <f t="shared" si="19"/>
        <v>4.2627533193570821E-2</v>
      </c>
      <c r="SU13" s="54">
        <f t="shared" si="19"/>
        <v>-1.6085790884718509E-2</v>
      </c>
      <c r="SV13" s="54">
        <f t="shared" si="19"/>
        <v>2.4523160762942808E-2</v>
      </c>
      <c r="SW13" s="54">
        <f t="shared" si="19"/>
        <v>-1.3297872340425343E-3</v>
      </c>
      <c r="SX13" s="54">
        <f t="shared" si="19"/>
        <v>-1.0652463382157085E-2</v>
      </c>
      <c r="SY13" s="54">
        <f t="shared" si="19"/>
        <v>0.19851951547779279</v>
      </c>
      <c r="SZ13" s="54">
        <f t="shared" si="19"/>
        <v>-4.8848961257720425E-2</v>
      </c>
      <c r="TA13" s="54">
        <f t="shared" si="19"/>
        <v>-4.0731995277449862E-2</v>
      </c>
      <c r="TB13" s="54">
        <f t="shared" si="19"/>
        <v>-1.7230769230769272E-2</v>
      </c>
      <c r="TC13" s="54">
        <f t="shared" si="19"/>
        <v>6.0112711333750735E-2</v>
      </c>
      <c r="TD13" s="54">
        <f t="shared" si="19"/>
        <v>9.805079740106315E-2</v>
      </c>
      <c r="TE13" s="54">
        <f t="shared" si="19"/>
        <v>-9.4136632598171066E-2</v>
      </c>
      <c r="TF13" s="54">
        <f t="shared" si="19"/>
        <v>-8.9073634204275498E-2</v>
      </c>
      <c r="TG13" s="54">
        <f t="shared" si="19"/>
        <v>1.8252933507170832E-2</v>
      </c>
      <c r="TH13" s="54">
        <f t="shared" si="19"/>
        <v>-1.984635083226638E-2</v>
      </c>
      <c r="TI13" s="54">
        <f t="shared" si="19"/>
        <v>3.2658393207054548E-3</v>
      </c>
      <c r="TJ13" s="54">
        <f t="shared" si="19"/>
        <v>8.2682291666666741E-2</v>
      </c>
      <c r="TK13" s="54">
        <f t="shared" si="19"/>
        <v>-1.0823812387251941E-2</v>
      </c>
      <c r="TL13" s="54">
        <f t="shared" si="19"/>
        <v>2.0060790273556339E-2</v>
      </c>
      <c r="TM13" s="54">
        <f t="shared" si="19"/>
        <v>-2.5029797377830731E-2</v>
      </c>
      <c r="TN13" s="54">
        <f t="shared" si="19"/>
        <v>-9.7799511002445438E-3</v>
      </c>
      <c r="TO13" s="54">
        <f t="shared" si="19"/>
        <v>6.419753086419755E-2</v>
      </c>
      <c r="TP13" s="54">
        <f t="shared" si="19"/>
        <v>5.2204176334107455E-3</v>
      </c>
      <c r="TQ13" s="54">
        <f t="shared" si="19"/>
        <v>4.1546451240623172E-2</v>
      </c>
      <c r="TR13" s="54">
        <f t="shared" si="19"/>
        <v>9.9722991689750184E-3</v>
      </c>
      <c r="TS13" s="54">
        <f t="shared" si="19"/>
        <v>-1.9747668678003261E-2</v>
      </c>
      <c r="TT13" s="54">
        <f t="shared" si="19"/>
        <v>-0.12982652490207047</v>
      </c>
      <c r="TU13" s="54">
        <f t="shared" si="19"/>
        <v>5.5948553054662398E-2</v>
      </c>
      <c r="TV13" s="54">
        <f t="shared" si="19"/>
        <v>-4.3848964677222879E-2</v>
      </c>
      <c r="TW13" s="54">
        <f t="shared" ref="TW13:VR13" si="20">IFERROR(TW12/TV12-1,"")</f>
        <v>5.6687898089172073E-2</v>
      </c>
      <c r="TX13" s="54">
        <f t="shared" si="20"/>
        <v>2.7124773960216952E-2</v>
      </c>
      <c r="TY13" s="54">
        <f t="shared" si="20"/>
        <v>2.5821596244131495E-2</v>
      </c>
      <c r="TZ13" s="54">
        <f t="shared" si="20"/>
        <v>-1.7162471395880674E-3</v>
      </c>
      <c r="UA13" s="54">
        <f t="shared" si="20"/>
        <v>-0.11117478510028656</v>
      </c>
      <c r="UB13" s="54">
        <f t="shared" si="20"/>
        <v>8.5106382978723305E-2</v>
      </c>
      <c r="UC13" s="54">
        <f t="shared" si="20"/>
        <v>0.16636957813428399</v>
      </c>
      <c r="UD13" s="54">
        <f t="shared" si="20"/>
        <v>-4.6867040244523706E-2</v>
      </c>
      <c r="UE13" s="54">
        <f t="shared" si="20"/>
        <v>4.8637092463923004E-2</v>
      </c>
      <c r="UF13" s="54">
        <f t="shared" si="20"/>
        <v>5.0968399592243863E-4</v>
      </c>
      <c r="UG13" s="54">
        <f t="shared" si="20"/>
        <v>-1.6301579215486472E-2</v>
      </c>
      <c r="UH13" s="54">
        <f t="shared" si="20"/>
        <v>-7.9751424132573745E-2</v>
      </c>
      <c r="UI13" s="54">
        <f t="shared" si="20"/>
        <v>2.4198086662915008E-2</v>
      </c>
      <c r="UJ13" s="54">
        <f t="shared" si="20"/>
        <v>-5.5494505494505519E-2</v>
      </c>
      <c r="UK13" s="54">
        <f t="shared" si="20"/>
        <v>-1.0471204188481686E-2</v>
      </c>
      <c r="UL13" s="54">
        <f t="shared" si="20"/>
        <v>4.115226337448652E-3</v>
      </c>
      <c r="UM13" s="54">
        <f t="shared" si="20"/>
        <v>7.9039812646370056E-2</v>
      </c>
      <c r="UN13" s="54">
        <f t="shared" si="20"/>
        <v>-3.0385241454150891E-2</v>
      </c>
      <c r="UO13" s="54">
        <f t="shared" si="20"/>
        <v>-8.0022383883603831E-2</v>
      </c>
      <c r="UP13" s="54">
        <f t="shared" si="20"/>
        <v>6.0827250608272987E-3</v>
      </c>
      <c r="UQ13" s="54">
        <f t="shared" si="20"/>
        <v>0.11124546553808945</v>
      </c>
      <c r="UR13" s="54">
        <f t="shared" si="20"/>
        <v>-2.6115342763873728E-2</v>
      </c>
      <c r="US13" s="54">
        <f t="shared" si="20"/>
        <v>4.6368715083798806E-2</v>
      </c>
      <c r="UT13" s="54">
        <f t="shared" si="20"/>
        <v>4.6983449012279799E-2</v>
      </c>
      <c r="UU13" s="54">
        <f t="shared" si="20"/>
        <v>-1.4278429372769019E-2</v>
      </c>
      <c r="UV13" s="54">
        <f t="shared" si="20"/>
        <v>-0.10346611484738744</v>
      </c>
      <c r="UW13" s="54">
        <f t="shared" si="20"/>
        <v>-1.8465089440277027E-2</v>
      </c>
      <c r="UX13" s="54">
        <f t="shared" si="20"/>
        <v>8.2304526748970819E-3</v>
      </c>
      <c r="UY13" s="54">
        <f t="shared" si="20"/>
        <v>1.7492711370261649E-3</v>
      </c>
      <c r="UZ13" s="54">
        <f t="shared" si="20"/>
        <v>2.9685681024447019E-2</v>
      </c>
      <c r="VA13" s="54">
        <f t="shared" si="20"/>
        <v>5.2572074618428388E-2</v>
      </c>
      <c r="VB13" s="54">
        <f t="shared" si="20"/>
        <v>-5.5853920515574695E-2</v>
      </c>
      <c r="VC13" s="54">
        <f t="shared" si="20"/>
        <v>-6.2571103526734895E-2</v>
      </c>
      <c r="VD13" s="54">
        <f t="shared" si="20"/>
        <v>-1.8810679611650505E-2</v>
      </c>
      <c r="VE13" s="54">
        <f t="shared" si="20"/>
        <v>-4.3290043290042934E-3</v>
      </c>
      <c r="VF13" s="54">
        <f t="shared" si="20"/>
        <v>0</v>
      </c>
      <c r="VG13" s="156">
        <f t="shared" si="20"/>
        <v>6.459627329192541E-2</v>
      </c>
      <c r="VH13" s="156">
        <f t="shared" si="20"/>
        <v>5.0175029171528607E-2</v>
      </c>
      <c r="VI13" s="156">
        <f t="shared" si="20"/>
        <v>0.27444444444444449</v>
      </c>
      <c r="VJ13" s="156">
        <f t="shared" si="20"/>
        <v>-6.8875326939843107E-2</v>
      </c>
      <c r="VK13" s="156">
        <f t="shared" si="20"/>
        <v>-0.11704119850187267</v>
      </c>
      <c r="VL13" s="156">
        <f t="shared" si="20"/>
        <v>-3.0752916224814464E-2</v>
      </c>
      <c r="VM13" s="156">
        <f t="shared" si="20"/>
        <v>-2.6805251641137895E-2</v>
      </c>
      <c r="VN13" s="156">
        <f t="shared" si="20"/>
        <v>2.9792017987633423E-2</v>
      </c>
      <c r="VO13" s="156">
        <f t="shared" si="20"/>
        <v>5.0764192139737929E-2</v>
      </c>
      <c r="VP13" s="156">
        <f t="shared" si="20"/>
        <v>3.7922077922077913E-2</v>
      </c>
      <c r="VQ13" s="156">
        <f t="shared" si="20"/>
        <v>-0.10160160160160159</v>
      </c>
      <c r="VR13" s="156">
        <f t="shared" si="20"/>
        <v>-8.6908077994429012E-2</v>
      </c>
      <c r="VS13" s="156">
        <v>2.1964612568639463E-2</v>
      </c>
      <c r="VT13" s="156">
        <f t="shared" ref="VT13:WH13" si="21">IFERROR(VT12/VS12-1,"")</f>
        <v>-2.9253731343283573E-2</v>
      </c>
      <c r="VU13" s="156">
        <f t="shared" si="21"/>
        <v>4.7355473554735461E-2</v>
      </c>
      <c r="VV13" s="156">
        <f t="shared" si="21"/>
        <v>5.6958308866705831E-2</v>
      </c>
      <c r="VW13" s="156">
        <f t="shared" si="21"/>
        <v>0.19222222222222229</v>
      </c>
      <c r="VX13" s="156">
        <f t="shared" si="21"/>
        <v>-6.1043802423112803E-2</v>
      </c>
      <c r="VY13" s="156">
        <f t="shared" si="21"/>
        <v>-0.13151364764267992</v>
      </c>
      <c r="VZ13" s="156">
        <f t="shared" si="21"/>
        <v>-3.3714285714285697E-2</v>
      </c>
      <c r="WA13" s="156">
        <f t="shared" si="21"/>
        <v>4.849201655824964E-2</v>
      </c>
      <c r="WB13" s="156">
        <f t="shared" si="21"/>
        <v>0.15736040609137047</v>
      </c>
      <c r="WC13" s="156">
        <f t="shared" si="21"/>
        <v>6.7738791423001876E-2</v>
      </c>
      <c r="WD13" s="156">
        <f t="shared" si="21"/>
        <v>2.8753993610223683E-2</v>
      </c>
      <c r="WE13" s="156">
        <f t="shared" si="21"/>
        <v>-2.5288376220053199E-2</v>
      </c>
      <c r="WF13" s="156">
        <f t="shared" si="21"/>
        <v>-8.8302230314064589E-2</v>
      </c>
      <c r="WG13" s="156">
        <f t="shared" si="21"/>
        <v>-2.2965551672491258E-2</v>
      </c>
      <c r="WH13" s="156">
        <f t="shared" si="21"/>
        <v>-3.6791006642820645E-2</v>
      </c>
      <c r="WI13" s="156">
        <v>2.9177718830000001E-2</v>
      </c>
      <c r="WJ13" s="156">
        <f t="shared" ref="WJ13:WO13" si="22">IFERROR(WJ12/WI12-1,"")</f>
        <v>-1.7010309278350566E-2</v>
      </c>
      <c r="WK13" s="156">
        <f t="shared" si="22"/>
        <v>3.5133717881489224E-2</v>
      </c>
      <c r="WL13" s="156">
        <f t="shared" si="22"/>
        <v>4.7112462006078992E-2</v>
      </c>
      <c r="WM13" s="156">
        <f t="shared" si="22"/>
        <v>-3.4349298500241932E-2</v>
      </c>
      <c r="WN13" s="156">
        <f t="shared" si="22"/>
        <v>0.20941883767535074</v>
      </c>
      <c r="WO13" s="156">
        <f t="shared" si="22"/>
        <v>-4.6396023198011616E-2</v>
      </c>
      <c r="WP13" s="156">
        <v>-3.3883579499999997E-2</v>
      </c>
      <c r="WQ13" s="156">
        <f t="shared" ref="WQ13:YB13" si="23">IFERROR(WQ12/WP12-1,"")</f>
        <v>2.5179856115107979E-2</v>
      </c>
      <c r="WR13" s="156">
        <f t="shared" si="23"/>
        <v>6.7543859649122906E-2</v>
      </c>
      <c r="WS13" s="156">
        <f t="shared" si="23"/>
        <v>8.6277732128183793E-3</v>
      </c>
      <c r="WT13" s="156">
        <f t="shared" si="23"/>
        <v>-6.6802443991853311E-2</v>
      </c>
      <c r="WU13" s="156">
        <f t="shared" si="23"/>
        <v>3.8411174159755479E-2</v>
      </c>
      <c r="WV13" s="156">
        <f t="shared" si="23"/>
        <v>4.2454812946616238E-2</v>
      </c>
      <c r="WW13" s="156">
        <f t="shared" si="23"/>
        <v>-5.8467741935483875E-2</v>
      </c>
      <c r="WX13" s="156">
        <f t="shared" si="23"/>
        <v>7.0663811563169254E-2</v>
      </c>
      <c r="WY13" s="156">
        <f t="shared" si="23"/>
        <v>-2.52E-2</v>
      </c>
      <c r="WZ13" s="156">
        <f t="shared" si="23"/>
        <v>5.7447681575708565E-3</v>
      </c>
      <c r="XA13" s="156">
        <f t="shared" si="23"/>
        <v>-6.6503467972256258E-2</v>
      </c>
      <c r="XB13" s="156">
        <f t="shared" si="23"/>
        <v>1.1363636363636465E-2</v>
      </c>
      <c r="XC13" s="156">
        <f t="shared" si="23"/>
        <v>5.877268798617119E-2</v>
      </c>
      <c r="XD13" s="156">
        <f t="shared" si="23"/>
        <v>-1.0204081632653073E-2</v>
      </c>
      <c r="XE13" s="156">
        <f t="shared" si="23"/>
        <v>4.8659793814433083E-2</v>
      </c>
      <c r="XF13" s="156">
        <f t="shared" si="23"/>
        <v>1.1797090051120618E-2</v>
      </c>
      <c r="XG13" s="156">
        <f t="shared" si="23"/>
        <v>2.759424795958032E-2</v>
      </c>
      <c r="XH13" s="156">
        <f t="shared" si="23"/>
        <v>-9.9092284417549137E-2</v>
      </c>
      <c r="XI13" s="156">
        <f t="shared" si="23"/>
        <v>-2.8127623845507932E-2</v>
      </c>
      <c r="XJ13" s="156">
        <f t="shared" si="23"/>
        <v>5.745140388768899E-2</v>
      </c>
      <c r="XK13" s="156">
        <f t="shared" si="23"/>
        <v>0</v>
      </c>
      <c r="XL13" s="156">
        <f t="shared" si="23"/>
        <v>4.2892156862745168E-2</v>
      </c>
      <c r="XM13" s="156">
        <f t="shared" si="23"/>
        <v>3.1727379553466495E-2</v>
      </c>
      <c r="XN13" s="156">
        <f t="shared" si="23"/>
        <v>-3.0751708428246038E-2</v>
      </c>
      <c r="XO13" s="156">
        <f t="shared" si="23"/>
        <v>-9.479044261652958E-2</v>
      </c>
      <c r="XP13" s="156">
        <f t="shared" si="23"/>
        <v>1.3414106447425356E-2</v>
      </c>
      <c r="XQ13" s="156">
        <f t="shared" si="23"/>
        <v>6.9171648163962374E-2</v>
      </c>
      <c r="XR13" s="156">
        <f t="shared" si="23"/>
        <v>9.984025559105425E-2</v>
      </c>
      <c r="XS13" s="156">
        <f t="shared" si="23"/>
        <v>-1.6702977487291215E-2</v>
      </c>
      <c r="XT13" s="156">
        <f t="shared" si="23"/>
        <v>5.5391432791728201E-2</v>
      </c>
      <c r="XU13" s="156">
        <f t="shared" si="23"/>
        <v>-5.1784464660601826E-2</v>
      </c>
      <c r="XV13" s="156">
        <f t="shared" si="23"/>
        <v>-7.970479704797051E-2</v>
      </c>
      <c r="XW13" s="156">
        <f t="shared" si="23"/>
        <v>-4.4105854049719673E-3</v>
      </c>
      <c r="XX13" s="156">
        <f t="shared" si="23"/>
        <v>-4.8328634716069407E-3</v>
      </c>
      <c r="XY13" s="156">
        <f t="shared" si="23"/>
        <v>-4.4516390125455274E-3</v>
      </c>
      <c r="XZ13" s="156">
        <f t="shared" si="23"/>
        <v>6.9512195121951281E-2</v>
      </c>
      <c r="YA13" s="156">
        <f t="shared" si="23"/>
        <v>4.7890535917902044E-2</v>
      </c>
      <c r="YB13" s="156">
        <f t="shared" si="23"/>
        <v>-5.4406964091403665E-2</v>
      </c>
      <c r="YC13" s="157">
        <v>-0.12</v>
      </c>
      <c r="YD13" s="157">
        <f t="shared" ref="YD13:YF13" si="24">IFERROR(YD12/YC12-1,"")</f>
        <v>-2.1739130434782594E-2</v>
      </c>
      <c r="YE13" s="157">
        <f t="shared" si="24"/>
        <v>2.0444444444444487E-2</v>
      </c>
      <c r="YF13" s="157">
        <f t="shared" si="24"/>
        <v>8.6672473867595912E-2</v>
      </c>
      <c r="YG13" s="157">
        <f t="shared" ref="YG13:YL13" si="25">IFERROR(YG12/YF12-1,"")</f>
        <v>8.21643286573146E-2</v>
      </c>
      <c r="YH13" s="157">
        <f t="shared" si="25"/>
        <v>4.3333333333333224E-2</v>
      </c>
      <c r="YI13" s="157">
        <f t="shared" si="25"/>
        <v>1.6684416045438466E-2</v>
      </c>
      <c r="YJ13" s="157">
        <f t="shared" si="25"/>
        <v>-0.12395251396648044</v>
      </c>
      <c r="YK13" s="157">
        <f t="shared" si="25"/>
        <v>-1.5544041450777257E-2</v>
      </c>
      <c r="YL13" s="157">
        <f t="shared" si="25"/>
        <v>5.2631578947368585E-3</v>
      </c>
      <c r="YM13" s="157">
        <f>IFERROR(YM12/YL12-1,"")</f>
        <v>-1.2484897301651254E-2</v>
      </c>
    </row>
    <row r="14" spans="1:663" ht="15.75" customHeight="1" x14ac:dyDescent="0.2">
      <c r="A14" s="52"/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  <c r="IW14" s="54"/>
      <c r="IX14" s="54"/>
      <c r="IY14" s="54"/>
      <c r="IZ14" s="54"/>
      <c r="JA14" s="54"/>
      <c r="JB14" s="54"/>
      <c r="JC14" s="54"/>
      <c r="JD14" s="54"/>
      <c r="JE14" s="54"/>
      <c r="JF14" s="54"/>
      <c r="JG14" s="54"/>
      <c r="JH14" s="54"/>
      <c r="JI14" s="54"/>
      <c r="JJ14" s="54"/>
      <c r="JK14" s="54"/>
      <c r="JL14" s="54"/>
      <c r="JM14" s="54"/>
      <c r="JN14" s="54"/>
      <c r="JO14" s="54"/>
      <c r="JP14" s="54"/>
      <c r="JQ14" s="54"/>
      <c r="JR14" s="54"/>
      <c r="JS14" s="54"/>
      <c r="JT14" s="54"/>
      <c r="JU14" s="54"/>
      <c r="JV14" s="54"/>
      <c r="JW14" s="54"/>
      <c r="JX14" s="54"/>
      <c r="JY14" s="54"/>
      <c r="JZ14" s="54"/>
      <c r="KA14" s="54"/>
      <c r="KB14" s="54"/>
      <c r="KC14" s="54"/>
      <c r="KD14" s="54"/>
      <c r="KE14" s="54"/>
      <c r="KF14" s="54"/>
      <c r="KG14" s="54"/>
      <c r="KH14" s="54"/>
      <c r="KI14" s="54"/>
      <c r="KJ14" s="54"/>
      <c r="KK14" s="54"/>
      <c r="KL14" s="54"/>
      <c r="KM14" s="54"/>
      <c r="KN14" s="54"/>
      <c r="KO14" s="54"/>
      <c r="KP14" s="54"/>
      <c r="KQ14" s="54"/>
      <c r="KR14" s="54"/>
      <c r="KS14" s="54"/>
      <c r="KT14" s="54"/>
      <c r="KU14" s="54"/>
      <c r="KV14" s="54"/>
      <c r="KW14" s="54"/>
      <c r="KX14" s="54"/>
      <c r="KY14" s="54"/>
      <c r="KZ14" s="54"/>
      <c r="LA14" s="54"/>
      <c r="LB14" s="54"/>
      <c r="LC14" s="54"/>
      <c r="LD14" s="54"/>
      <c r="LE14" s="54"/>
      <c r="LF14" s="54"/>
      <c r="LG14" s="54"/>
      <c r="LH14" s="54"/>
      <c r="LI14" s="54"/>
      <c r="LJ14" s="54"/>
      <c r="LK14" s="54"/>
      <c r="LL14" s="54"/>
      <c r="LM14" s="54"/>
      <c r="LN14" s="54"/>
      <c r="LO14" s="54"/>
      <c r="LP14" s="54"/>
      <c r="LQ14" s="54"/>
      <c r="LR14" s="54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54"/>
      <c r="MD14" s="54"/>
      <c r="ME14" s="54"/>
      <c r="MF14" s="54"/>
      <c r="MG14" s="54"/>
      <c r="MH14" s="54"/>
      <c r="MI14" s="54"/>
      <c r="MJ14" s="54"/>
      <c r="MK14" s="54"/>
      <c r="ML14" s="54"/>
      <c r="MM14" s="54"/>
      <c r="MN14" s="54"/>
      <c r="MO14" s="54"/>
      <c r="MP14" s="54"/>
      <c r="MQ14" s="54"/>
      <c r="MR14" s="54"/>
      <c r="MS14" s="54"/>
      <c r="MT14" s="54"/>
      <c r="MU14" s="54"/>
      <c r="MV14" s="54"/>
      <c r="MW14" s="54"/>
      <c r="MX14" s="54"/>
      <c r="MY14" s="54"/>
      <c r="MZ14" s="54"/>
      <c r="NA14" s="54"/>
      <c r="NB14" s="54"/>
      <c r="NC14" s="54"/>
      <c r="ND14" s="54"/>
      <c r="NE14" s="54"/>
      <c r="NF14" s="54"/>
      <c r="NG14" s="54"/>
      <c r="NH14" s="54"/>
      <c r="NI14" s="54"/>
      <c r="NJ14" s="54"/>
      <c r="NK14" s="54"/>
      <c r="NL14" s="54"/>
      <c r="NM14" s="54"/>
      <c r="NN14" s="54"/>
      <c r="NO14" s="54"/>
      <c r="NP14" s="54"/>
      <c r="NQ14" s="54"/>
      <c r="NR14" s="54"/>
      <c r="NS14" s="54"/>
      <c r="NT14" s="54"/>
      <c r="NU14" s="54"/>
      <c r="NV14" s="54"/>
      <c r="NW14" s="54"/>
      <c r="NX14" s="54"/>
      <c r="NY14" s="54"/>
      <c r="NZ14" s="54"/>
      <c r="OA14" s="54"/>
      <c r="OB14" s="54"/>
      <c r="OC14" s="54"/>
      <c r="OD14" s="54"/>
      <c r="OE14" s="54"/>
      <c r="OF14" s="54"/>
      <c r="OG14" s="54"/>
      <c r="OH14" s="54"/>
      <c r="OI14" s="54"/>
      <c r="OJ14" s="54"/>
      <c r="OK14" s="54"/>
      <c r="OL14" s="54"/>
      <c r="OM14" s="54"/>
      <c r="ON14" s="54"/>
      <c r="OO14" s="54"/>
      <c r="OP14" s="54"/>
      <c r="OQ14" s="54"/>
      <c r="OR14" s="54"/>
      <c r="OS14" s="54"/>
      <c r="OT14" s="54"/>
      <c r="OU14" s="54"/>
      <c r="OV14" s="54"/>
      <c r="OW14" s="54"/>
      <c r="OX14" s="54"/>
      <c r="OY14" s="54"/>
      <c r="OZ14" s="54"/>
      <c r="PA14" s="54"/>
      <c r="PB14" s="54"/>
      <c r="PC14" s="54"/>
      <c r="PD14" s="54"/>
      <c r="PE14" s="54"/>
      <c r="PF14" s="54"/>
      <c r="PG14" s="54"/>
      <c r="PH14" s="54"/>
      <c r="PI14" s="54"/>
      <c r="PJ14" s="54"/>
      <c r="PK14" s="54"/>
      <c r="PL14" s="54"/>
      <c r="PM14" s="54"/>
      <c r="PN14" s="54"/>
      <c r="PO14" s="54"/>
      <c r="PP14" s="54"/>
      <c r="PQ14" s="54"/>
      <c r="PR14" s="54"/>
      <c r="PS14" s="54"/>
      <c r="PT14" s="54"/>
      <c r="PU14" s="54"/>
      <c r="PV14" s="54"/>
      <c r="PW14" s="54"/>
      <c r="PX14" s="54"/>
      <c r="PY14" s="54"/>
      <c r="PZ14" s="54"/>
      <c r="QA14" s="54"/>
      <c r="QB14" s="54"/>
      <c r="QC14" s="54"/>
      <c r="QD14" s="54"/>
      <c r="QE14" s="54"/>
      <c r="QF14" s="54"/>
      <c r="QG14" s="54"/>
      <c r="QH14" s="54"/>
      <c r="QI14" s="54"/>
      <c r="QJ14" s="54"/>
      <c r="QK14" s="54"/>
      <c r="QL14" s="54"/>
      <c r="QM14" s="54"/>
      <c r="QN14" s="54"/>
      <c r="QO14" s="54"/>
      <c r="QP14" s="54"/>
      <c r="QQ14" s="54"/>
      <c r="QR14" s="54"/>
      <c r="QS14" s="54"/>
      <c r="QT14" s="54"/>
      <c r="QU14" s="54"/>
      <c r="QV14" s="54"/>
      <c r="QW14" s="54"/>
      <c r="QX14" s="54"/>
      <c r="QY14" s="54"/>
      <c r="QZ14" s="54"/>
      <c r="RA14" s="54"/>
      <c r="RB14" s="54"/>
      <c r="RC14" s="54"/>
      <c r="RD14" s="54"/>
      <c r="RE14" s="54"/>
      <c r="RF14" s="54"/>
      <c r="RG14" s="54"/>
      <c r="RH14" s="54"/>
      <c r="RI14" s="54"/>
      <c r="RJ14" s="54"/>
      <c r="RK14" s="54"/>
      <c r="RL14" s="54"/>
      <c r="RM14" s="54"/>
      <c r="RN14" s="54"/>
      <c r="RO14" s="54"/>
      <c r="RP14" s="54"/>
      <c r="RQ14" s="54"/>
      <c r="RR14" s="54"/>
      <c r="RS14" s="54"/>
      <c r="RT14" s="54"/>
      <c r="RU14" s="54"/>
      <c r="RV14" s="54"/>
      <c r="RW14" s="54"/>
      <c r="RX14" s="54"/>
      <c r="RY14" s="54"/>
      <c r="RZ14" s="54"/>
      <c r="SA14" s="54"/>
      <c r="SB14" s="54"/>
      <c r="SC14" s="54"/>
      <c r="SD14" s="54"/>
      <c r="SE14" s="54"/>
      <c r="SF14" s="54"/>
      <c r="SG14" s="54"/>
      <c r="SH14" s="54"/>
      <c r="SI14" s="54"/>
      <c r="SJ14" s="54"/>
      <c r="SK14" s="54"/>
      <c r="SL14" s="54"/>
      <c r="SM14" s="54"/>
      <c r="SN14" s="54"/>
      <c r="SO14" s="54"/>
      <c r="SP14" s="54"/>
      <c r="SQ14" s="54"/>
      <c r="SR14" s="54"/>
      <c r="SS14" s="54"/>
      <c r="ST14" s="54"/>
      <c r="SU14" s="54"/>
      <c r="SV14" s="54"/>
      <c r="SW14" s="54"/>
      <c r="SX14" s="54"/>
      <c r="SY14" s="54"/>
      <c r="SZ14" s="54"/>
      <c r="TA14" s="54"/>
      <c r="TB14" s="54"/>
      <c r="TC14" s="54"/>
      <c r="TD14" s="54"/>
      <c r="TE14" s="54"/>
      <c r="TF14" s="54"/>
      <c r="TG14" s="54"/>
      <c r="TH14" s="54"/>
      <c r="TI14" s="54"/>
      <c r="TJ14" s="54"/>
      <c r="TK14" s="54"/>
      <c r="TL14" s="54"/>
      <c r="TM14" s="54"/>
      <c r="TN14" s="54"/>
      <c r="TO14" s="54"/>
      <c r="TP14" s="54"/>
      <c r="TQ14" s="54"/>
      <c r="TR14" s="54"/>
      <c r="TS14" s="54"/>
      <c r="TT14" s="54"/>
      <c r="TU14" s="54"/>
      <c r="TV14" s="54"/>
      <c r="TW14" s="54"/>
      <c r="TX14" s="54"/>
      <c r="TY14" s="54"/>
      <c r="TZ14" s="54"/>
      <c r="UA14" s="54"/>
      <c r="UB14" s="54"/>
      <c r="UC14" s="54"/>
      <c r="UD14" s="54"/>
      <c r="UE14" s="54"/>
      <c r="UF14" s="54"/>
      <c r="UG14" s="54"/>
      <c r="UH14" s="54"/>
      <c r="UI14" s="54"/>
      <c r="UJ14" s="54"/>
      <c r="UK14" s="54"/>
      <c r="UL14" s="54"/>
      <c r="UM14" s="54"/>
      <c r="UN14" s="54"/>
      <c r="UO14" s="54"/>
      <c r="UP14" s="54"/>
      <c r="UQ14" s="54"/>
      <c r="UR14" s="54"/>
      <c r="US14" s="54"/>
      <c r="UT14" s="54"/>
      <c r="UU14" s="54"/>
      <c r="UV14" s="54"/>
      <c r="UW14" s="54"/>
      <c r="UX14" s="54"/>
      <c r="UY14" s="54"/>
      <c r="UZ14" s="54"/>
      <c r="VA14" s="54"/>
      <c r="VB14" s="54"/>
      <c r="VC14" s="54"/>
      <c r="VD14" s="54"/>
      <c r="VE14" s="54"/>
      <c r="VF14" s="54"/>
      <c r="VG14" s="156"/>
      <c r="VH14" s="156"/>
      <c r="VI14" s="156"/>
      <c r="VJ14" s="156"/>
      <c r="VK14" s="156"/>
      <c r="VL14" s="156"/>
      <c r="VM14" s="156"/>
      <c r="VN14" s="156"/>
      <c r="VO14" s="156"/>
      <c r="VP14" s="156"/>
      <c r="VQ14" s="156"/>
      <c r="VR14" s="156"/>
      <c r="VS14" s="156"/>
      <c r="VT14" s="156"/>
      <c r="VU14" s="156"/>
      <c r="VV14" s="156"/>
      <c r="VW14" s="156"/>
      <c r="VX14" s="156"/>
      <c r="VY14" s="156"/>
      <c r="VZ14" s="156"/>
      <c r="WA14" s="156"/>
      <c r="WB14" s="156"/>
      <c r="WC14" s="156"/>
      <c r="WD14" s="156"/>
      <c r="WE14" s="156"/>
      <c r="WF14" s="156"/>
      <c r="WG14" s="156"/>
      <c r="WH14" s="156"/>
      <c r="WI14" s="156"/>
      <c r="WJ14" s="156"/>
      <c r="WK14" s="156"/>
      <c r="WL14" s="156"/>
      <c r="WM14" s="156"/>
      <c r="WN14" s="156"/>
      <c r="WO14" s="156"/>
      <c r="WP14" s="156"/>
      <c r="WQ14" s="156"/>
      <c r="WR14" s="156"/>
      <c r="WS14" s="156"/>
      <c r="WT14" s="156"/>
      <c r="WU14" s="156"/>
      <c r="WV14" s="156"/>
      <c r="WW14" s="156"/>
      <c r="WX14" s="156"/>
      <c r="WY14" s="156"/>
      <c r="WZ14" s="156"/>
      <c r="XA14" s="156"/>
      <c r="XB14" s="156"/>
      <c r="XC14" s="156"/>
      <c r="XD14" s="156"/>
      <c r="XE14" s="156"/>
      <c r="XF14" s="156"/>
      <c r="XG14" s="156"/>
      <c r="XH14" s="156"/>
      <c r="XI14" s="156"/>
      <c r="XJ14" s="156"/>
      <c r="XK14" s="156"/>
      <c r="XL14" s="156"/>
      <c r="XM14" s="156"/>
      <c r="XN14" s="156"/>
      <c r="XO14" s="156"/>
      <c r="XP14" s="156"/>
      <c r="XQ14" s="156"/>
      <c r="XR14" s="156"/>
      <c r="XS14" s="156"/>
      <c r="XT14" s="156"/>
      <c r="XU14" s="156"/>
      <c r="XV14" s="156"/>
      <c r="XW14" s="156"/>
      <c r="XX14" s="156"/>
      <c r="XY14" s="156"/>
      <c r="XZ14" s="156"/>
      <c r="YA14" s="156"/>
      <c r="YB14" s="156"/>
      <c r="YC14" s="157"/>
      <c r="YD14" s="157"/>
      <c r="YE14" s="157"/>
      <c r="YF14" s="157"/>
      <c r="YG14" s="157"/>
      <c r="YH14" s="157"/>
      <c r="YI14" s="157"/>
      <c r="YJ14" s="157"/>
      <c r="YK14" s="157"/>
      <c r="YL14" s="157"/>
      <c r="YM14" s="157"/>
    </row>
    <row r="15" spans="1:663" ht="15.75" customHeight="1" x14ac:dyDescent="0.2">
      <c r="A15" s="7"/>
      <c r="B15" s="30" t="s">
        <v>161</v>
      </c>
      <c r="C15" s="159">
        <f t="shared" ref="C15:IW15" si="26">C12/C8</f>
        <v>0.23160762942779292</v>
      </c>
      <c r="D15" s="159">
        <f t="shared" si="26"/>
        <v>0.19618528610354224</v>
      </c>
      <c r="E15" s="159">
        <f t="shared" si="26"/>
        <v>0.24664879356568364</v>
      </c>
      <c r="F15" s="159">
        <f t="shared" si="26"/>
        <v>0.25265957446808512</v>
      </c>
      <c r="G15" s="159">
        <f t="shared" si="26"/>
        <v>0.22606382978723405</v>
      </c>
      <c r="H15" s="159">
        <f t="shared" si="26"/>
        <v>0.21010638297872342</v>
      </c>
      <c r="I15" s="159">
        <f t="shared" si="26"/>
        <v>0.25388601036269431</v>
      </c>
      <c r="J15" s="159">
        <f t="shared" si="26"/>
        <v>0.22979797979797981</v>
      </c>
      <c r="K15" s="159">
        <f t="shared" si="26"/>
        <v>0.22469135802469137</v>
      </c>
      <c r="L15" s="159">
        <f t="shared" si="26"/>
        <v>0.22836538461538461</v>
      </c>
      <c r="M15" s="159">
        <f t="shared" si="26"/>
        <v>0.23855421686746989</v>
      </c>
      <c r="N15" s="159">
        <f t="shared" si="26"/>
        <v>0.20481927710843373</v>
      </c>
      <c r="O15" s="159">
        <f t="shared" si="26"/>
        <v>0.19277108433734941</v>
      </c>
      <c r="P15" s="159">
        <f t="shared" si="26"/>
        <v>0.25415676959619954</v>
      </c>
      <c r="Q15" s="159">
        <f t="shared" si="26"/>
        <v>0.2638888888888889</v>
      </c>
      <c r="R15" s="159">
        <f t="shared" si="26"/>
        <v>0.27727272727272728</v>
      </c>
      <c r="S15" s="159">
        <f t="shared" si="26"/>
        <v>0.25223214285714285</v>
      </c>
      <c r="T15" s="159">
        <f t="shared" si="26"/>
        <v>0.25333333333333335</v>
      </c>
      <c r="U15" s="159">
        <f t="shared" si="26"/>
        <v>0.21555555555555556</v>
      </c>
      <c r="V15" s="159">
        <f t="shared" si="26"/>
        <v>0.2328159645232816</v>
      </c>
      <c r="W15" s="159">
        <f t="shared" si="26"/>
        <v>0.23160173160173161</v>
      </c>
      <c r="X15" s="159">
        <f t="shared" si="26"/>
        <v>0.2294736842105263</v>
      </c>
      <c r="Y15" s="159">
        <f t="shared" si="26"/>
        <v>0.26283367556468173</v>
      </c>
      <c r="Z15" s="159">
        <f t="shared" si="26"/>
        <v>0.24055666003976142</v>
      </c>
      <c r="AA15" s="159">
        <f t="shared" si="26"/>
        <v>0.23459244532803181</v>
      </c>
      <c r="AB15" s="159">
        <f t="shared" si="26"/>
        <v>0.2485089463220676</v>
      </c>
      <c r="AC15" s="159">
        <f t="shared" si="26"/>
        <v>0.21272365805168986</v>
      </c>
      <c r="AD15" s="159">
        <f t="shared" si="26"/>
        <v>0.21669980119284293</v>
      </c>
      <c r="AE15" s="159">
        <f t="shared" si="26"/>
        <v>0.25396825396825395</v>
      </c>
      <c r="AF15" s="159">
        <f t="shared" si="26"/>
        <v>0.21188118811881188</v>
      </c>
      <c r="AG15" s="159">
        <f t="shared" si="26"/>
        <v>0.2109375</v>
      </c>
      <c r="AH15" s="159">
        <f t="shared" si="26"/>
        <v>0.263671875</v>
      </c>
      <c r="AI15" s="159">
        <f t="shared" si="26"/>
        <v>0.2421875</v>
      </c>
      <c r="AJ15" s="159">
        <f t="shared" si="26"/>
        <v>0.1875</v>
      </c>
      <c r="AK15" s="159">
        <f t="shared" si="26"/>
        <v>0.21032504780114722</v>
      </c>
      <c r="AL15" s="159">
        <f t="shared" si="26"/>
        <v>0.2607879924953096</v>
      </c>
      <c r="AM15" s="159">
        <f t="shared" si="26"/>
        <v>0.24067164179104478</v>
      </c>
      <c r="AN15" s="159">
        <f t="shared" si="26"/>
        <v>0.2140221402214022</v>
      </c>
      <c r="AO15" s="159">
        <f t="shared" si="26"/>
        <v>0.24080882352941177</v>
      </c>
      <c r="AP15" s="159">
        <f t="shared" si="26"/>
        <v>0.21691176470588236</v>
      </c>
      <c r="AQ15" s="159">
        <f t="shared" si="26"/>
        <v>0.20955882352941177</v>
      </c>
      <c r="AR15" s="159">
        <f t="shared" si="26"/>
        <v>0.22021660649819494</v>
      </c>
      <c r="AS15" s="159">
        <f t="shared" si="26"/>
        <v>0.21441124780316345</v>
      </c>
      <c r="AT15" s="159">
        <f t="shared" si="26"/>
        <v>0.22591943957968477</v>
      </c>
      <c r="AU15" s="159">
        <f t="shared" si="26"/>
        <v>0.24783362218370883</v>
      </c>
      <c r="AV15" s="159">
        <f t="shared" si="26"/>
        <v>0.28249566724436742</v>
      </c>
      <c r="AW15" s="159">
        <f t="shared" si="26"/>
        <v>0.22530329289428075</v>
      </c>
      <c r="AX15" s="159">
        <f t="shared" si="26"/>
        <v>0.24440619621342513</v>
      </c>
      <c r="AY15" s="159">
        <f t="shared" si="26"/>
        <v>0.22680412371134021</v>
      </c>
      <c r="AZ15" s="159">
        <f t="shared" si="26"/>
        <v>0.24040066777963273</v>
      </c>
      <c r="BA15" s="159">
        <f t="shared" si="26"/>
        <v>0.24086378737541528</v>
      </c>
      <c r="BB15" s="159">
        <f t="shared" si="26"/>
        <v>0.22988505747126436</v>
      </c>
      <c r="BC15" s="159">
        <f t="shared" si="26"/>
        <v>0.24302134646962234</v>
      </c>
      <c r="BD15" s="159">
        <f t="shared" si="26"/>
        <v>0.23316912972085385</v>
      </c>
      <c r="BE15" s="159">
        <f t="shared" si="26"/>
        <v>0.24222585924713586</v>
      </c>
      <c r="BF15" s="159">
        <f t="shared" si="26"/>
        <v>0.20192307692307693</v>
      </c>
      <c r="BG15" s="159">
        <f t="shared" si="26"/>
        <v>0.18670886075949367</v>
      </c>
      <c r="BH15" s="159">
        <f t="shared" si="26"/>
        <v>0.22550544323483671</v>
      </c>
      <c r="BI15" s="159">
        <f t="shared" si="26"/>
        <v>0.21739130434782608</v>
      </c>
      <c r="BJ15" s="159">
        <f t="shared" si="26"/>
        <v>0.30279503105590061</v>
      </c>
      <c r="BK15" s="159">
        <f t="shared" si="26"/>
        <v>0.25776397515527949</v>
      </c>
      <c r="BL15" s="159">
        <f t="shared" si="26"/>
        <v>0.24223602484472051</v>
      </c>
      <c r="BM15" s="159">
        <f t="shared" si="26"/>
        <v>0.22826086956521738</v>
      </c>
      <c r="BN15" s="159">
        <f t="shared" si="26"/>
        <v>0.21894409937888198</v>
      </c>
      <c r="BO15" s="159">
        <f t="shared" si="26"/>
        <v>0.23136645962732919</v>
      </c>
      <c r="BP15" s="159">
        <f t="shared" si="26"/>
        <v>0.23100775193798451</v>
      </c>
      <c r="BQ15" s="159">
        <f t="shared" si="26"/>
        <v>0.23100775193798451</v>
      </c>
      <c r="BR15" s="159">
        <f t="shared" si="26"/>
        <v>0.21374045801526717</v>
      </c>
      <c r="BS15" s="159">
        <f t="shared" si="26"/>
        <v>0.20916030534351146</v>
      </c>
      <c r="BT15" s="159">
        <f t="shared" si="26"/>
        <v>0.19969742813918306</v>
      </c>
      <c r="BU15" s="159">
        <f t="shared" si="26"/>
        <v>0.19667170953101362</v>
      </c>
      <c r="BV15" s="159">
        <f t="shared" si="26"/>
        <v>0.19155354449472098</v>
      </c>
      <c r="BW15" s="159">
        <f t="shared" si="26"/>
        <v>0.24813153961136025</v>
      </c>
      <c r="BX15" s="159">
        <f t="shared" si="26"/>
        <v>0.25859491778774291</v>
      </c>
      <c r="BY15" s="159">
        <f t="shared" si="26"/>
        <v>0.22272047832585951</v>
      </c>
      <c r="BZ15" s="159">
        <f t="shared" si="26"/>
        <v>0.20627802690582961</v>
      </c>
      <c r="CA15" s="159">
        <f t="shared" si="26"/>
        <v>0.23313782991202345</v>
      </c>
      <c r="CB15" s="159">
        <f t="shared" si="26"/>
        <v>0.22254335260115607</v>
      </c>
      <c r="CC15" s="159">
        <f t="shared" si="26"/>
        <v>0.23638968481375358</v>
      </c>
      <c r="CD15" s="159">
        <f t="shared" si="26"/>
        <v>0.22759601706970128</v>
      </c>
      <c r="CE15" s="159">
        <f t="shared" si="26"/>
        <v>0.25889046941678523</v>
      </c>
      <c r="CF15" s="159">
        <f t="shared" si="26"/>
        <v>0.23186344238975817</v>
      </c>
      <c r="CG15" s="159">
        <f t="shared" si="26"/>
        <v>0.20338983050847459</v>
      </c>
      <c r="CH15" s="159">
        <f t="shared" si="26"/>
        <v>0.22849083215796898</v>
      </c>
      <c r="CI15" s="159">
        <f t="shared" si="26"/>
        <v>0.22531293463143254</v>
      </c>
      <c r="CJ15" s="159">
        <f t="shared" si="26"/>
        <v>0</v>
      </c>
      <c r="CK15" s="159">
        <f t="shared" si="26"/>
        <v>0.23202170963364993</v>
      </c>
      <c r="CL15" s="159">
        <f t="shared" si="26"/>
        <v>0.25508819538670285</v>
      </c>
      <c r="CM15" s="159">
        <f t="shared" si="26"/>
        <v>0.21709633649932158</v>
      </c>
      <c r="CN15" s="159">
        <f t="shared" si="26"/>
        <v>0.22727272727272727</v>
      </c>
      <c r="CO15" s="159">
        <f t="shared" si="26"/>
        <v>0.22459893048128343</v>
      </c>
      <c r="CP15" s="159">
        <f t="shared" si="26"/>
        <v>0.23921568627450981</v>
      </c>
      <c r="CQ15" s="159">
        <f t="shared" si="26"/>
        <v>0.21806451612903227</v>
      </c>
      <c r="CR15" s="159">
        <f t="shared" si="26"/>
        <v>0.24807197943444731</v>
      </c>
      <c r="CS15" s="159">
        <f t="shared" si="26"/>
        <v>0.2467866323907455</v>
      </c>
      <c r="CT15" s="159">
        <f t="shared" si="26"/>
        <v>0.24035989717223649</v>
      </c>
      <c r="CU15" s="159">
        <f t="shared" si="26"/>
        <v>0.2227784730913642</v>
      </c>
      <c r="CV15" s="159">
        <f t="shared" si="26"/>
        <v>0.20833333333333334</v>
      </c>
      <c r="CW15" s="159">
        <f t="shared" si="26"/>
        <v>0.22222222222222221</v>
      </c>
      <c r="CX15" s="159">
        <f t="shared" si="26"/>
        <v>0.24004975124378108</v>
      </c>
      <c r="CY15" s="159">
        <f t="shared" si="26"/>
        <v>0.21641791044776118</v>
      </c>
      <c r="CZ15" s="159">
        <f t="shared" si="26"/>
        <v>0.2462686567164179</v>
      </c>
      <c r="DA15" s="159">
        <f t="shared" si="26"/>
        <v>0.22885572139303484</v>
      </c>
      <c r="DB15" s="159">
        <f t="shared" si="26"/>
        <v>0.21782178217821782</v>
      </c>
      <c r="DC15" s="159">
        <f t="shared" si="26"/>
        <v>0.23856613102595797</v>
      </c>
      <c r="DD15" s="159">
        <f t="shared" si="26"/>
        <v>0.24703087885985747</v>
      </c>
      <c r="DE15" s="159">
        <f t="shared" si="26"/>
        <v>0.20092915214866433</v>
      </c>
      <c r="DF15" s="159">
        <f t="shared" si="26"/>
        <v>0.18223234624145787</v>
      </c>
      <c r="DG15" s="159">
        <f t="shared" si="26"/>
        <v>0.22665148063781321</v>
      </c>
      <c r="DH15" s="159">
        <f t="shared" si="26"/>
        <v>0.22779043280182232</v>
      </c>
      <c r="DI15" s="159">
        <f t="shared" si="26"/>
        <v>0.21670428893905191</v>
      </c>
      <c r="DJ15" s="159">
        <f t="shared" si="26"/>
        <v>0.22121896162528218</v>
      </c>
      <c r="DK15" s="159">
        <f t="shared" si="26"/>
        <v>0.23204419889502761</v>
      </c>
      <c r="DL15" s="159">
        <f t="shared" si="26"/>
        <v>0.2212486308871851</v>
      </c>
      <c r="DM15" s="159">
        <f t="shared" si="26"/>
        <v>0.21248630887185105</v>
      </c>
      <c r="DN15" s="159">
        <f t="shared" si="26"/>
        <v>0.23658269441401972</v>
      </c>
      <c r="DO15" s="159">
        <f t="shared" si="26"/>
        <v>0.25410733844468786</v>
      </c>
      <c r="DP15" s="159">
        <f t="shared" si="26"/>
        <v>0.20622986036519872</v>
      </c>
      <c r="DQ15" s="159">
        <f t="shared" si="26"/>
        <v>0.18239660657476139</v>
      </c>
      <c r="DR15" s="159">
        <f t="shared" si="26"/>
        <v>0.21698113207547171</v>
      </c>
      <c r="DS15" s="159">
        <f t="shared" si="26"/>
        <v>0.24109014675052412</v>
      </c>
      <c r="DT15" s="159">
        <f t="shared" si="26"/>
        <v>0.23246073298429321</v>
      </c>
      <c r="DU15" s="159">
        <f t="shared" si="26"/>
        <v>0.218848167539267</v>
      </c>
      <c r="DV15" s="159">
        <f t="shared" si="26"/>
        <v>0.20104712041884817</v>
      </c>
      <c r="DW15" s="159">
        <f t="shared" si="26"/>
        <v>0.21047120418848167</v>
      </c>
      <c r="DX15" s="159">
        <f t="shared" si="26"/>
        <v>0.19504643962848298</v>
      </c>
      <c r="DY15" s="159">
        <f t="shared" si="26"/>
        <v>0.21792260692464357</v>
      </c>
      <c r="DZ15" s="159">
        <f t="shared" si="26"/>
        <v>0.224</v>
      </c>
      <c r="EA15" s="159">
        <f t="shared" si="26"/>
        <v>0.215</v>
      </c>
      <c r="EB15" s="159">
        <f t="shared" si="26"/>
        <v>0.22800000000000001</v>
      </c>
      <c r="EC15" s="159">
        <f t="shared" si="26"/>
        <v>0.214</v>
      </c>
      <c r="ED15" s="159">
        <f t="shared" si="26"/>
        <v>0.18</v>
      </c>
      <c r="EE15" s="159">
        <f t="shared" si="26"/>
        <v>0.18</v>
      </c>
      <c r="EF15" s="159">
        <f t="shared" si="26"/>
        <v>0.20799999999999999</v>
      </c>
      <c r="EG15" s="159">
        <f t="shared" si="26"/>
        <v>0.23099415204678361</v>
      </c>
      <c r="EH15" s="159">
        <f t="shared" si="26"/>
        <v>0.22670509125840538</v>
      </c>
      <c r="EI15" s="159">
        <f t="shared" si="26"/>
        <v>0.23919308357348704</v>
      </c>
      <c r="EJ15" s="159">
        <f t="shared" si="26"/>
        <v>0.23579545454545456</v>
      </c>
      <c r="EK15" s="159">
        <f t="shared" si="26"/>
        <v>0.19363636363636363</v>
      </c>
      <c r="EL15" s="159">
        <f t="shared" si="26"/>
        <v>0.21282051282051281</v>
      </c>
      <c r="EM15" s="159">
        <f t="shared" si="26"/>
        <v>0.22531645569620254</v>
      </c>
      <c r="EN15" s="159">
        <f t="shared" si="26"/>
        <v>0.23166666666666666</v>
      </c>
      <c r="EO15" s="159">
        <f t="shared" si="26"/>
        <v>0.2508278145695364</v>
      </c>
      <c r="EP15" s="159">
        <f t="shared" si="26"/>
        <v>0.2259933774834437</v>
      </c>
      <c r="EQ15" s="159">
        <f t="shared" si="26"/>
        <v>0.2119205298013245</v>
      </c>
      <c r="ER15" s="159">
        <f t="shared" si="26"/>
        <v>0.18874172185430463</v>
      </c>
      <c r="ES15" s="159">
        <f t="shared" si="26"/>
        <v>0.21166134185303515</v>
      </c>
      <c r="ET15" s="159">
        <f t="shared" si="26"/>
        <v>0.19858712715855573</v>
      </c>
      <c r="EU15" s="159">
        <f t="shared" si="26"/>
        <v>0.20946470131885184</v>
      </c>
      <c r="EV15" s="159">
        <f t="shared" si="26"/>
        <v>0.21445042275172943</v>
      </c>
      <c r="EW15" s="159">
        <f t="shared" si="26"/>
        <v>0.21060722521137587</v>
      </c>
      <c r="EX15" s="159">
        <f t="shared" si="26"/>
        <v>0.23750960799385087</v>
      </c>
      <c r="EY15" s="159">
        <f t="shared" si="26"/>
        <v>0.20439061317183951</v>
      </c>
      <c r="EZ15" s="159">
        <f t="shared" si="26"/>
        <v>0.21005917159763313</v>
      </c>
      <c r="FA15" s="159">
        <f t="shared" si="26"/>
        <v>0.21479374110953059</v>
      </c>
      <c r="FB15" s="159">
        <f t="shared" si="26"/>
        <v>0.22526315789473683</v>
      </c>
      <c r="FC15" s="159">
        <f t="shared" si="26"/>
        <v>0.23533519553072627</v>
      </c>
      <c r="FD15" s="159">
        <f t="shared" si="26"/>
        <v>0.2206703910614525</v>
      </c>
      <c r="FE15" s="159">
        <f t="shared" si="26"/>
        <v>0.21508379888268156</v>
      </c>
      <c r="FF15" s="159">
        <f t="shared" si="26"/>
        <v>0.1962290502793296</v>
      </c>
      <c r="FG15" s="159">
        <f t="shared" si="26"/>
        <v>0.19241011984021306</v>
      </c>
      <c r="FH15" s="159">
        <f t="shared" si="26"/>
        <v>0.1970995385629532</v>
      </c>
      <c r="FI15" s="159">
        <f t="shared" si="26"/>
        <v>0.2043506921555702</v>
      </c>
      <c r="FJ15" s="159">
        <f t="shared" si="26"/>
        <v>0.19662921348314608</v>
      </c>
      <c r="FK15" s="159">
        <f t="shared" si="26"/>
        <v>0.22159800249687889</v>
      </c>
      <c r="FL15" s="159">
        <f t="shared" si="26"/>
        <v>0.21410736579275905</v>
      </c>
      <c r="FM15" s="159">
        <f t="shared" si="26"/>
        <v>0.18955042527339003</v>
      </c>
      <c r="FN15" s="159">
        <f t="shared" si="26"/>
        <v>0.19292989814260036</v>
      </c>
      <c r="FO15" s="159">
        <f t="shared" si="26"/>
        <v>0.17836593785960875</v>
      </c>
      <c r="FP15" s="159">
        <f t="shared" si="26"/>
        <v>0.20977828311540647</v>
      </c>
      <c r="FQ15" s="159">
        <f t="shared" si="26"/>
        <v>0.20466173962478681</v>
      </c>
      <c r="FR15" s="159">
        <f t="shared" si="26"/>
        <v>0.2028409090909091</v>
      </c>
      <c r="FS15" s="159">
        <f t="shared" si="26"/>
        <v>0.21363636363636362</v>
      </c>
      <c r="FT15" s="159">
        <f t="shared" si="26"/>
        <v>0.1951219512195122</v>
      </c>
      <c r="FU15" s="159">
        <f t="shared" si="26"/>
        <v>0.19172113289760348</v>
      </c>
      <c r="FV15" s="159">
        <f t="shared" si="26"/>
        <v>0.19553376906318082</v>
      </c>
      <c r="FW15" s="159">
        <f t="shared" si="26"/>
        <v>0.19117647058823528</v>
      </c>
      <c r="FX15" s="159">
        <f t="shared" si="26"/>
        <v>0.19662309368191722</v>
      </c>
      <c r="FY15" s="159">
        <f t="shared" si="26"/>
        <v>0.21568627450980393</v>
      </c>
      <c r="FZ15" s="159">
        <f t="shared" si="26"/>
        <v>0.19771241830065359</v>
      </c>
      <c r="GA15" s="159">
        <f t="shared" si="26"/>
        <v>0.19063180827886711</v>
      </c>
      <c r="GB15" s="159">
        <f t="shared" si="26"/>
        <v>0.19934640522875818</v>
      </c>
      <c r="GC15" s="159">
        <f t="shared" si="26"/>
        <v>0.20043572984749455</v>
      </c>
      <c r="GD15" s="159">
        <f t="shared" si="26"/>
        <v>0.20479302832244009</v>
      </c>
      <c r="GE15" s="159">
        <f t="shared" si="26"/>
        <v>0.20806100217864923</v>
      </c>
      <c r="GF15" s="159">
        <f t="shared" si="26"/>
        <v>0.22603485838779958</v>
      </c>
      <c r="GG15" s="159">
        <f t="shared" si="26"/>
        <v>0.2113289760348584</v>
      </c>
      <c r="GH15" s="159">
        <f t="shared" si="26"/>
        <v>0.20990312163616792</v>
      </c>
      <c r="GI15" s="159">
        <f t="shared" si="26"/>
        <v>0.17384284176533907</v>
      </c>
      <c r="GJ15" s="159">
        <f t="shared" si="26"/>
        <v>0.18380394246137455</v>
      </c>
      <c r="GK15" s="159">
        <f t="shared" si="26"/>
        <v>0.18675013041210226</v>
      </c>
      <c r="GL15" s="159">
        <f t="shared" si="26"/>
        <v>0.19420868696954569</v>
      </c>
      <c r="GM15" s="159">
        <f t="shared" si="26"/>
        <v>0.19420868696954569</v>
      </c>
      <c r="GN15" s="159">
        <f t="shared" si="26"/>
        <v>0.20668996505242138</v>
      </c>
      <c r="GO15" s="159">
        <f t="shared" si="26"/>
        <v>0.19395711500974658</v>
      </c>
      <c r="GP15" s="159">
        <f t="shared" si="26"/>
        <v>0.18810916179337231</v>
      </c>
      <c r="GQ15" s="159">
        <f t="shared" si="26"/>
        <v>0.20321637426900585</v>
      </c>
      <c r="GR15" s="159">
        <f t="shared" si="26"/>
        <v>0.20077972709551656</v>
      </c>
      <c r="GS15" s="159">
        <f t="shared" si="26"/>
        <v>0.20406189555125726</v>
      </c>
      <c r="GT15" s="159">
        <f t="shared" si="26"/>
        <v>0.21373307543520309</v>
      </c>
      <c r="GU15" s="159">
        <f t="shared" si="26"/>
        <v>0.20515222482435597</v>
      </c>
      <c r="GV15" s="159">
        <f t="shared" si="26"/>
        <v>0.16674364896073904</v>
      </c>
      <c r="GW15" s="159">
        <f t="shared" si="26"/>
        <v>0.16766743648960739</v>
      </c>
      <c r="GX15" s="159">
        <f t="shared" si="26"/>
        <v>0.16628175519630484</v>
      </c>
      <c r="GY15" s="159">
        <f t="shared" si="26"/>
        <v>0.16812933025404156</v>
      </c>
      <c r="GZ15" s="159">
        <f t="shared" si="26"/>
        <v>0.18431726002703921</v>
      </c>
      <c r="HA15" s="159">
        <f t="shared" si="26"/>
        <v>0.2014420910319964</v>
      </c>
      <c r="HB15" s="159">
        <f t="shared" si="26"/>
        <v>0.18566922036953581</v>
      </c>
      <c r="HC15" s="159">
        <f t="shared" si="26"/>
        <v>0.1751437417072092</v>
      </c>
      <c r="HD15" s="159">
        <f t="shared" si="26"/>
        <v>0.15966386554621848</v>
      </c>
      <c r="HE15" s="159">
        <f t="shared" si="26"/>
        <v>0.18277680140597541</v>
      </c>
      <c r="HF15" s="159">
        <f t="shared" si="26"/>
        <v>0.18491059747056257</v>
      </c>
      <c r="HG15" s="159">
        <f t="shared" si="26"/>
        <v>0.21397569444444445</v>
      </c>
      <c r="HH15" s="159">
        <f t="shared" si="26"/>
        <v>0.21354166666666666</v>
      </c>
      <c r="HI15" s="159">
        <f t="shared" si="26"/>
        <v>0.2109375</v>
      </c>
      <c r="HJ15" s="159">
        <f t="shared" si="26"/>
        <v>0.1775173611111111</v>
      </c>
      <c r="HK15" s="159">
        <f t="shared" si="26"/>
        <v>0.16867469879518071</v>
      </c>
      <c r="HL15" s="159">
        <f t="shared" si="26"/>
        <v>0.18478727975934681</v>
      </c>
      <c r="HM15" s="159">
        <f t="shared" si="26"/>
        <v>0.1887275832621691</v>
      </c>
      <c r="HN15" s="159">
        <f t="shared" si="26"/>
        <v>0.18936170212765957</v>
      </c>
      <c r="HO15" s="159">
        <f t="shared" si="26"/>
        <v>0.19957446808510637</v>
      </c>
      <c r="HP15" s="159">
        <f t="shared" si="26"/>
        <v>0.19361702127659575</v>
      </c>
      <c r="HQ15" s="159">
        <f t="shared" si="26"/>
        <v>0.16701813580767608</v>
      </c>
      <c r="HR15" s="159">
        <f t="shared" si="26"/>
        <v>0.16104553119730186</v>
      </c>
      <c r="HS15" s="159">
        <f t="shared" si="26"/>
        <v>0.16827934371055953</v>
      </c>
      <c r="HT15" s="159">
        <f t="shared" si="26"/>
        <v>0.1801007556675063</v>
      </c>
      <c r="HU15" s="159">
        <f t="shared" si="26"/>
        <v>0.20329896907216494</v>
      </c>
      <c r="HV15" s="159">
        <f t="shared" si="26"/>
        <v>0.21113402061855671</v>
      </c>
      <c r="HW15" s="159">
        <f t="shared" si="26"/>
        <v>0.20247422680412372</v>
      </c>
      <c r="HX15" s="159">
        <f t="shared" si="26"/>
        <v>0.17653715579026782</v>
      </c>
      <c r="HY15" s="159">
        <f t="shared" si="26"/>
        <v>0.18257261410788381</v>
      </c>
      <c r="HZ15" s="159">
        <f t="shared" si="26"/>
        <v>0.19502074688796681</v>
      </c>
      <c r="IA15" s="159">
        <f t="shared" si="26"/>
        <v>0.20294228592983779</v>
      </c>
      <c r="IB15" s="159">
        <f t="shared" si="26"/>
        <v>0.1893625047152018</v>
      </c>
      <c r="IC15" s="159">
        <f t="shared" si="26"/>
        <v>0.1893625047152018</v>
      </c>
      <c r="ID15" s="159">
        <f t="shared" si="26"/>
        <v>0.18332704639758582</v>
      </c>
      <c r="IE15" s="159">
        <f t="shared" si="26"/>
        <v>0.17880045265937383</v>
      </c>
      <c r="IF15" s="159">
        <f t="shared" si="26"/>
        <v>0.15579026782346284</v>
      </c>
      <c r="IG15" s="159">
        <f t="shared" si="26"/>
        <v>0.16345817290864542</v>
      </c>
      <c r="IH15" s="159">
        <f t="shared" si="26"/>
        <v>0.17004898530440868</v>
      </c>
      <c r="II15" s="159">
        <f t="shared" si="26"/>
        <v>0.17494751574527642</v>
      </c>
      <c r="IJ15" s="159">
        <f t="shared" si="26"/>
        <v>0.18054583624912526</v>
      </c>
      <c r="IK15" s="159">
        <f t="shared" si="26"/>
        <v>0.17517286796180442</v>
      </c>
      <c r="IL15" s="159">
        <f t="shared" si="26"/>
        <v>0.19920974646032269</v>
      </c>
      <c r="IM15" s="159">
        <f t="shared" si="26"/>
        <v>0.18690358670615334</v>
      </c>
      <c r="IN15" s="159">
        <f t="shared" si="26"/>
        <v>0.18250575468595856</v>
      </c>
      <c r="IO15" s="159">
        <f t="shared" si="26"/>
        <v>0.18678066425517922</v>
      </c>
      <c r="IP15" s="159">
        <f t="shared" si="26"/>
        <v>0.18614173228346456</v>
      </c>
      <c r="IQ15" s="159">
        <f t="shared" si="26"/>
        <v>0.20678818353236958</v>
      </c>
      <c r="IR15" s="159">
        <f t="shared" si="26"/>
        <v>0.19453174104336896</v>
      </c>
      <c r="IS15" s="159">
        <f t="shared" si="26"/>
        <v>0.17480559875583204</v>
      </c>
      <c r="IT15" s="159">
        <f t="shared" si="26"/>
        <v>0.19688958009331259</v>
      </c>
      <c r="IU15" s="159">
        <f t="shared" si="26"/>
        <v>0.17158843643145788</v>
      </c>
      <c r="IV15" s="159">
        <f t="shared" si="26"/>
        <v>0.16033108522378908</v>
      </c>
      <c r="IW15" s="159">
        <f t="shared" si="26"/>
        <v>0.18340477648499695</v>
      </c>
      <c r="IX15" s="159">
        <f t="shared" ref="IX15:SR15" si="27">IX12/IX8</f>
        <v>0.19840783833435394</v>
      </c>
      <c r="IY15" s="159">
        <f t="shared" si="27"/>
        <v>0.1861604409063074</v>
      </c>
      <c r="IZ15" s="159">
        <f t="shared" si="27"/>
        <v>0.19920440636474909</v>
      </c>
      <c r="JA15" s="159">
        <f t="shared" si="27"/>
        <v>0.18198473282442748</v>
      </c>
      <c r="JB15" s="159">
        <f t="shared" si="27"/>
        <v>0.18542238487343701</v>
      </c>
      <c r="JC15" s="159">
        <f t="shared" si="27"/>
        <v>0.18786215309545592</v>
      </c>
      <c r="JD15" s="159">
        <f t="shared" si="27"/>
        <v>0.18298261665141813</v>
      </c>
      <c r="JE15" s="159">
        <f t="shared" si="27"/>
        <v>0.19274168953949375</v>
      </c>
      <c r="JF15" s="159">
        <f t="shared" si="27"/>
        <v>0.18267764562366576</v>
      </c>
      <c r="JG15" s="159">
        <f t="shared" si="27"/>
        <v>0.16193961573650503</v>
      </c>
      <c r="JH15" s="159">
        <f t="shared" si="27"/>
        <v>0.17261360170783777</v>
      </c>
      <c r="JI15" s="159">
        <f t="shared" si="27"/>
        <v>0.16397439804937519</v>
      </c>
      <c r="JJ15" s="159">
        <f t="shared" si="27"/>
        <v>0.17748264412918804</v>
      </c>
      <c r="JK15" s="159">
        <f t="shared" si="27"/>
        <v>0.17446423181406581</v>
      </c>
      <c r="JL15" s="159">
        <f t="shared" si="27"/>
        <v>0.18593419861153032</v>
      </c>
      <c r="JM15" s="159">
        <f t="shared" si="27"/>
        <v>0.18321762752792031</v>
      </c>
      <c r="JN15" s="159">
        <f t="shared" si="27"/>
        <v>0.15802098950524737</v>
      </c>
      <c r="JO15" s="159">
        <f t="shared" si="27"/>
        <v>0.17535971223021582</v>
      </c>
      <c r="JP15" s="159">
        <f t="shared" si="27"/>
        <v>0.1903765690376569</v>
      </c>
      <c r="JQ15" s="159">
        <f t="shared" si="27"/>
        <v>0.19575612671846981</v>
      </c>
      <c r="JR15" s="159">
        <f t="shared" si="27"/>
        <v>0.19162929745889387</v>
      </c>
      <c r="JS15" s="159">
        <f t="shared" si="27"/>
        <v>0.20388639760837071</v>
      </c>
      <c r="JT15" s="159">
        <f t="shared" si="27"/>
        <v>0.20029895366218237</v>
      </c>
      <c r="JU15" s="159">
        <f t="shared" si="27"/>
        <v>0.18714499252615843</v>
      </c>
      <c r="JV15" s="159">
        <f t="shared" si="27"/>
        <v>0.18716417910447761</v>
      </c>
      <c r="JW15" s="159">
        <f t="shared" si="27"/>
        <v>0.18298507462686567</v>
      </c>
      <c r="JX15" s="159">
        <f t="shared" si="27"/>
        <v>0.1817910447761194</v>
      </c>
      <c r="JY15" s="159">
        <f t="shared" si="27"/>
        <v>0.19108469539375927</v>
      </c>
      <c r="JZ15" s="159">
        <f t="shared" si="27"/>
        <v>0.20475482912332837</v>
      </c>
      <c r="KA15" s="159">
        <f t="shared" si="27"/>
        <v>0.18930163447251114</v>
      </c>
      <c r="KB15" s="159">
        <f t="shared" si="27"/>
        <v>0.15690936106983655</v>
      </c>
      <c r="KC15" s="159">
        <f t="shared" si="27"/>
        <v>0.1711738484398217</v>
      </c>
      <c r="KD15" s="159">
        <f t="shared" si="27"/>
        <v>0.18989598811292718</v>
      </c>
      <c r="KE15" s="159">
        <f t="shared" si="27"/>
        <v>0.18130563798219584</v>
      </c>
      <c r="KF15" s="159">
        <f t="shared" si="27"/>
        <v>0.20504451038575669</v>
      </c>
      <c r="KG15" s="159">
        <f t="shared" si="27"/>
        <v>0.20356083086053411</v>
      </c>
      <c r="KH15" s="159">
        <f t="shared" si="27"/>
        <v>0.2</v>
      </c>
      <c r="KI15" s="159">
        <f t="shared" si="27"/>
        <v>0.17923691215616683</v>
      </c>
      <c r="KJ15" s="159">
        <f t="shared" si="27"/>
        <v>0.19106773144040226</v>
      </c>
      <c r="KK15" s="159">
        <f t="shared" si="27"/>
        <v>0.17954745812518366</v>
      </c>
      <c r="KL15" s="159">
        <f t="shared" si="27"/>
        <v>0.178728391444477</v>
      </c>
      <c r="KM15" s="159">
        <f t="shared" si="27"/>
        <v>0.17404043363609728</v>
      </c>
      <c r="KN15" s="159">
        <f t="shared" si="27"/>
        <v>0.19132727805449751</v>
      </c>
      <c r="KO15" s="159">
        <f t="shared" si="27"/>
        <v>0.18546733079402286</v>
      </c>
      <c r="KP15" s="159">
        <f t="shared" si="27"/>
        <v>0.17198945209493113</v>
      </c>
      <c r="KQ15" s="159">
        <f t="shared" si="27"/>
        <v>0.16612950483445649</v>
      </c>
      <c r="KR15" s="159">
        <f t="shared" si="27"/>
        <v>0.17321219226260257</v>
      </c>
      <c r="KS15" s="159">
        <f t="shared" si="27"/>
        <v>0.16881594372801875</v>
      </c>
      <c r="KT15" s="159">
        <f t="shared" si="27"/>
        <v>0.19050410316529895</v>
      </c>
      <c r="KU15" s="159">
        <f t="shared" si="27"/>
        <v>0.1910902696365768</v>
      </c>
      <c r="KV15" s="159">
        <f t="shared" si="27"/>
        <v>0.20310668229777257</v>
      </c>
      <c r="KW15" s="159">
        <f t="shared" si="27"/>
        <v>0.18375693835816534</v>
      </c>
      <c r="KX15" s="159">
        <f t="shared" si="27"/>
        <v>0.17090271691498685</v>
      </c>
      <c r="KY15" s="159">
        <f t="shared" si="27"/>
        <v>0.18697049371895999</v>
      </c>
      <c r="KZ15" s="159">
        <f t="shared" si="27"/>
        <v>0.17236342389716622</v>
      </c>
      <c r="LA15" s="159">
        <f t="shared" si="27"/>
        <v>0.21472392638036811</v>
      </c>
      <c r="LB15" s="159">
        <f t="shared" si="27"/>
        <v>0.22640958223780311</v>
      </c>
      <c r="LC15" s="159">
        <f t="shared" si="27"/>
        <v>0.18697049371895999</v>
      </c>
      <c r="LD15" s="159">
        <f t="shared" si="27"/>
        <v>0.19281332164767748</v>
      </c>
      <c r="LE15" s="159">
        <f t="shared" si="27"/>
        <v>0.21658986175115208</v>
      </c>
      <c r="LF15" s="159">
        <f t="shared" si="27"/>
        <v>0.18841832324978391</v>
      </c>
      <c r="LG15" s="159">
        <f t="shared" si="27"/>
        <v>0.19545192861255037</v>
      </c>
      <c r="LH15" s="159">
        <f t="shared" si="27"/>
        <v>0.1940126655152562</v>
      </c>
      <c r="LI15" s="159">
        <f t="shared" si="27"/>
        <v>0.2181922855497985</v>
      </c>
      <c r="LJ15" s="159">
        <f t="shared" si="27"/>
        <v>0.21761658031088082</v>
      </c>
      <c r="LK15" s="159">
        <f t="shared" si="27"/>
        <v>0.18566493955094993</v>
      </c>
      <c r="LL15" s="159">
        <f t="shared" si="27"/>
        <v>0.23028209556706966</v>
      </c>
      <c r="LM15" s="159">
        <f t="shared" si="27"/>
        <v>0.20894660894660894</v>
      </c>
      <c r="LN15" s="159">
        <f t="shared" si="27"/>
        <v>0.20779220779220781</v>
      </c>
      <c r="LO15" s="159">
        <f t="shared" si="27"/>
        <v>0.21471861471861473</v>
      </c>
      <c r="LP15" s="159">
        <f t="shared" si="27"/>
        <v>0.22453102453102453</v>
      </c>
      <c r="LQ15" s="159">
        <f t="shared" si="27"/>
        <v>0.21154401154401153</v>
      </c>
      <c r="LR15" s="159">
        <f t="shared" si="27"/>
        <v>0.20519480519480521</v>
      </c>
      <c r="LS15" s="159">
        <f t="shared" si="27"/>
        <v>0.1840207672339198</v>
      </c>
      <c r="LT15" s="159">
        <f t="shared" si="27"/>
        <v>0.20969137582924718</v>
      </c>
      <c r="LU15" s="159">
        <f t="shared" si="27"/>
        <v>0.22526680126910875</v>
      </c>
      <c r="LV15" s="159">
        <f t="shared" si="27"/>
        <v>0.2272858379002019</v>
      </c>
      <c r="LW15" s="159">
        <f t="shared" si="27"/>
        <v>0.23420824920680705</v>
      </c>
      <c r="LX15" s="159">
        <f t="shared" si="27"/>
        <v>0.22468993366022497</v>
      </c>
      <c r="LY15" s="159">
        <f t="shared" si="27"/>
        <v>0.24257282953562156</v>
      </c>
      <c r="LZ15" s="159">
        <f t="shared" si="27"/>
        <v>0.22670897029131815</v>
      </c>
      <c r="MA15" s="159">
        <f t="shared" si="27"/>
        <v>0.22045191193511007</v>
      </c>
      <c r="MB15" s="159">
        <f t="shared" si="27"/>
        <v>0.21668597914252608</v>
      </c>
      <c r="MC15" s="159">
        <f t="shared" si="27"/>
        <v>0.21014297275424873</v>
      </c>
      <c r="MD15" s="159">
        <f t="shared" si="27"/>
        <v>0.21499865120043163</v>
      </c>
      <c r="ME15" s="159">
        <f t="shared" si="27"/>
        <v>0.21634745076881576</v>
      </c>
      <c r="MF15" s="159">
        <f t="shared" si="27"/>
        <v>0.20474777448071216</v>
      </c>
      <c r="MG15" s="159">
        <f t="shared" si="27"/>
        <v>0.18181818181818182</v>
      </c>
      <c r="MH15" s="159">
        <f t="shared" si="27"/>
        <v>0.19099001888319395</v>
      </c>
      <c r="MI15" s="159">
        <f t="shared" si="27"/>
        <v>0.19065321295804566</v>
      </c>
      <c r="MJ15" s="159">
        <f t="shared" si="27"/>
        <v>0.1943039659302635</v>
      </c>
      <c r="MK15" s="159">
        <f t="shared" si="27"/>
        <v>0.20228906042054831</v>
      </c>
      <c r="ML15" s="159">
        <f t="shared" si="27"/>
        <v>0.19669949427734895</v>
      </c>
      <c r="MM15" s="159">
        <f t="shared" si="27"/>
        <v>0.19699367088607594</v>
      </c>
      <c r="MN15" s="159">
        <f t="shared" si="27"/>
        <v>0.18723628691983121</v>
      </c>
      <c r="MO15" s="159">
        <f t="shared" si="27"/>
        <v>0.19247845390441368</v>
      </c>
      <c r="MP15" s="159">
        <f t="shared" si="27"/>
        <v>0.19812059514487079</v>
      </c>
      <c r="MQ15" s="159">
        <f t="shared" si="27"/>
        <v>0.19081179848603497</v>
      </c>
      <c r="MR15" s="159">
        <f t="shared" si="27"/>
        <v>0.21273818846254242</v>
      </c>
      <c r="MS15" s="159">
        <f t="shared" si="27"/>
        <v>0.20334116418689638</v>
      </c>
      <c r="MT15" s="159">
        <f t="shared" si="27"/>
        <v>0.1994257374053772</v>
      </c>
      <c r="MU15" s="159">
        <f t="shared" si="27"/>
        <v>0.20308013573479508</v>
      </c>
      <c r="MV15" s="159">
        <f t="shared" si="27"/>
        <v>0.18637431480031325</v>
      </c>
      <c r="MW15" s="159">
        <f t="shared" si="27"/>
        <v>0.14930827460193161</v>
      </c>
      <c r="MX15" s="159">
        <f t="shared" si="27"/>
        <v>0.17462803445575567</v>
      </c>
      <c r="MY15" s="159">
        <f t="shared" si="27"/>
        <v>0.18533020099190811</v>
      </c>
      <c r="MZ15" s="159">
        <f t="shared" si="27"/>
        <v>0.18141477421038893</v>
      </c>
      <c r="NA15" s="159">
        <f t="shared" si="27"/>
        <v>0.1743670060036544</v>
      </c>
      <c r="NB15" s="159">
        <f t="shared" si="27"/>
        <v>0.17854346123727485</v>
      </c>
      <c r="NC15" s="159">
        <f t="shared" si="27"/>
        <v>0.17854346123727485</v>
      </c>
      <c r="ND15" s="159">
        <f t="shared" si="27"/>
        <v>0.16340381101540069</v>
      </c>
      <c r="NE15" s="159">
        <f t="shared" si="27"/>
        <v>0.19237796919864264</v>
      </c>
      <c r="NF15" s="159">
        <f t="shared" si="27"/>
        <v>0.19498825371965545</v>
      </c>
      <c r="NG15" s="159">
        <f t="shared" si="27"/>
        <v>0.1918559122944401</v>
      </c>
      <c r="NH15" s="159">
        <f t="shared" si="27"/>
        <v>0.18834900731452456</v>
      </c>
      <c r="NI15" s="159">
        <f t="shared" si="27"/>
        <v>0.16766936960502224</v>
      </c>
      <c r="NJ15" s="159">
        <f t="shared" si="27"/>
        <v>0.16879395675957282</v>
      </c>
      <c r="NK15" s="159">
        <f t="shared" si="27"/>
        <v>0.16749153425371191</v>
      </c>
      <c r="NL15" s="159">
        <f t="shared" si="27"/>
        <v>0.17218025527481115</v>
      </c>
      <c r="NM15" s="159">
        <f t="shared" si="27"/>
        <v>0.18572544933576451</v>
      </c>
      <c r="NN15" s="159">
        <f t="shared" si="27"/>
        <v>0.17244073977598334</v>
      </c>
      <c r="NO15" s="159">
        <f t="shared" si="27"/>
        <v>0.16964516964516965</v>
      </c>
      <c r="NP15" s="159">
        <f t="shared" si="27"/>
        <v>0.16261004660797515</v>
      </c>
      <c r="NQ15" s="159">
        <f t="shared" si="27"/>
        <v>0.16105644743656136</v>
      </c>
      <c r="NR15" s="159">
        <f t="shared" si="27"/>
        <v>0.17762817193164163</v>
      </c>
      <c r="NS15" s="159">
        <f t="shared" si="27"/>
        <v>0.17974617974617974</v>
      </c>
      <c r="NT15" s="159">
        <f t="shared" si="27"/>
        <v>0.19554519554519553</v>
      </c>
      <c r="NU15" s="159">
        <f t="shared" si="27"/>
        <v>0.20098420098420097</v>
      </c>
      <c r="NV15" s="159">
        <f t="shared" si="27"/>
        <v>0.17367741935483871</v>
      </c>
      <c r="NW15" s="159">
        <f t="shared" si="27"/>
        <v>0.17212903225806453</v>
      </c>
      <c r="NX15" s="159">
        <f t="shared" si="27"/>
        <v>0.18477419354838709</v>
      </c>
      <c r="NY15" s="159">
        <f t="shared" si="27"/>
        <v>0.16954838709677419</v>
      </c>
      <c r="NZ15" s="159">
        <f t="shared" si="27"/>
        <v>0.17625806451612902</v>
      </c>
      <c r="OA15" s="159">
        <f t="shared" si="27"/>
        <v>0.17987096774193548</v>
      </c>
      <c r="OB15" s="159">
        <f t="shared" si="27"/>
        <v>0.17367741935483871</v>
      </c>
      <c r="OC15" s="159">
        <f t="shared" si="27"/>
        <v>0.16670967741935483</v>
      </c>
      <c r="OD15" s="159">
        <f t="shared" si="27"/>
        <v>0.16483516483516483</v>
      </c>
      <c r="OE15" s="159">
        <f t="shared" si="27"/>
        <v>0.16166456494325346</v>
      </c>
      <c r="OF15" s="159">
        <f t="shared" si="27"/>
        <v>0.15225</v>
      </c>
      <c r="OG15" s="159">
        <f t="shared" si="27"/>
        <v>0.1735148514851485</v>
      </c>
      <c r="OH15" s="159">
        <f t="shared" si="27"/>
        <v>0.18044554455445544</v>
      </c>
      <c r="OI15" s="159">
        <f t="shared" si="27"/>
        <v>0.21608910891089109</v>
      </c>
      <c r="OJ15" s="159">
        <f t="shared" si="27"/>
        <v>0.19921201674464417</v>
      </c>
      <c r="OK15" s="159">
        <f t="shared" si="27"/>
        <v>0.18001469507714915</v>
      </c>
      <c r="OL15" s="159">
        <f t="shared" si="27"/>
        <v>0.17168748469262796</v>
      </c>
      <c r="OM15" s="159">
        <f t="shared" si="27"/>
        <v>0.1789293571253972</v>
      </c>
      <c r="ON15" s="159">
        <f t="shared" si="27"/>
        <v>0.17767487204484522</v>
      </c>
      <c r="OO15" s="159">
        <f t="shared" si="27"/>
        <v>0.19083597367779673</v>
      </c>
      <c r="OP15" s="159">
        <f t="shared" si="27"/>
        <v>0.18181818181818182</v>
      </c>
      <c r="OQ15" s="159">
        <f t="shared" si="27"/>
        <v>0.16427004630757983</v>
      </c>
      <c r="OR15" s="159">
        <f t="shared" si="27"/>
        <v>0.1695160125210691</v>
      </c>
      <c r="OS15" s="159">
        <f t="shared" si="27"/>
        <v>0.16918714555765596</v>
      </c>
      <c r="OT15" s="159">
        <f t="shared" si="27"/>
        <v>0.16338951310861424</v>
      </c>
      <c r="OU15" s="159">
        <f t="shared" si="27"/>
        <v>0.20088248954946586</v>
      </c>
      <c r="OV15" s="159">
        <f t="shared" si="27"/>
        <v>0.20506270320483047</v>
      </c>
      <c r="OW15" s="159">
        <f t="shared" si="27"/>
        <v>0.20068415051311289</v>
      </c>
      <c r="OX15" s="159">
        <f t="shared" si="27"/>
        <v>0.19237708615245827</v>
      </c>
      <c r="OY15" s="159">
        <f t="shared" si="27"/>
        <v>0.19298637480455663</v>
      </c>
      <c r="OZ15" s="159">
        <f t="shared" si="27"/>
        <v>0.18310472458088395</v>
      </c>
      <c r="PA15" s="159">
        <f t="shared" si="27"/>
        <v>0.1826677994902294</v>
      </c>
      <c r="PB15" s="159">
        <f t="shared" si="27"/>
        <v>0.1853813559322034</v>
      </c>
      <c r="PC15" s="159">
        <f t="shared" si="27"/>
        <v>0.2024603836530442</v>
      </c>
      <c r="PD15" s="159">
        <f t="shared" si="27"/>
        <v>0.18974145120934111</v>
      </c>
      <c r="PE15" s="159">
        <f t="shared" si="27"/>
        <v>0.18731808731808733</v>
      </c>
      <c r="PF15" s="159">
        <f t="shared" si="27"/>
        <v>0.17126957955482275</v>
      </c>
      <c r="PG15" s="159">
        <f t="shared" si="27"/>
        <v>0.16706778981147213</v>
      </c>
      <c r="PH15" s="159">
        <f t="shared" si="27"/>
        <v>0.17985045257772531</v>
      </c>
      <c r="PI15" s="159">
        <f t="shared" si="27"/>
        <v>0.19792685311949931</v>
      </c>
      <c r="PJ15" s="159">
        <f t="shared" si="27"/>
        <v>0.21220418540973987</v>
      </c>
      <c r="PK15" s="159">
        <f t="shared" si="27"/>
        <v>0.23097985527087816</v>
      </c>
      <c r="PL15" s="159">
        <f t="shared" si="27"/>
        <v>0.20699708454810495</v>
      </c>
      <c r="PM15" s="159">
        <f t="shared" si="27"/>
        <v>0.21151245895306162</v>
      </c>
      <c r="PN15" s="159">
        <f t="shared" si="27"/>
        <v>0.19285714285714287</v>
      </c>
      <c r="PO15" s="159">
        <f t="shared" si="27"/>
        <v>0.20154440154440154</v>
      </c>
      <c r="PP15" s="159">
        <f t="shared" si="27"/>
        <v>0.19703960015378699</v>
      </c>
      <c r="PQ15" s="159">
        <f t="shared" si="27"/>
        <v>0.20338331410995772</v>
      </c>
      <c r="PR15" s="159">
        <f t="shared" si="27"/>
        <v>0.19031141868512111</v>
      </c>
      <c r="PS15" s="159">
        <f t="shared" si="27"/>
        <v>0.17153846153846153</v>
      </c>
      <c r="PT15" s="159">
        <f t="shared" si="27"/>
        <v>0.16492295986303976</v>
      </c>
      <c r="PU15" s="159">
        <f t="shared" si="27"/>
        <v>0.17065299924069854</v>
      </c>
      <c r="PV15" s="159">
        <f t="shared" si="27"/>
        <v>0.17176870748299319</v>
      </c>
      <c r="PW15" s="159">
        <f t="shared" si="27"/>
        <v>0.1806379821958457</v>
      </c>
      <c r="PX15" s="159">
        <f t="shared" si="27"/>
        <v>0.19417655786350149</v>
      </c>
      <c r="PY15" s="159">
        <f t="shared" si="27"/>
        <v>0.20233679525222553</v>
      </c>
      <c r="PZ15" s="159">
        <f t="shared" si="27"/>
        <v>0.18885619713129828</v>
      </c>
      <c r="QA15" s="159">
        <f t="shared" si="27"/>
        <v>0.19404083134081296</v>
      </c>
      <c r="QB15" s="159">
        <f t="shared" si="27"/>
        <v>0.19752199676782187</v>
      </c>
      <c r="QC15" s="159">
        <f t="shared" si="27"/>
        <v>0.189621116897109</v>
      </c>
      <c r="QD15" s="159">
        <f t="shared" si="27"/>
        <v>0.19755708975039829</v>
      </c>
      <c r="QE15" s="159">
        <f t="shared" si="27"/>
        <v>0.19950433705080545</v>
      </c>
      <c r="QF15" s="159">
        <f t="shared" si="27"/>
        <v>0.19318580962416579</v>
      </c>
      <c r="QG15" s="159">
        <f t="shared" si="27"/>
        <v>0.17720407446434844</v>
      </c>
      <c r="QH15" s="159">
        <f t="shared" si="27"/>
        <v>0.1828240252897787</v>
      </c>
      <c r="QI15" s="159">
        <f t="shared" si="27"/>
        <v>0.17404285212504392</v>
      </c>
      <c r="QJ15" s="159">
        <f t="shared" si="27"/>
        <v>0.17069434989788973</v>
      </c>
      <c r="QK15" s="159">
        <f t="shared" si="27"/>
        <v>0.18390611902766135</v>
      </c>
      <c r="QL15" s="159">
        <f t="shared" si="27"/>
        <v>0.19547359597652975</v>
      </c>
      <c r="QM15" s="159">
        <f t="shared" si="27"/>
        <v>0.18273260687342832</v>
      </c>
      <c r="QN15" s="159">
        <f t="shared" si="27"/>
        <v>0.17468776019983348</v>
      </c>
      <c r="QO15" s="159">
        <f t="shared" si="27"/>
        <v>0.1642571516456475</v>
      </c>
      <c r="QP15" s="159">
        <f t="shared" si="27"/>
        <v>0.21268082486919052</v>
      </c>
      <c r="QQ15" s="159">
        <f t="shared" si="27"/>
        <v>0.18036318867343798</v>
      </c>
      <c r="QR15" s="159">
        <f t="shared" si="27"/>
        <v>0.15695722003212148</v>
      </c>
      <c r="QS15" s="159">
        <f t="shared" si="27"/>
        <v>0.19141480508103373</v>
      </c>
      <c r="QT15" s="159">
        <f t="shared" si="27"/>
        <v>0.1962330267192291</v>
      </c>
      <c r="QU15" s="159">
        <f t="shared" si="27"/>
        <v>0.18431429823280268</v>
      </c>
      <c r="QV15" s="159">
        <f t="shared" si="27"/>
        <v>0.17870830376153299</v>
      </c>
      <c r="QW15" s="159">
        <f t="shared" si="27"/>
        <v>0.18083003952569171</v>
      </c>
      <c r="QX15" s="159">
        <f t="shared" si="27"/>
        <v>0.18534726143421795</v>
      </c>
      <c r="QY15" s="159">
        <f t="shared" si="27"/>
        <v>0.17758328627893846</v>
      </c>
      <c r="QZ15" s="159">
        <f t="shared" si="27"/>
        <v>0.18351214003387917</v>
      </c>
      <c r="RA15" s="159">
        <f t="shared" si="27"/>
        <v>0.18195934500282326</v>
      </c>
      <c r="RB15" s="159">
        <f t="shared" si="27"/>
        <v>0.17186838017229206</v>
      </c>
      <c r="RC15" s="159">
        <f t="shared" si="27"/>
        <v>0.17131307499303039</v>
      </c>
      <c r="RD15" s="159">
        <f t="shared" si="27"/>
        <v>0.17716754948424868</v>
      </c>
      <c r="RE15" s="159">
        <f t="shared" si="27"/>
        <v>0.19222790761996958</v>
      </c>
      <c r="RF15" s="159">
        <f t="shared" si="27"/>
        <v>0.19775964596874568</v>
      </c>
      <c r="RG15" s="159">
        <f t="shared" si="27"/>
        <v>0.20370626469368</v>
      </c>
      <c r="RH15" s="159">
        <f t="shared" si="27"/>
        <v>0.19955746093209792</v>
      </c>
      <c r="RI15" s="159">
        <f t="shared" si="27"/>
        <v>0.18095890410958904</v>
      </c>
      <c r="RJ15" s="159">
        <f t="shared" si="27"/>
        <v>0.17523110386079391</v>
      </c>
      <c r="RK15" s="159">
        <f t="shared" si="27"/>
        <v>0.17441544317563892</v>
      </c>
      <c r="RL15" s="159">
        <f t="shared" si="27"/>
        <v>0.1696343618322686</v>
      </c>
      <c r="RM15" s="159">
        <f t="shared" si="27"/>
        <v>0.17679189981348253</v>
      </c>
      <c r="RN15" s="159">
        <f t="shared" si="27"/>
        <v>0.18705035971223022</v>
      </c>
      <c r="RO15" s="159">
        <f t="shared" si="27"/>
        <v>0.18451905142552624</v>
      </c>
      <c r="RP15" s="159">
        <f t="shared" si="27"/>
        <v>0.16653449643140364</v>
      </c>
      <c r="RQ15" s="159">
        <f t="shared" si="27"/>
        <v>0.16111551678561989</v>
      </c>
      <c r="RR15" s="159">
        <f t="shared" si="27"/>
        <v>0.1585559375826501</v>
      </c>
      <c r="RS15" s="159">
        <f t="shared" si="27"/>
        <v>0.17471233963761407</v>
      </c>
      <c r="RT15" s="159">
        <f t="shared" si="27"/>
        <v>0.20222192831636027</v>
      </c>
      <c r="RU15" s="159">
        <f t="shared" si="27"/>
        <v>0.19706388043909537</v>
      </c>
      <c r="RV15" s="159">
        <f t="shared" si="27"/>
        <v>0.19296389366485914</v>
      </c>
      <c r="RW15" s="159">
        <f t="shared" si="27"/>
        <v>0.18344134373760085</v>
      </c>
      <c r="RX15" s="159">
        <f t="shared" si="27"/>
        <v>0.17973602484472051</v>
      </c>
      <c r="RY15" s="159">
        <f t="shared" si="27"/>
        <v>0.17153748411689962</v>
      </c>
      <c r="RZ15" s="159">
        <f t="shared" si="27"/>
        <v>0.17209595959595961</v>
      </c>
      <c r="SA15" s="159">
        <f t="shared" si="27"/>
        <v>0.1712121212121212</v>
      </c>
      <c r="SB15" s="159">
        <f t="shared" si="27"/>
        <v>0.18042929292929294</v>
      </c>
      <c r="SC15" s="159">
        <f t="shared" si="27"/>
        <v>0.19065656565656566</v>
      </c>
      <c r="SD15" s="159">
        <f t="shared" si="27"/>
        <v>0.16613339896628107</v>
      </c>
      <c r="SE15" s="159">
        <f t="shared" si="27"/>
        <v>0.15493477725818361</v>
      </c>
      <c r="SF15" s="159">
        <f t="shared" si="27"/>
        <v>0.16055439715442169</v>
      </c>
      <c r="SG15" s="159">
        <f t="shared" si="27"/>
        <v>0.16387269193391643</v>
      </c>
      <c r="SH15" s="159">
        <f t="shared" si="27"/>
        <v>0.18889698736637511</v>
      </c>
      <c r="SI15" s="159">
        <f t="shared" si="27"/>
        <v>0.18717356978015304</v>
      </c>
      <c r="SJ15" s="159">
        <f t="shared" si="27"/>
        <v>0.19494716385278757</v>
      </c>
      <c r="SK15" s="159">
        <f t="shared" si="27"/>
        <v>0.19029404733444896</v>
      </c>
      <c r="SL15" s="159">
        <f t="shared" si="27"/>
        <v>0.17064886390255329</v>
      </c>
      <c r="SM15" s="159">
        <f t="shared" si="27"/>
        <v>0.17559211293898028</v>
      </c>
      <c r="SN15" s="159">
        <f t="shared" si="27"/>
        <v>0.17115855792789639</v>
      </c>
      <c r="SO15" s="159">
        <f t="shared" si="27"/>
        <v>0.17967122018985876</v>
      </c>
      <c r="SP15" s="159">
        <f t="shared" si="27"/>
        <v>0.18661727251678628</v>
      </c>
      <c r="SQ15" s="159">
        <f t="shared" si="27"/>
        <v>0.18453345681870803</v>
      </c>
      <c r="SR15" s="159">
        <f t="shared" si="27"/>
        <v>0.17075711970363511</v>
      </c>
      <c r="SS15" s="159">
        <f t="shared" ref="SS15:WH15" si="28">SS12/SS8</f>
        <v>0.16313269493844049</v>
      </c>
      <c r="ST15" s="159">
        <f t="shared" si="28"/>
        <v>0.16748989672204759</v>
      </c>
      <c r="SU15" s="159">
        <f t="shared" si="28"/>
        <v>0.16345618528003564</v>
      </c>
      <c r="SV15" s="159">
        <f t="shared" si="28"/>
        <v>0.16664819944598339</v>
      </c>
      <c r="SW15" s="159">
        <f t="shared" si="28"/>
        <v>0.16642659279778393</v>
      </c>
      <c r="SX15" s="159">
        <f t="shared" si="28"/>
        <v>0.16465373961218838</v>
      </c>
      <c r="SY15" s="159">
        <f t="shared" si="28"/>
        <v>0.19736258865248227</v>
      </c>
      <c r="SZ15" s="159">
        <f t="shared" si="28"/>
        <v>0.18772163120567376</v>
      </c>
      <c r="TA15" s="159">
        <f t="shared" si="28"/>
        <v>0.17872855257369116</v>
      </c>
      <c r="TB15" s="159">
        <f t="shared" si="28"/>
        <v>0.17566824331756684</v>
      </c>
      <c r="TC15" s="159">
        <f t="shared" si="28"/>
        <v>0.18296768615584136</v>
      </c>
      <c r="TD15" s="159">
        <f t="shared" si="28"/>
        <v>0.20090781368204907</v>
      </c>
      <c r="TE15" s="159">
        <f t="shared" si="28"/>
        <v>0.18199502863936021</v>
      </c>
      <c r="TF15" s="159">
        <f t="shared" si="28"/>
        <v>0.16508824795523031</v>
      </c>
      <c r="TG15" s="159">
        <f t="shared" si="28"/>
        <v>0.16176470588235295</v>
      </c>
      <c r="TH15" s="159">
        <f t="shared" si="28"/>
        <v>0.15644798692008993</v>
      </c>
      <c r="TI15" s="159">
        <f t="shared" si="28"/>
        <v>0.15699100572363042</v>
      </c>
      <c r="TJ15" s="159">
        <f t="shared" si="28"/>
        <v>0.16997138184791497</v>
      </c>
      <c r="TK15" s="159">
        <f t="shared" si="28"/>
        <v>0.16813164349959117</v>
      </c>
      <c r="TL15" s="159">
        <f t="shared" si="28"/>
        <v>0.1715044971381848</v>
      </c>
      <c r="TM15" s="159">
        <f t="shared" si="28"/>
        <v>0.16386217948717949</v>
      </c>
      <c r="TN15" s="159">
        <f t="shared" si="28"/>
        <v>0.15781782756941062</v>
      </c>
      <c r="TO15" s="159">
        <f t="shared" si="28"/>
        <v>0.16543517896555032</v>
      </c>
      <c r="TP15" s="159">
        <f t="shared" si="28"/>
        <v>0.16585319169298499</v>
      </c>
      <c r="TQ15" s="159">
        <f t="shared" si="28"/>
        <v>0.1727438032347593</v>
      </c>
      <c r="TR15" s="159">
        <f t="shared" si="28"/>
        <v>0.1744664561202029</v>
      </c>
      <c r="TS15" s="159">
        <f t="shared" si="28"/>
        <v>0.17102115034931573</v>
      </c>
      <c r="TT15" s="159">
        <f t="shared" si="28"/>
        <v>0.14881806871470954</v>
      </c>
      <c r="TU15" s="159">
        <f t="shared" si="28"/>
        <v>0.15093299016453718</v>
      </c>
      <c r="TV15" s="159">
        <f t="shared" si="28"/>
        <v>0.14369394105802671</v>
      </c>
      <c r="TW15" s="159">
        <f t="shared" si="28"/>
        <v>0.15161762017912631</v>
      </c>
      <c r="TX15" s="159">
        <f t="shared" si="28"/>
        <v>0.15386004514672685</v>
      </c>
      <c r="TY15" s="159">
        <f t="shared" si="28"/>
        <v>0.15783295711060949</v>
      </c>
      <c r="TZ15" s="159">
        <f t="shared" si="28"/>
        <v>0.15756207674943568</v>
      </c>
      <c r="UA15" s="159">
        <f t="shared" si="28"/>
        <v>0.13990618798484575</v>
      </c>
      <c r="UB15" s="159">
        <f t="shared" si="28"/>
        <v>0.14786505007907222</v>
      </c>
      <c r="UC15" s="159">
        <f t="shared" si="28"/>
        <v>0.17228365806564858</v>
      </c>
      <c r="UD15" s="159">
        <f t="shared" si="28"/>
        <v>0.16420923292961206</v>
      </c>
      <c r="UE15" s="159">
        <f t="shared" si="28"/>
        <v>0.17228661749209695</v>
      </c>
      <c r="UF15" s="159">
        <f t="shared" si="28"/>
        <v>0.1723744292237443</v>
      </c>
      <c r="UG15" s="159">
        <f t="shared" si="28"/>
        <v>0.16956445381102916</v>
      </c>
      <c r="UH15" s="159">
        <f t="shared" si="28"/>
        <v>0.15604144713733756</v>
      </c>
      <c r="UI15" s="159">
        <f t="shared" si="28"/>
        <v>0.1598594642072903</v>
      </c>
      <c r="UJ15" s="159">
        <f t="shared" si="28"/>
        <v>0.14943927671042337</v>
      </c>
      <c r="UK15" s="159">
        <f t="shared" si="28"/>
        <v>0.14769471216462621</v>
      </c>
      <c r="UL15" s="159">
        <f t="shared" si="28"/>
        <v>0.14830250933402797</v>
      </c>
      <c r="UM15" s="159">
        <f t="shared" si="28"/>
        <v>0.16002431188677607</v>
      </c>
      <c r="UN15" s="159">
        <f t="shared" si="28"/>
        <v>0.15516193453156205</v>
      </c>
      <c r="UO15" s="159">
        <f t="shared" si="28"/>
        <v>0.14246100519930677</v>
      </c>
      <c r="UP15" s="159">
        <f t="shared" si="28"/>
        <v>0.14332755632582322</v>
      </c>
      <c r="UQ15" s="159">
        <f t="shared" si="28"/>
        <v>0.15866712707182321</v>
      </c>
      <c r="UR15" s="159">
        <f t="shared" si="28"/>
        <v>0.15436357364608486</v>
      </c>
      <c r="US15" s="159">
        <f t="shared" si="28"/>
        <v>0.16135423845623709</v>
      </c>
      <c r="UT15" s="159">
        <f t="shared" si="28"/>
        <v>0.16893521709166093</v>
      </c>
      <c r="UU15" s="159">
        <f t="shared" si="28"/>
        <v>0.16652308752584424</v>
      </c>
      <c r="UV15" s="159">
        <f t="shared" si="28"/>
        <v>0.14929359062715369</v>
      </c>
      <c r="UW15" s="159">
        <f t="shared" si="28"/>
        <v>0.1428091679959701</v>
      </c>
      <c r="UX15" s="159">
        <f t="shared" si="28"/>
        <v>0.14362281215978562</v>
      </c>
      <c r="UY15" s="159">
        <f t="shared" si="28"/>
        <v>0.14286902286902287</v>
      </c>
      <c r="UZ15" s="159">
        <f t="shared" si="28"/>
        <v>0.14711018711018711</v>
      </c>
      <c r="VA15" s="159">
        <f t="shared" si="28"/>
        <v>0.15484407484407484</v>
      </c>
      <c r="VB15" s="159">
        <f t="shared" si="28"/>
        <v>0.14619542619542619</v>
      </c>
      <c r="VC15" s="159">
        <f t="shared" si="28"/>
        <v>0.13691119049597075</v>
      </c>
      <c r="VD15" s="159">
        <f t="shared" si="28"/>
        <v>0.13429117182958225</v>
      </c>
      <c r="VE15" s="159">
        <f t="shared" si="28"/>
        <v>0.13245577951460305</v>
      </c>
      <c r="VF15" s="159">
        <f t="shared" si="28"/>
        <v>0.13245577951460305</v>
      </c>
      <c r="VG15" s="160">
        <f t="shared" si="28"/>
        <v>0.13940626270841805</v>
      </c>
      <c r="VH15" s="160">
        <f t="shared" si="28"/>
        <v>0.14572538860103626</v>
      </c>
      <c r="VI15" s="160">
        <f t="shared" si="28"/>
        <v>0.18570387760058285</v>
      </c>
      <c r="VJ15" s="160">
        <f t="shared" si="28"/>
        <v>0.17291346231684612</v>
      </c>
      <c r="VK15" s="160">
        <f t="shared" si="28"/>
        <v>0.15268782383419688</v>
      </c>
      <c r="VL15" s="160">
        <f t="shared" si="28"/>
        <v>0.14799222797927461</v>
      </c>
      <c r="VM15" s="160">
        <f t="shared" si="28"/>
        <v>0.14291452442159383</v>
      </c>
      <c r="VN15" s="160">
        <f t="shared" si="28"/>
        <v>0.14717223650385605</v>
      </c>
      <c r="VO15" s="160">
        <f t="shared" si="28"/>
        <v>0.15320334261838439</v>
      </c>
      <c r="VP15" s="160">
        <f t="shared" si="28"/>
        <v>0.15901313171508158</v>
      </c>
      <c r="VQ15" s="160">
        <f t="shared" si="28"/>
        <v>0.14285714285714285</v>
      </c>
      <c r="VR15" s="160">
        <f t="shared" si="28"/>
        <v>0.1301000158755358</v>
      </c>
      <c r="VS15" s="160">
        <f t="shared" si="28"/>
        <v>0.13154794628131627</v>
      </c>
      <c r="VT15" s="160">
        <f t="shared" si="28"/>
        <v>0.12769967800204193</v>
      </c>
      <c r="VU15" s="160">
        <f t="shared" si="28"/>
        <v>0.13374695672661588</v>
      </c>
      <c r="VV15" s="160">
        <f t="shared" si="28"/>
        <v>0.14095536413469067</v>
      </c>
      <c r="VW15" s="160">
        <f t="shared" si="28"/>
        <v>0.16805011746280343</v>
      </c>
      <c r="VX15" s="160">
        <f t="shared" si="28"/>
        <v>0.15779169929522319</v>
      </c>
      <c r="VY15" s="160">
        <f t="shared" si="28"/>
        <v>0.13703993735317149</v>
      </c>
      <c r="VZ15" s="160">
        <f t="shared" si="28"/>
        <v>0.13241973375097885</v>
      </c>
      <c r="WA15" s="160">
        <f t="shared" si="28"/>
        <v>0.13768734953793585</v>
      </c>
      <c r="WB15" s="160">
        <f t="shared" si="28"/>
        <v>0.15935388677486992</v>
      </c>
      <c r="WC15" s="160">
        <f t="shared" si="28"/>
        <v>0.17014832647355752</v>
      </c>
      <c r="WD15" s="160">
        <f t="shared" si="28"/>
        <v>0.17504077036576843</v>
      </c>
      <c r="WE15" s="160">
        <f t="shared" si="28"/>
        <v>0.17061427351091094</v>
      </c>
      <c r="WF15" s="160">
        <f t="shared" si="28"/>
        <v>0.15554865263648365</v>
      </c>
      <c r="WG15" s="160">
        <f t="shared" si="28"/>
        <v>0.14974366822251128</v>
      </c>
      <c r="WH15" s="160">
        <f t="shared" si="28"/>
        <v>0.14423444793021653</v>
      </c>
      <c r="WI15" s="160">
        <v>0.14831804279999999</v>
      </c>
      <c r="WJ15" s="160">
        <f t="shared" ref="WJ15:WO15" si="29">WJ12/WJ8</f>
        <v>0.14450253845570962</v>
      </c>
      <c r="WK15" s="160">
        <f t="shared" si="29"/>
        <v>0.14957944987497157</v>
      </c>
      <c r="WL15" s="160">
        <f t="shared" si="29"/>
        <v>0.15662650602409639</v>
      </c>
      <c r="WM15" s="160">
        <f t="shared" si="29"/>
        <v>0.15124649541562477</v>
      </c>
      <c r="WN15" s="160">
        <f t="shared" si="29"/>
        <v>0.17204760886608225</v>
      </c>
      <c r="WO15" s="160">
        <f t="shared" si="29"/>
        <v>0.16134006167647882</v>
      </c>
      <c r="WP15" s="160">
        <v>0.15543751750000001</v>
      </c>
      <c r="WQ15" s="160">
        <f t="shared" ref="WQ15:YB15" si="30">WQ12/WQ8</f>
        <v>0.15935141179759574</v>
      </c>
      <c r="WR15" s="160">
        <f t="shared" si="30"/>
        <v>0.16344345957561107</v>
      </c>
      <c r="WS15" s="160">
        <f t="shared" si="30"/>
        <v>0.16408234193289667</v>
      </c>
      <c r="WT15" s="160">
        <f t="shared" si="30"/>
        <v>0.15111140426093267</v>
      </c>
      <c r="WU15" s="160">
        <f t="shared" si="30"/>
        <v>0.15692612137203166</v>
      </c>
      <c r="WV15" s="160">
        <f t="shared" si="30"/>
        <v>0.16358839050131926</v>
      </c>
      <c r="WW15" s="160">
        <f t="shared" si="30"/>
        <v>0.15213708626531144</v>
      </c>
      <c r="WX15" s="160">
        <f t="shared" si="30"/>
        <v>0.16242203742203742</v>
      </c>
      <c r="WY15" s="160">
        <f t="shared" si="30"/>
        <v>0.15832900207900208</v>
      </c>
      <c r="WZ15" s="160">
        <f t="shared" si="30"/>
        <v>0.15923856548856549</v>
      </c>
      <c r="XA15" s="160">
        <f t="shared" si="30"/>
        <v>0.14864864864864866</v>
      </c>
      <c r="XB15" s="160">
        <f t="shared" si="30"/>
        <v>0.14868598599241792</v>
      </c>
      <c r="XC15" s="160">
        <f t="shared" si="30"/>
        <v>0.15643956324628058</v>
      </c>
      <c r="XD15" s="160">
        <f t="shared" si="30"/>
        <v>0.1547049441786284</v>
      </c>
      <c r="XE15" s="160">
        <f t="shared" si="30"/>
        <v>0.1616553302396542</v>
      </c>
      <c r="XF15" s="160">
        <f t="shared" si="30"/>
        <v>0.16356239272773504</v>
      </c>
      <c r="XG15" s="160">
        <f t="shared" si="30"/>
        <v>0.16807577394952641</v>
      </c>
      <c r="XH15" s="160">
        <f t="shared" si="30"/>
        <v>0.15097927362616467</v>
      </c>
      <c r="XI15" s="160">
        <f t="shared" si="30"/>
        <v>0.14641705141989753</v>
      </c>
      <c r="XJ15" s="160">
        <f t="shared" si="30"/>
        <v>0.15418529948982806</v>
      </c>
      <c r="XK15" s="160">
        <f t="shared" si="30"/>
        <v>0.15339306974121186</v>
      </c>
      <c r="XL15" s="160">
        <f t="shared" si="30"/>
        <v>0.15922414868404641</v>
      </c>
      <c r="XM15" s="160">
        <f t="shared" si="30"/>
        <v>0.16427591368342273</v>
      </c>
      <c r="XN15" s="160">
        <f t="shared" si="30"/>
        <v>0.15922414868404641</v>
      </c>
      <c r="XO15" s="160">
        <f t="shared" si="30"/>
        <v>0.14413122115504554</v>
      </c>
      <c r="XP15" s="160">
        <f t="shared" si="30"/>
        <v>0.14365454210881431</v>
      </c>
      <c r="XQ15" s="160">
        <f t="shared" si="30"/>
        <v>0.15360078517973255</v>
      </c>
      <c r="XR15" s="160">
        <f t="shared" si="30"/>
        <v>0.16893632683106366</v>
      </c>
      <c r="XS15" s="160">
        <f t="shared" si="30"/>
        <v>0.16611458716721875</v>
      </c>
      <c r="XT15" s="160">
        <f t="shared" si="30"/>
        <v>0.17531591215801742</v>
      </c>
      <c r="XU15" s="160">
        <f t="shared" si="30"/>
        <v>0.16623727150042938</v>
      </c>
      <c r="XV15" s="160">
        <f t="shared" si="30"/>
        <v>0.15298736351367931</v>
      </c>
      <c r="XW15" s="160">
        <f t="shared" si="30"/>
        <v>0.15230325706925105</v>
      </c>
      <c r="XX15" s="160">
        <f t="shared" si="30"/>
        <v>0.15156719622155432</v>
      </c>
      <c r="XY15" s="160">
        <f t="shared" si="30"/>
        <v>0.1508924737778323</v>
      </c>
      <c r="XZ15" s="160">
        <f t="shared" si="30"/>
        <v>0.16139124033860877</v>
      </c>
      <c r="YA15" s="160">
        <f t="shared" si="30"/>
        <v>0.16912035333087966</v>
      </c>
      <c r="YB15" s="160">
        <f t="shared" si="30"/>
        <v>0.15991902834008098</v>
      </c>
      <c r="YC15" s="161">
        <v>0.14099999999999999</v>
      </c>
      <c r="YD15" s="161">
        <f t="shared" ref="YD15:YF15" si="31">YD12/YD8</f>
        <v>0.13801987486198011</v>
      </c>
      <c r="YE15" s="161">
        <f t="shared" si="31"/>
        <v>0.14084161452582505</v>
      </c>
      <c r="YF15" s="161">
        <f t="shared" si="31"/>
        <v>0.15304870568028464</v>
      </c>
      <c r="YG15" s="161">
        <f t="shared" ref="YG15:YL15" si="32">YG12/YG8</f>
        <v>0.16562384983437614</v>
      </c>
      <c r="YH15" s="161">
        <f t="shared" si="32"/>
        <v>0.17280088332719912</v>
      </c>
      <c r="YI15" s="161">
        <f t="shared" si="32"/>
        <v>0.17568396515764936</v>
      </c>
      <c r="YJ15" s="161">
        <f t="shared" si="32"/>
        <v>0.15391693761118949</v>
      </c>
      <c r="YK15" s="161">
        <f t="shared" si="32"/>
        <v>0.15152444635298448</v>
      </c>
      <c r="YL15" s="161">
        <f t="shared" si="32"/>
        <v>0.15232194343905281</v>
      </c>
      <c r="YM15" s="161">
        <f>YM12/YM8</f>
        <v>0.15042021961842833</v>
      </c>
    </row>
    <row r="16" spans="1:663" ht="15.75" customHeight="1" x14ac:dyDescent="0.2">
      <c r="A16" s="52"/>
      <c r="B16" s="53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2"/>
      <c r="BM16" s="162"/>
      <c r="BN16" s="162"/>
      <c r="BO16" s="162"/>
      <c r="BP16" s="162"/>
      <c r="BQ16" s="162"/>
      <c r="BR16" s="162"/>
      <c r="BS16" s="162"/>
      <c r="BT16" s="162"/>
      <c r="BU16" s="162"/>
      <c r="BV16" s="162"/>
      <c r="BW16" s="162"/>
      <c r="BX16" s="162"/>
      <c r="BY16" s="162"/>
      <c r="BZ16" s="162"/>
      <c r="CA16" s="162"/>
      <c r="CB16" s="162"/>
      <c r="CC16" s="162"/>
      <c r="CD16" s="162"/>
      <c r="CE16" s="162"/>
      <c r="CF16" s="162"/>
      <c r="CG16" s="162"/>
      <c r="CH16" s="162"/>
      <c r="CI16" s="162"/>
      <c r="CJ16" s="162"/>
      <c r="CK16" s="162"/>
      <c r="CL16" s="162"/>
      <c r="CM16" s="162"/>
      <c r="CN16" s="162"/>
      <c r="CO16" s="162"/>
      <c r="CP16" s="162"/>
      <c r="CQ16" s="162"/>
      <c r="CR16" s="162"/>
      <c r="CS16" s="162"/>
      <c r="CT16" s="162"/>
      <c r="CU16" s="162"/>
      <c r="CV16" s="162"/>
      <c r="CW16" s="162"/>
      <c r="CX16" s="162"/>
      <c r="CY16" s="162"/>
      <c r="CZ16" s="162"/>
      <c r="DA16" s="162"/>
      <c r="DB16" s="162"/>
      <c r="DC16" s="162"/>
      <c r="DD16" s="162"/>
      <c r="DE16" s="162"/>
      <c r="DF16" s="162"/>
      <c r="DG16" s="162"/>
      <c r="DH16" s="162"/>
      <c r="DI16" s="162"/>
      <c r="DJ16" s="162"/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62"/>
      <c r="DZ16" s="162"/>
      <c r="EA16" s="162"/>
      <c r="EB16" s="162"/>
      <c r="EC16" s="162"/>
      <c r="ED16" s="162"/>
      <c r="EE16" s="162"/>
      <c r="EF16" s="162"/>
      <c r="EG16" s="162"/>
      <c r="EH16" s="162"/>
      <c r="EI16" s="162"/>
      <c r="EJ16" s="162"/>
      <c r="EK16" s="162"/>
      <c r="EL16" s="162"/>
      <c r="EM16" s="162"/>
      <c r="EN16" s="162"/>
      <c r="EO16" s="162"/>
      <c r="EP16" s="162"/>
      <c r="EQ16" s="162"/>
      <c r="ER16" s="162"/>
      <c r="ES16" s="162"/>
      <c r="ET16" s="162"/>
      <c r="EU16" s="162"/>
      <c r="EV16" s="162"/>
      <c r="EW16" s="162"/>
      <c r="EX16" s="162"/>
      <c r="EY16" s="162"/>
      <c r="EZ16" s="162"/>
      <c r="FA16" s="162"/>
      <c r="FB16" s="162"/>
      <c r="FC16" s="162"/>
      <c r="FD16" s="162"/>
      <c r="FE16" s="162"/>
      <c r="FF16" s="162"/>
      <c r="FG16" s="162"/>
      <c r="FH16" s="162"/>
      <c r="FI16" s="162"/>
      <c r="FJ16" s="162"/>
      <c r="FK16" s="162"/>
      <c r="FL16" s="162"/>
      <c r="FM16" s="162"/>
      <c r="FN16" s="162"/>
      <c r="FO16" s="162"/>
      <c r="FP16" s="162"/>
      <c r="FQ16" s="162"/>
      <c r="FR16" s="162"/>
      <c r="FS16" s="162"/>
      <c r="FT16" s="162"/>
      <c r="FU16" s="162"/>
      <c r="FV16" s="162"/>
      <c r="FW16" s="162"/>
      <c r="FX16" s="162"/>
      <c r="FY16" s="162"/>
      <c r="FZ16" s="162"/>
      <c r="GA16" s="162"/>
      <c r="GB16" s="162"/>
      <c r="GC16" s="162"/>
      <c r="GD16" s="162"/>
      <c r="GE16" s="162"/>
      <c r="GF16" s="162"/>
      <c r="GG16" s="162"/>
      <c r="GH16" s="162"/>
      <c r="GI16" s="162"/>
      <c r="GJ16" s="162"/>
      <c r="GK16" s="162"/>
      <c r="GL16" s="162"/>
      <c r="GM16" s="162"/>
      <c r="GN16" s="162"/>
      <c r="GO16" s="162"/>
      <c r="GP16" s="162"/>
      <c r="GQ16" s="162"/>
      <c r="GR16" s="162"/>
      <c r="GS16" s="162"/>
      <c r="GT16" s="162"/>
      <c r="GU16" s="162"/>
      <c r="GV16" s="162"/>
      <c r="GW16" s="162"/>
      <c r="GX16" s="162"/>
      <c r="GY16" s="162"/>
      <c r="GZ16" s="162"/>
      <c r="HA16" s="162"/>
      <c r="HB16" s="162"/>
      <c r="HC16" s="162"/>
      <c r="HD16" s="162"/>
      <c r="HE16" s="162"/>
      <c r="HF16" s="162"/>
      <c r="HG16" s="162"/>
      <c r="HH16" s="162"/>
      <c r="HI16" s="162"/>
      <c r="HJ16" s="162"/>
      <c r="HK16" s="162"/>
      <c r="HL16" s="162"/>
      <c r="HM16" s="162"/>
      <c r="HN16" s="162"/>
      <c r="HO16" s="162"/>
      <c r="HP16" s="162"/>
      <c r="HQ16" s="162"/>
      <c r="HR16" s="162"/>
      <c r="HS16" s="162"/>
      <c r="HT16" s="162"/>
      <c r="HU16" s="162"/>
      <c r="HV16" s="162"/>
      <c r="HW16" s="162"/>
      <c r="HX16" s="162"/>
      <c r="HY16" s="162"/>
      <c r="HZ16" s="162"/>
      <c r="IA16" s="162"/>
      <c r="IB16" s="162"/>
      <c r="IC16" s="162"/>
      <c r="ID16" s="162"/>
      <c r="IE16" s="162"/>
      <c r="IF16" s="162"/>
      <c r="IG16" s="162"/>
      <c r="IH16" s="162"/>
      <c r="II16" s="162"/>
      <c r="IJ16" s="162"/>
      <c r="IK16" s="162"/>
      <c r="IL16" s="162"/>
      <c r="IM16" s="162"/>
      <c r="IN16" s="162"/>
      <c r="IO16" s="162"/>
      <c r="IP16" s="162"/>
      <c r="IQ16" s="162"/>
      <c r="IR16" s="162"/>
      <c r="IS16" s="162"/>
      <c r="IT16" s="162"/>
      <c r="IU16" s="162"/>
      <c r="IV16" s="162"/>
      <c r="IW16" s="162"/>
      <c r="IX16" s="162"/>
      <c r="IY16" s="162"/>
      <c r="IZ16" s="162"/>
      <c r="JA16" s="162"/>
      <c r="JB16" s="162"/>
      <c r="JC16" s="162"/>
      <c r="JD16" s="162"/>
      <c r="JE16" s="162"/>
      <c r="JF16" s="162"/>
      <c r="JG16" s="162"/>
      <c r="JH16" s="162"/>
      <c r="JI16" s="162"/>
      <c r="JJ16" s="162"/>
      <c r="JK16" s="162"/>
      <c r="JL16" s="162"/>
      <c r="JM16" s="162"/>
      <c r="JN16" s="162"/>
      <c r="JO16" s="162"/>
      <c r="JP16" s="162"/>
      <c r="JQ16" s="162"/>
      <c r="JR16" s="162"/>
      <c r="JS16" s="162"/>
      <c r="JT16" s="162"/>
      <c r="JU16" s="162"/>
      <c r="JV16" s="162"/>
      <c r="JW16" s="162"/>
      <c r="JX16" s="162"/>
      <c r="JY16" s="162"/>
      <c r="JZ16" s="162"/>
      <c r="KA16" s="162"/>
      <c r="KB16" s="162"/>
      <c r="KC16" s="162"/>
      <c r="KD16" s="162"/>
      <c r="KE16" s="162"/>
      <c r="KF16" s="162"/>
      <c r="KG16" s="162"/>
      <c r="KH16" s="162"/>
      <c r="KI16" s="162"/>
      <c r="KJ16" s="162"/>
      <c r="KK16" s="162"/>
      <c r="KL16" s="162"/>
      <c r="KM16" s="162"/>
      <c r="KN16" s="162"/>
      <c r="KO16" s="162"/>
      <c r="KP16" s="162"/>
      <c r="KQ16" s="162"/>
      <c r="KR16" s="162"/>
      <c r="KS16" s="162"/>
      <c r="KT16" s="162"/>
      <c r="KU16" s="162"/>
      <c r="KV16" s="162"/>
      <c r="KW16" s="162"/>
      <c r="KX16" s="162"/>
      <c r="KY16" s="162"/>
      <c r="KZ16" s="162"/>
      <c r="LA16" s="162"/>
      <c r="LB16" s="162"/>
      <c r="LC16" s="162"/>
      <c r="LD16" s="162"/>
      <c r="LE16" s="162"/>
      <c r="LF16" s="162"/>
      <c r="LG16" s="162"/>
      <c r="LH16" s="162"/>
      <c r="LI16" s="162"/>
      <c r="LJ16" s="162"/>
      <c r="LK16" s="162"/>
      <c r="LL16" s="162"/>
      <c r="LM16" s="162"/>
      <c r="LN16" s="162"/>
      <c r="LO16" s="162"/>
      <c r="LP16" s="162"/>
      <c r="LQ16" s="162"/>
      <c r="LR16" s="162"/>
      <c r="LS16" s="162"/>
      <c r="LT16" s="162"/>
      <c r="LU16" s="162"/>
      <c r="LV16" s="162"/>
      <c r="LW16" s="162"/>
      <c r="LX16" s="162"/>
      <c r="LY16" s="162"/>
      <c r="LZ16" s="162"/>
      <c r="MA16" s="162"/>
      <c r="MB16" s="162"/>
      <c r="MC16" s="162"/>
      <c r="MD16" s="162"/>
      <c r="ME16" s="162"/>
      <c r="MF16" s="162"/>
      <c r="MG16" s="162"/>
      <c r="MH16" s="162"/>
      <c r="MI16" s="162"/>
      <c r="MJ16" s="162"/>
      <c r="MK16" s="162"/>
      <c r="ML16" s="162"/>
      <c r="MM16" s="162"/>
      <c r="MN16" s="162"/>
      <c r="MO16" s="162"/>
      <c r="MP16" s="162"/>
      <c r="MQ16" s="162"/>
      <c r="MR16" s="162"/>
      <c r="MS16" s="162"/>
      <c r="MT16" s="162"/>
      <c r="MU16" s="162"/>
      <c r="MV16" s="162"/>
      <c r="MW16" s="162"/>
      <c r="MX16" s="162"/>
      <c r="MY16" s="162"/>
      <c r="MZ16" s="162"/>
      <c r="NA16" s="162"/>
      <c r="NB16" s="162"/>
      <c r="NC16" s="162"/>
      <c r="ND16" s="162"/>
      <c r="NE16" s="162"/>
      <c r="NF16" s="162"/>
      <c r="NG16" s="162"/>
      <c r="NH16" s="162"/>
      <c r="NI16" s="162"/>
      <c r="NJ16" s="162"/>
      <c r="NK16" s="162"/>
      <c r="NL16" s="162"/>
      <c r="NM16" s="162"/>
      <c r="NN16" s="162"/>
      <c r="NO16" s="162"/>
      <c r="NP16" s="162"/>
      <c r="NQ16" s="162"/>
      <c r="NR16" s="162"/>
      <c r="NS16" s="162"/>
      <c r="NT16" s="162"/>
      <c r="NU16" s="162"/>
      <c r="NV16" s="162"/>
      <c r="NW16" s="162"/>
      <c r="NX16" s="162"/>
      <c r="NY16" s="162"/>
      <c r="NZ16" s="162"/>
      <c r="OA16" s="162"/>
      <c r="OB16" s="162"/>
      <c r="OC16" s="162"/>
      <c r="OD16" s="162"/>
      <c r="OE16" s="162"/>
      <c r="OF16" s="162"/>
      <c r="OG16" s="162"/>
      <c r="OH16" s="162"/>
      <c r="OI16" s="162"/>
      <c r="OJ16" s="162"/>
      <c r="OK16" s="162"/>
      <c r="OL16" s="162"/>
      <c r="OM16" s="162"/>
      <c r="ON16" s="162"/>
      <c r="OO16" s="162"/>
      <c r="OP16" s="162"/>
      <c r="OQ16" s="162"/>
      <c r="OR16" s="162"/>
      <c r="OS16" s="162"/>
      <c r="OT16" s="162"/>
      <c r="OU16" s="162"/>
      <c r="OV16" s="162"/>
      <c r="OW16" s="162"/>
      <c r="OX16" s="162"/>
      <c r="OY16" s="162"/>
      <c r="OZ16" s="162"/>
      <c r="PA16" s="162"/>
      <c r="PB16" s="162"/>
      <c r="PC16" s="162"/>
      <c r="PD16" s="162"/>
      <c r="PE16" s="162"/>
      <c r="PF16" s="162"/>
      <c r="PG16" s="162"/>
      <c r="PH16" s="162"/>
      <c r="PI16" s="162"/>
      <c r="PJ16" s="162"/>
      <c r="PK16" s="162"/>
      <c r="PL16" s="162"/>
      <c r="PM16" s="162"/>
      <c r="PN16" s="162"/>
      <c r="PO16" s="162"/>
      <c r="PP16" s="162"/>
      <c r="PQ16" s="162"/>
      <c r="PR16" s="162"/>
      <c r="PS16" s="162"/>
      <c r="PT16" s="162"/>
      <c r="PU16" s="162"/>
      <c r="PV16" s="162"/>
      <c r="PW16" s="162"/>
      <c r="PX16" s="162"/>
      <c r="PY16" s="162"/>
      <c r="PZ16" s="162"/>
      <c r="QA16" s="162"/>
      <c r="QB16" s="162"/>
      <c r="QC16" s="162"/>
      <c r="QD16" s="162"/>
      <c r="QE16" s="162"/>
      <c r="QF16" s="162"/>
      <c r="QG16" s="162"/>
      <c r="QH16" s="162"/>
      <c r="QI16" s="162"/>
      <c r="QJ16" s="162"/>
      <c r="QK16" s="162"/>
      <c r="QL16" s="162"/>
      <c r="QM16" s="162"/>
      <c r="QN16" s="162"/>
      <c r="QO16" s="162"/>
      <c r="QP16" s="162"/>
      <c r="QQ16" s="162"/>
      <c r="QR16" s="162"/>
      <c r="QS16" s="162"/>
      <c r="QT16" s="162"/>
      <c r="QU16" s="162"/>
      <c r="QV16" s="162"/>
      <c r="QW16" s="162"/>
      <c r="QX16" s="162"/>
      <c r="QY16" s="162"/>
      <c r="QZ16" s="162"/>
      <c r="RA16" s="162"/>
      <c r="RB16" s="162"/>
      <c r="RC16" s="162"/>
      <c r="RD16" s="162"/>
      <c r="RE16" s="162"/>
      <c r="RF16" s="162"/>
      <c r="RG16" s="162"/>
      <c r="RH16" s="162"/>
      <c r="RI16" s="162"/>
      <c r="RJ16" s="162"/>
      <c r="RK16" s="162"/>
      <c r="RL16" s="162"/>
      <c r="RM16" s="162"/>
      <c r="RN16" s="162"/>
      <c r="RO16" s="162"/>
      <c r="RP16" s="162"/>
      <c r="RQ16" s="162"/>
      <c r="RR16" s="162"/>
      <c r="RS16" s="162"/>
      <c r="RT16" s="162"/>
      <c r="RU16" s="162"/>
      <c r="RV16" s="162"/>
      <c r="RW16" s="162"/>
      <c r="RX16" s="162"/>
      <c r="RY16" s="162"/>
      <c r="RZ16" s="162"/>
      <c r="SA16" s="162"/>
      <c r="SB16" s="162"/>
      <c r="SC16" s="162"/>
      <c r="SD16" s="162"/>
      <c r="SE16" s="162"/>
      <c r="SF16" s="162"/>
      <c r="SG16" s="162"/>
      <c r="SH16" s="162"/>
      <c r="SI16" s="162"/>
      <c r="SJ16" s="162"/>
      <c r="SK16" s="162"/>
      <c r="SL16" s="162"/>
      <c r="SM16" s="162"/>
      <c r="SN16" s="162"/>
      <c r="SO16" s="162"/>
      <c r="SP16" s="162"/>
      <c r="SQ16" s="162"/>
      <c r="SR16" s="162"/>
      <c r="SS16" s="162"/>
      <c r="ST16" s="162"/>
      <c r="SU16" s="162"/>
      <c r="SV16" s="162"/>
      <c r="SW16" s="162"/>
      <c r="SX16" s="162"/>
      <c r="SY16" s="162"/>
      <c r="SZ16" s="162"/>
      <c r="TA16" s="162"/>
      <c r="TB16" s="162"/>
      <c r="TC16" s="162"/>
      <c r="TD16" s="162"/>
      <c r="TE16" s="162"/>
      <c r="TF16" s="162"/>
      <c r="TG16" s="162"/>
      <c r="TH16" s="162"/>
      <c r="TI16" s="162"/>
      <c r="TJ16" s="162"/>
      <c r="TK16" s="162"/>
      <c r="TL16" s="162"/>
      <c r="TM16" s="162"/>
      <c r="TN16" s="162"/>
      <c r="TO16" s="162"/>
      <c r="TP16" s="162"/>
      <c r="TQ16" s="162"/>
      <c r="TR16" s="162"/>
      <c r="TS16" s="162"/>
      <c r="TT16" s="162"/>
      <c r="TU16" s="162"/>
      <c r="TV16" s="162"/>
      <c r="TW16" s="162"/>
      <c r="TX16" s="162"/>
      <c r="TY16" s="162"/>
      <c r="TZ16" s="162"/>
      <c r="UA16" s="162"/>
      <c r="UB16" s="162"/>
      <c r="UC16" s="162"/>
      <c r="UD16" s="162"/>
      <c r="UE16" s="162"/>
      <c r="UF16" s="162"/>
      <c r="UG16" s="162"/>
      <c r="UH16" s="162"/>
      <c r="UI16" s="162"/>
      <c r="UJ16" s="162"/>
      <c r="UK16" s="162"/>
      <c r="UL16" s="162"/>
      <c r="UM16" s="162"/>
      <c r="UN16" s="162"/>
      <c r="UO16" s="162"/>
      <c r="UP16" s="162"/>
      <c r="UQ16" s="162"/>
      <c r="UR16" s="162"/>
      <c r="US16" s="162"/>
      <c r="UT16" s="162"/>
      <c r="UU16" s="162"/>
      <c r="UV16" s="162"/>
      <c r="UW16" s="162"/>
      <c r="UX16" s="162"/>
      <c r="UY16" s="162"/>
      <c r="UZ16" s="162"/>
      <c r="VA16" s="162"/>
      <c r="VB16" s="162"/>
      <c r="VC16" s="162"/>
      <c r="VD16" s="162"/>
      <c r="VE16" s="162"/>
      <c r="VF16" s="162"/>
      <c r="VG16" s="163"/>
      <c r="VH16" s="163"/>
      <c r="VI16" s="163"/>
      <c r="VJ16" s="163"/>
      <c r="VK16" s="163"/>
      <c r="VL16" s="163"/>
      <c r="VM16" s="163"/>
      <c r="VN16" s="163"/>
      <c r="VO16" s="163"/>
      <c r="VP16" s="163"/>
      <c r="VQ16" s="163"/>
      <c r="VR16" s="163"/>
      <c r="VS16" s="163"/>
      <c r="VT16" s="163"/>
      <c r="VU16" s="163"/>
      <c r="VV16" s="163"/>
      <c r="VW16" s="163"/>
      <c r="VX16" s="163"/>
      <c r="VY16" s="163"/>
      <c r="VZ16" s="163"/>
      <c r="WA16" s="163"/>
      <c r="WB16" s="163"/>
      <c r="WC16" s="163"/>
      <c r="WD16" s="163"/>
      <c r="WE16" s="163"/>
      <c r="WF16" s="163"/>
      <c r="WG16" s="163"/>
      <c r="WH16" s="163"/>
      <c r="WI16" s="163"/>
      <c r="WJ16" s="163"/>
      <c r="WK16" s="163"/>
      <c r="WL16" s="163"/>
      <c r="WM16" s="163"/>
      <c r="WN16" s="163"/>
      <c r="WO16" s="163"/>
      <c r="WP16" s="163"/>
      <c r="WQ16" s="163"/>
      <c r="WR16" s="163"/>
      <c r="WS16" s="163"/>
      <c r="WT16" s="163"/>
      <c r="WU16" s="163"/>
      <c r="WV16" s="163"/>
      <c r="WW16" s="163"/>
      <c r="WX16" s="163"/>
      <c r="WY16" s="163"/>
      <c r="WZ16" s="163"/>
      <c r="XA16" s="163"/>
      <c r="XB16" s="163"/>
      <c r="XC16" s="163"/>
      <c r="XD16" s="163"/>
      <c r="XE16" s="163"/>
      <c r="XF16" s="163"/>
      <c r="XG16" s="163"/>
      <c r="XH16" s="163"/>
      <c r="XI16" s="163"/>
      <c r="XJ16" s="163"/>
      <c r="XK16" s="163"/>
      <c r="XL16" s="163"/>
      <c r="XM16" s="163"/>
      <c r="XN16" s="163"/>
      <c r="XO16" s="163"/>
      <c r="XP16" s="163"/>
      <c r="XQ16" s="163"/>
      <c r="XR16" s="163"/>
      <c r="XS16" s="163"/>
      <c r="XT16" s="163"/>
      <c r="XU16" s="163"/>
      <c r="XV16" s="163"/>
      <c r="XW16" s="163"/>
      <c r="XX16" s="163"/>
      <c r="XY16" s="163"/>
      <c r="XZ16" s="163"/>
      <c r="YA16" s="163"/>
      <c r="YB16" s="163"/>
      <c r="YC16" s="164"/>
      <c r="YD16" s="164"/>
      <c r="YE16" s="164"/>
      <c r="YF16" s="164"/>
      <c r="YG16" s="164"/>
      <c r="YH16" s="164"/>
      <c r="YI16" s="164"/>
      <c r="YJ16" s="164"/>
      <c r="YK16" s="164"/>
      <c r="YL16" s="164"/>
      <c r="YM16" s="164"/>
    </row>
    <row r="17" spans="1:663" ht="15.75" customHeight="1" x14ac:dyDescent="0.2">
      <c r="A17" s="52"/>
      <c r="B17" s="53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  <c r="HV17" s="162"/>
      <c r="HW17" s="162"/>
      <c r="HX17" s="162"/>
      <c r="HY17" s="162"/>
      <c r="HZ17" s="162"/>
      <c r="IA17" s="162"/>
      <c r="IB17" s="162"/>
      <c r="IC17" s="162"/>
      <c r="ID17" s="162"/>
      <c r="IE17" s="162"/>
      <c r="IF17" s="162"/>
      <c r="IG17" s="162"/>
      <c r="IH17" s="162"/>
      <c r="II17" s="162"/>
      <c r="IJ17" s="162"/>
      <c r="IK17" s="162"/>
      <c r="IL17" s="162"/>
      <c r="IM17" s="162"/>
      <c r="IN17" s="162"/>
      <c r="IO17" s="162"/>
      <c r="IP17" s="162"/>
      <c r="IQ17" s="162"/>
      <c r="IR17" s="162"/>
      <c r="IS17" s="162"/>
      <c r="IT17" s="162"/>
      <c r="IU17" s="162"/>
      <c r="IV17" s="162"/>
      <c r="IW17" s="162"/>
      <c r="IX17" s="162"/>
      <c r="IY17" s="162"/>
      <c r="IZ17" s="162"/>
      <c r="JA17" s="162"/>
      <c r="JB17" s="162"/>
      <c r="JC17" s="162"/>
      <c r="JD17" s="162"/>
      <c r="JE17" s="162"/>
      <c r="JF17" s="162"/>
      <c r="JG17" s="162"/>
      <c r="JH17" s="162"/>
      <c r="JI17" s="162"/>
      <c r="JJ17" s="162"/>
      <c r="JK17" s="162"/>
      <c r="JL17" s="162"/>
      <c r="JM17" s="162"/>
      <c r="JN17" s="162"/>
      <c r="JO17" s="162"/>
      <c r="JP17" s="162"/>
      <c r="JQ17" s="162"/>
      <c r="JR17" s="162"/>
      <c r="JS17" s="162"/>
      <c r="JT17" s="162"/>
      <c r="JU17" s="162"/>
      <c r="JV17" s="162"/>
      <c r="JW17" s="162"/>
      <c r="JX17" s="162"/>
      <c r="JY17" s="162"/>
      <c r="JZ17" s="162"/>
      <c r="KA17" s="162"/>
      <c r="KB17" s="162"/>
      <c r="KC17" s="162"/>
      <c r="KD17" s="162"/>
      <c r="KE17" s="162"/>
      <c r="KF17" s="162"/>
      <c r="KG17" s="162"/>
      <c r="KH17" s="162"/>
      <c r="KI17" s="162"/>
      <c r="KJ17" s="162"/>
      <c r="KK17" s="162"/>
      <c r="KL17" s="162"/>
      <c r="KM17" s="162"/>
      <c r="KN17" s="162"/>
      <c r="KO17" s="162"/>
      <c r="KP17" s="162"/>
      <c r="KQ17" s="162"/>
      <c r="KR17" s="162"/>
      <c r="KS17" s="162"/>
      <c r="KT17" s="162"/>
      <c r="KU17" s="162"/>
      <c r="KV17" s="162"/>
      <c r="KW17" s="162"/>
      <c r="KX17" s="162"/>
      <c r="KY17" s="162"/>
      <c r="KZ17" s="162"/>
      <c r="LA17" s="162"/>
      <c r="LB17" s="162"/>
      <c r="LC17" s="162"/>
      <c r="LD17" s="162"/>
      <c r="LE17" s="162"/>
      <c r="LF17" s="162"/>
      <c r="LG17" s="162"/>
      <c r="LH17" s="162"/>
      <c r="LI17" s="162"/>
      <c r="LJ17" s="162"/>
      <c r="LK17" s="162"/>
      <c r="LL17" s="162"/>
      <c r="LM17" s="162"/>
      <c r="LN17" s="162"/>
      <c r="LO17" s="162"/>
      <c r="LP17" s="162"/>
      <c r="LQ17" s="162"/>
      <c r="LR17" s="162"/>
      <c r="LS17" s="162"/>
      <c r="LT17" s="162"/>
      <c r="LU17" s="162"/>
      <c r="LV17" s="162"/>
      <c r="LW17" s="162"/>
      <c r="LX17" s="162"/>
      <c r="LY17" s="162"/>
      <c r="LZ17" s="162"/>
      <c r="MA17" s="162"/>
      <c r="MB17" s="162"/>
      <c r="MC17" s="162"/>
      <c r="MD17" s="162"/>
      <c r="ME17" s="162"/>
      <c r="MF17" s="162"/>
      <c r="MG17" s="162"/>
      <c r="MH17" s="162"/>
      <c r="MI17" s="162"/>
      <c r="MJ17" s="162"/>
      <c r="MK17" s="162"/>
      <c r="ML17" s="162"/>
      <c r="MM17" s="162"/>
      <c r="MN17" s="162"/>
      <c r="MO17" s="162"/>
      <c r="MP17" s="162"/>
      <c r="MQ17" s="162"/>
      <c r="MR17" s="162"/>
      <c r="MS17" s="162"/>
      <c r="MT17" s="162"/>
      <c r="MU17" s="162"/>
      <c r="MV17" s="162"/>
      <c r="MW17" s="162"/>
      <c r="MX17" s="162"/>
      <c r="MY17" s="162"/>
      <c r="MZ17" s="162"/>
      <c r="NA17" s="162"/>
      <c r="NB17" s="162"/>
      <c r="NC17" s="162"/>
      <c r="ND17" s="162"/>
      <c r="NE17" s="162"/>
      <c r="NF17" s="162"/>
      <c r="NG17" s="162"/>
      <c r="NH17" s="162"/>
      <c r="NI17" s="162"/>
      <c r="NJ17" s="162"/>
      <c r="NK17" s="162"/>
      <c r="NL17" s="162"/>
      <c r="NM17" s="162"/>
      <c r="NN17" s="162"/>
      <c r="NO17" s="162"/>
      <c r="NP17" s="162"/>
      <c r="NQ17" s="162"/>
      <c r="NR17" s="162"/>
      <c r="NS17" s="162"/>
      <c r="NT17" s="162"/>
      <c r="NU17" s="162"/>
      <c r="NV17" s="162"/>
      <c r="NW17" s="162"/>
      <c r="NX17" s="162"/>
      <c r="NY17" s="162"/>
      <c r="NZ17" s="162"/>
      <c r="OA17" s="162"/>
      <c r="OB17" s="162"/>
      <c r="OC17" s="162"/>
      <c r="OD17" s="162"/>
      <c r="OE17" s="162"/>
      <c r="OF17" s="162"/>
      <c r="OG17" s="162"/>
      <c r="OH17" s="162"/>
      <c r="OI17" s="162"/>
      <c r="OJ17" s="162"/>
      <c r="OK17" s="162"/>
      <c r="OL17" s="162"/>
      <c r="OM17" s="162"/>
      <c r="ON17" s="162"/>
      <c r="OO17" s="162"/>
      <c r="OP17" s="162"/>
      <c r="OQ17" s="162"/>
      <c r="OR17" s="162"/>
      <c r="OS17" s="162"/>
      <c r="OT17" s="162"/>
      <c r="OU17" s="162"/>
      <c r="OV17" s="162"/>
      <c r="OW17" s="162"/>
      <c r="OX17" s="162"/>
      <c r="OY17" s="162"/>
      <c r="OZ17" s="162"/>
      <c r="PA17" s="162"/>
      <c r="PB17" s="162"/>
      <c r="PC17" s="162"/>
      <c r="PD17" s="162"/>
      <c r="PE17" s="162"/>
      <c r="PF17" s="162"/>
      <c r="PG17" s="162"/>
      <c r="PH17" s="162"/>
      <c r="PI17" s="162"/>
      <c r="PJ17" s="162"/>
      <c r="PK17" s="162"/>
      <c r="PL17" s="162"/>
      <c r="PM17" s="162"/>
      <c r="PN17" s="162"/>
      <c r="PO17" s="162"/>
      <c r="PP17" s="162"/>
      <c r="PQ17" s="162"/>
      <c r="PR17" s="162"/>
      <c r="PS17" s="162"/>
      <c r="PT17" s="162"/>
      <c r="PU17" s="162"/>
      <c r="PV17" s="162"/>
      <c r="PW17" s="162"/>
      <c r="PX17" s="162"/>
      <c r="PY17" s="162"/>
      <c r="PZ17" s="162"/>
      <c r="QA17" s="162"/>
      <c r="QB17" s="162"/>
      <c r="QC17" s="162"/>
      <c r="QD17" s="162"/>
      <c r="QE17" s="162"/>
      <c r="QF17" s="162"/>
      <c r="QG17" s="162"/>
      <c r="QH17" s="162"/>
      <c r="QI17" s="162"/>
      <c r="QJ17" s="162"/>
      <c r="QK17" s="162"/>
      <c r="QL17" s="162"/>
      <c r="QM17" s="162"/>
      <c r="QN17" s="162"/>
      <c r="QO17" s="162"/>
      <c r="QP17" s="162"/>
      <c r="QQ17" s="162"/>
      <c r="QR17" s="162"/>
      <c r="QS17" s="162"/>
      <c r="QT17" s="162"/>
      <c r="QU17" s="162"/>
      <c r="QV17" s="162"/>
      <c r="QW17" s="162"/>
      <c r="QX17" s="162"/>
      <c r="QY17" s="162"/>
      <c r="QZ17" s="162"/>
      <c r="RA17" s="162"/>
      <c r="RB17" s="162"/>
      <c r="RC17" s="162"/>
      <c r="RD17" s="162"/>
      <c r="RE17" s="162"/>
      <c r="RF17" s="162"/>
      <c r="RG17" s="162"/>
      <c r="RH17" s="162"/>
      <c r="RI17" s="162"/>
      <c r="RJ17" s="162"/>
      <c r="RK17" s="162"/>
      <c r="RL17" s="162"/>
      <c r="RM17" s="162"/>
      <c r="RN17" s="162"/>
      <c r="RO17" s="162"/>
      <c r="RP17" s="162"/>
      <c r="RQ17" s="162"/>
      <c r="RR17" s="162"/>
      <c r="RS17" s="162"/>
      <c r="RT17" s="162"/>
      <c r="RU17" s="162"/>
      <c r="RV17" s="162"/>
      <c r="RW17" s="162"/>
      <c r="RX17" s="162"/>
      <c r="RY17" s="162"/>
      <c r="RZ17" s="162"/>
      <c r="SA17" s="162"/>
      <c r="SB17" s="162"/>
      <c r="SC17" s="162"/>
      <c r="SD17" s="162"/>
      <c r="SE17" s="162"/>
      <c r="SF17" s="162"/>
      <c r="SG17" s="162"/>
      <c r="SH17" s="162"/>
      <c r="SI17" s="162"/>
      <c r="SJ17" s="162"/>
      <c r="SK17" s="162"/>
      <c r="SL17" s="162"/>
      <c r="SM17" s="162"/>
      <c r="SN17" s="162"/>
      <c r="SO17" s="162"/>
      <c r="SP17" s="162"/>
      <c r="SQ17" s="162"/>
      <c r="SR17" s="162"/>
      <c r="SS17" s="162"/>
      <c r="ST17" s="162"/>
      <c r="SU17" s="162"/>
      <c r="SV17" s="162"/>
      <c r="SW17" s="162"/>
      <c r="SX17" s="162"/>
      <c r="SY17" s="162"/>
      <c r="SZ17" s="162"/>
      <c r="TA17" s="162"/>
      <c r="TB17" s="162"/>
      <c r="TC17" s="162"/>
      <c r="TD17" s="162"/>
      <c r="TE17" s="162"/>
      <c r="TF17" s="162"/>
      <c r="TG17" s="162"/>
      <c r="TH17" s="162"/>
      <c r="TI17" s="162"/>
      <c r="TJ17" s="162"/>
      <c r="TK17" s="162"/>
      <c r="TL17" s="162"/>
      <c r="TM17" s="162"/>
      <c r="TN17" s="162"/>
      <c r="TO17" s="162"/>
      <c r="TP17" s="162"/>
      <c r="TQ17" s="162"/>
      <c r="TR17" s="162"/>
      <c r="TS17" s="162"/>
      <c r="TT17" s="162"/>
      <c r="TU17" s="162"/>
      <c r="TV17" s="162"/>
      <c r="TW17" s="162"/>
      <c r="TX17" s="162"/>
      <c r="TY17" s="162"/>
      <c r="TZ17" s="162"/>
      <c r="UA17" s="162"/>
      <c r="UB17" s="162"/>
      <c r="UC17" s="162"/>
      <c r="UD17" s="162"/>
      <c r="UE17" s="162"/>
      <c r="UF17" s="162"/>
      <c r="UG17" s="162"/>
      <c r="UH17" s="162"/>
      <c r="UI17" s="162"/>
      <c r="UJ17" s="162"/>
      <c r="UK17" s="162"/>
      <c r="UL17" s="162"/>
      <c r="UM17" s="162"/>
      <c r="UN17" s="162"/>
      <c r="UO17" s="162"/>
      <c r="UP17" s="162"/>
      <c r="UQ17" s="162"/>
      <c r="UR17" s="162"/>
      <c r="US17" s="162"/>
      <c r="UT17" s="162"/>
      <c r="UU17" s="162"/>
      <c r="UV17" s="162"/>
      <c r="UW17" s="162"/>
      <c r="UX17" s="162"/>
      <c r="UY17" s="162"/>
      <c r="UZ17" s="162"/>
      <c r="VA17" s="162"/>
      <c r="VB17" s="162"/>
      <c r="VC17" s="162"/>
      <c r="VD17" s="162"/>
      <c r="VE17" s="162"/>
      <c r="VF17" s="162"/>
      <c r="VG17" s="163"/>
      <c r="VH17" s="163"/>
      <c r="VI17" s="163"/>
      <c r="VJ17" s="163"/>
      <c r="VK17" s="163"/>
      <c r="VL17" s="163"/>
      <c r="VM17" s="163"/>
      <c r="VN17" s="163"/>
      <c r="VO17" s="163"/>
      <c r="VP17" s="163"/>
      <c r="VQ17" s="163"/>
      <c r="VR17" s="163"/>
      <c r="VS17" s="163"/>
      <c r="VT17" s="163"/>
      <c r="VU17" s="163"/>
      <c r="VV17" s="163"/>
      <c r="VW17" s="163"/>
      <c r="VX17" s="163"/>
      <c r="VY17" s="163"/>
      <c r="VZ17" s="163"/>
      <c r="WA17" s="163"/>
      <c r="WB17" s="163"/>
      <c r="WC17" s="163"/>
      <c r="WD17" s="163"/>
      <c r="WE17" s="163"/>
      <c r="WF17" s="163"/>
      <c r="WG17" s="163"/>
      <c r="WH17" s="163"/>
      <c r="WI17" s="163"/>
      <c r="WJ17" s="163"/>
      <c r="WK17" s="163"/>
      <c r="WL17" s="163"/>
      <c r="WM17" s="163"/>
      <c r="WN17" s="163"/>
      <c r="WO17" s="163"/>
      <c r="WP17" s="163"/>
      <c r="WQ17" s="163"/>
      <c r="WR17" s="163"/>
      <c r="WS17" s="163"/>
      <c r="WT17" s="163"/>
      <c r="WU17" s="163"/>
      <c r="WV17" s="163"/>
      <c r="WW17" s="163"/>
      <c r="WX17" s="163"/>
      <c r="WY17" s="163"/>
      <c r="WZ17" s="163"/>
      <c r="XA17" s="163"/>
      <c r="XB17" s="163"/>
      <c r="XC17" s="163"/>
      <c r="XD17" s="163"/>
      <c r="XE17" s="163"/>
      <c r="XF17" s="163"/>
      <c r="XG17" s="163"/>
      <c r="XH17" s="163"/>
      <c r="XI17" s="163"/>
      <c r="XJ17" s="163"/>
      <c r="XK17" s="163"/>
      <c r="XL17" s="163"/>
      <c r="XM17" s="163"/>
      <c r="XN17" s="163"/>
      <c r="XO17" s="163"/>
      <c r="XP17" s="163"/>
      <c r="XQ17" s="163"/>
      <c r="XR17" s="163"/>
      <c r="XS17" s="163"/>
      <c r="XT17" s="163"/>
      <c r="XU17" s="163"/>
      <c r="XV17" s="163"/>
      <c r="XW17" s="163"/>
      <c r="XX17" s="163"/>
      <c r="XY17" s="163"/>
      <c r="XZ17" s="163"/>
      <c r="YA17" s="163"/>
      <c r="YB17" s="163"/>
      <c r="YC17" s="164"/>
      <c r="YD17" s="164"/>
      <c r="YE17" s="164"/>
      <c r="YF17" s="164"/>
      <c r="YG17" s="164"/>
      <c r="YH17" s="164"/>
      <c r="YI17" s="164"/>
      <c r="YJ17" s="164"/>
      <c r="YK17" s="164"/>
      <c r="YL17" s="164"/>
      <c r="YM17" s="164"/>
    </row>
    <row r="18" spans="1:663" ht="15.75" customHeight="1" x14ac:dyDescent="0.2">
      <c r="B18" s="63" t="s">
        <v>162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  <c r="PF18" s="30"/>
      <c r="PG18" s="30"/>
      <c r="PH18" s="30"/>
      <c r="PI18" s="30"/>
      <c r="PJ18" s="30"/>
      <c r="PK18" s="30"/>
      <c r="PL18" s="30"/>
      <c r="PM18" s="30"/>
      <c r="PN18" s="30"/>
      <c r="PO18" s="30"/>
      <c r="PP18" s="30"/>
      <c r="PQ18" s="30"/>
      <c r="PR18" s="30"/>
      <c r="PS18" s="30"/>
      <c r="PT18" s="30"/>
      <c r="PU18" s="30"/>
      <c r="PV18" s="30"/>
      <c r="PW18" s="30"/>
      <c r="PX18" s="30"/>
      <c r="PY18" s="30"/>
      <c r="PZ18" s="30"/>
      <c r="QA18" s="30"/>
      <c r="QB18" s="30"/>
      <c r="QC18" s="30"/>
      <c r="QD18" s="30"/>
      <c r="QE18" s="30"/>
      <c r="QF18" s="30"/>
      <c r="QG18" s="30"/>
      <c r="QH18" s="30"/>
      <c r="QI18" s="30"/>
      <c r="QJ18" s="30"/>
      <c r="QK18" s="30"/>
      <c r="QL18" s="30"/>
      <c r="QM18" s="30"/>
      <c r="QN18" s="30"/>
      <c r="QO18" s="30"/>
      <c r="QP18" s="30"/>
      <c r="QQ18" s="30"/>
      <c r="QR18" s="30"/>
      <c r="QS18" s="30"/>
      <c r="QT18" s="30"/>
      <c r="QU18" s="30"/>
      <c r="QV18" s="30"/>
      <c r="QW18" s="30"/>
      <c r="QX18" s="30"/>
      <c r="QY18" s="30"/>
      <c r="QZ18" s="30"/>
      <c r="RA18" s="30"/>
      <c r="RB18" s="30"/>
      <c r="RC18" s="30"/>
      <c r="RD18" s="30"/>
      <c r="RE18" s="30"/>
      <c r="RF18" s="30"/>
      <c r="RG18" s="30"/>
      <c r="RH18" s="30"/>
      <c r="RI18" s="30"/>
      <c r="RJ18" s="30"/>
      <c r="RK18" s="30"/>
      <c r="RL18" s="30"/>
      <c r="RM18" s="30"/>
      <c r="RN18" s="30"/>
      <c r="RO18" s="30"/>
      <c r="RP18" s="30"/>
      <c r="RQ18" s="30"/>
      <c r="RR18" s="30"/>
      <c r="RS18" s="30"/>
      <c r="RT18" s="30"/>
      <c r="RU18" s="30"/>
      <c r="RV18" s="30"/>
      <c r="RW18" s="30"/>
      <c r="RX18" s="30"/>
      <c r="RY18" s="30"/>
      <c r="RZ18" s="30"/>
      <c r="SA18" s="30"/>
      <c r="SB18" s="30"/>
      <c r="SC18" s="30"/>
      <c r="SD18" s="30"/>
      <c r="SE18" s="30"/>
      <c r="SF18" s="30"/>
      <c r="SG18" s="30"/>
      <c r="SH18" s="30"/>
      <c r="SI18" s="30"/>
      <c r="SJ18" s="30"/>
      <c r="SK18" s="30"/>
      <c r="SL18" s="30"/>
      <c r="SM18" s="30"/>
      <c r="SN18" s="30"/>
      <c r="SO18" s="30"/>
      <c r="SP18" s="30"/>
      <c r="SQ18" s="30"/>
      <c r="SR18" s="30"/>
      <c r="SS18" s="30"/>
      <c r="ST18" s="30"/>
      <c r="SU18" s="30"/>
      <c r="SV18" s="30"/>
      <c r="SW18" s="30"/>
      <c r="SX18" s="30"/>
      <c r="SY18" s="30"/>
      <c r="SZ18" s="30"/>
      <c r="TA18" s="30"/>
      <c r="TB18" s="30"/>
      <c r="TC18" s="30"/>
      <c r="TD18" s="30"/>
      <c r="TE18" s="30"/>
      <c r="TF18" s="30"/>
      <c r="TG18" s="30"/>
      <c r="TH18" s="30"/>
      <c r="TI18" s="30"/>
      <c r="TJ18" s="30"/>
      <c r="TK18" s="30"/>
      <c r="TL18" s="30"/>
      <c r="TM18" s="30"/>
      <c r="TN18" s="30"/>
      <c r="TO18" s="30"/>
      <c r="TP18" s="30"/>
      <c r="TQ18" s="30"/>
      <c r="TR18" s="30"/>
      <c r="TS18" s="30"/>
      <c r="TT18" s="30"/>
      <c r="TU18" s="30"/>
      <c r="TV18" s="30"/>
      <c r="TW18" s="30"/>
      <c r="TX18" s="30"/>
      <c r="TY18" s="30"/>
      <c r="TZ18" s="30"/>
      <c r="UA18" s="30"/>
      <c r="UB18" s="30"/>
      <c r="UC18" s="30"/>
      <c r="UD18" s="30"/>
      <c r="UE18" s="30"/>
      <c r="UF18" s="30"/>
      <c r="UG18" s="30"/>
      <c r="UH18" s="30"/>
      <c r="UI18" s="30"/>
      <c r="UJ18" s="30"/>
      <c r="UK18" s="30"/>
      <c r="UL18" s="30"/>
      <c r="UM18" s="30"/>
      <c r="UN18" s="30"/>
      <c r="UO18" s="30"/>
      <c r="UP18" s="30"/>
      <c r="UQ18" s="30"/>
      <c r="UR18" s="30"/>
      <c r="US18" s="30"/>
      <c r="UT18" s="30"/>
      <c r="UU18" s="30"/>
      <c r="UV18" s="30"/>
      <c r="UW18" s="30"/>
      <c r="UX18" s="30"/>
      <c r="UY18" s="30"/>
      <c r="UZ18" s="30"/>
      <c r="VA18" s="30"/>
      <c r="VB18" s="30"/>
      <c r="VC18" s="30"/>
      <c r="VD18" s="30"/>
      <c r="VE18" s="30"/>
      <c r="VF18" s="30"/>
      <c r="VG18" s="149"/>
      <c r="VH18" s="149"/>
      <c r="VI18" s="149"/>
      <c r="VJ18" s="149"/>
      <c r="VK18" s="149"/>
      <c r="VL18" s="149"/>
      <c r="VM18" s="149"/>
      <c r="VN18" s="149"/>
      <c r="VO18" s="149"/>
      <c r="VP18" s="149"/>
      <c r="VQ18" s="149"/>
      <c r="VR18" s="149"/>
      <c r="VS18" s="149"/>
      <c r="VT18" s="149"/>
      <c r="VU18" s="149"/>
      <c r="VV18" s="149"/>
      <c r="VW18" s="149"/>
      <c r="VX18" s="149"/>
      <c r="VY18" s="149"/>
      <c r="VZ18" s="149"/>
      <c r="WA18" s="149"/>
      <c r="WB18" s="149"/>
      <c r="WC18" s="149"/>
      <c r="WD18" s="149"/>
      <c r="WE18" s="149"/>
      <c r="WF18" s="149"/>
      <c r="WG18" s="149"/>
      <c r="WH18" s="149"/>
      <c r="WI18" s="149"/>
      <c r="WJ18" s="149"/>
      <c r="WK18" s="149"/>
      <c r="WL18" s="149"/>
      <c r="WM18" s="149"/>
      <c r="WN18" s="149"/>
      <c r="WO18" s="149"/>
      <c r="WP18" s="149"/>
      <c r="WQ18" s="149"/>
      <c r="WR18" s="149"/>
      <c r="WS18" s="149"/>
      <c r="WT18" s="149"/>
      <c r="WU18" s="149"/>
      <c r="WV18" s="149"/>
      <c r="WW18" s="149"/>
      <c r="WX18" s="149"/>
      <c r="WY18" s="149"/>
      <c r="WZ18" s="149"/>
      <c r="XA18" s="149"/>
      <c r="XB18" s="149"/>
      <c r="XC18" s="149"/>
      <c r="XD18" s="149"/>
      <c r="XE18" s="149"/>
      <c r="XF18" s="149"/>
      <c r="XG18" s="149"/>
      <c r="XH18" s="149"/>
      <c r="XI18" s="149"/>
      <c r="XJ18" s="149"/>
      <c r="XK18" s="149"/>
      <c r="XL18" s="149"/>
      <c r="XM18" s="149"/>
      <c r="XN18" s="149"/>
      <c r="XO18" s="149"/>
      <c r="XP18" s="149"/>
      <c r="XQ18" s="149"/>
      <c r="XR18" s="149"/>
      <c r="XS18" s="149"/>
      <c r="XT18" s="149"/>
      <c r="XU18" s="149"/>
      <c r="XV18" s="149"/>
      <c r="XW18" s="149"/>
      <c r="XX18" s="149"/>
      <c r="XY18" s="149"/>
      <c r="XZ18" s="149"/>
      <c r="YA18" s="149"/>
      <c r="YB18" s="149"/>
      <c r="YC18" s="150"/>
      <c r="YD18" s="150"/>
      <c r="YE18" s="150"/>
      <c r="YF18" s="150"/>
      <c r="YG18" s="150"/>
      <c r="YH18" s="150"/>
      <c r="YI18" s="150"/>
      <c r="YJ18" s="150"/>
      <c r="YK18" s="150"/>
      <c r="YL18" s="150"/>
      <c r="YM18" s="150"/>
    </row>
    <row r="19" spans="1:663" ht="15.75" customHeight="1" x14ac:dyDescent="0.2">
      <c r="B19" s="30" t="s">
        <v>163</v>
      </c>
      <c r="C19" s="44">
        <v>486965.33000000007</v>
      </c>
      <c r="D19" s="44">
        <v>738869.58000000019</v>
      </c>
      <c r="E19" s="44">
        <v>373364.61999999988</v>
      </c>
      <c r="F19" s="44">
        <v>443005.49000000011</v>
      </c>
      <c r="G19" s="44">
        <v>220729.95</v>
      </c>
      <c r="H19" s="44">
        <v>367007.18000000011</v>
      </c>
      <c r="I19" s="44">
        <v>689649.58000000007</v>
      </c>
      <c r="J19" s="44">
        <v>302217.46999999997</v>
      </c>
      <c r="K19" s="44">
        <v>366689.25999999995</v>
      </c>
      <c r="L19" s="44">
        <v>346122.45000000007</v>
      </c>
      <c r="M19" s="44">
        <v>460807.93000000005</v>
      </c>
      <c r="N19" s="44">
        <v>326748.02</v>
      </c>
      <c r="O19" s="44">
        <v>315842.28000000003</v>
      </c>
      <c r="P19" s="44">
        <v>236066.14</v>
      </c>
      <c r="Q19" s="44">
        <v>954450.41000000027</v>
      </c>
      <c r="R19" s="44">
        <v>820996.7899999998</v>
      </c>
      <c r="S19" s="44">
        <v>795837.43000000028</v>
      </c>
      <c r="T19" s="44">
        <v>700276.05999999994</v>
      </c>
      <c r="U19" s="44">
        <v>340449.98</v>
      </c>
      <c r="V19" s="44">
        <v>472914.79999999993</v>
      </c>
      <c r="W19" s="44">
        <v>455883.24000000011</v>
      </c>
      <c r="X19" s="44">
        <v>331977.14</v>
      </c>
      <c r="Y19" s="44">
        <v>454052.38</v>
      </c>
      <c r="Z19" s="44">
        <v>445666.32000000007</v>
      </c>
      <c r="AA19" s="44">
        <v>453871.02999999991</v>
      </c>
      <c r="AB19" s="44">
        <v>377065.94999999978</v>
      </c>
      <c r="AC19" s="44">
        <v>289043.17</v>
      </c>
      <c r="AD19" s="44">
        <v>350666.06000000006</v>
      </c>
      <c r="AE19" s="44">
        <v>409193.82999999996</v>
      </c>
      <c r="AF19" s="44">
        <v>392536.50999999995</v>
      </c>
      <c r="AG19" s="44">
        <v>546421.05999999994</v>
      </c>
      <c r="AH19" s="44">
        <v>546601.19999999995</v>
      </c>
      <c r="AI19" s="44">
        <v>883585.55</v>
      </c>
      <c r="AJ19" s="44">
        <v>404135.64</v>
      </c>
      <c r="AK19" s="44">
        <v>398796.36</v>
      </c>
      <c r="AL19" s="44">
        <v>580799.63000000012</v>
      </c>
      <c r="AM19" s="44">
        <v>439350.91000000003</v>
      </c>
      <c r="AN19" s="44">
        <v>374546.47000000003</v>
      </c>
      <c r="AO19" s="44">
        <v>348506.46000000008</v>
      </c>
      <c r="AP19" s="44">
        <v>500609.77999999985</v>
      </c>
      <c r="AQ19" s="44">
        <v>379108.33999999997</v>
      </c>
      <c r="AR19" s="44">
        <v>400463.91999999993</v>
      </c>
      <c r="AS19" s="44">
        <v>476621.53</v>
      </c>
      <c r="AT19" s="44">
        <v>1005233.8200000003</v>
      </c>
      <c r="AU19" s="44">
        <v>1010463.24</v>
      </c>
      <c r="AV19" s="44">
        <v>757517.89</v>
      </c>
      <c r="AW19" s="44">
        <v>401468.48</v>
      </c>
      <c r="AX19" s="44">
        <v>699155.92000000016</v>
      </c>
      <c r="AY19" s="44">
        <v>501073.22</v>
      </c>
      <c r="AZ19" s="44">
        <v>441040.35</v>
      </c>
      <c r="BA19" s="44">
        <v>591282.1100000001</v>
      </c>
      <c r="BB19" s="44">
        <v>323227.22000000009</v>
      </c>
      <c r="BC19" s="44">
        <v>832247.36999999988</v>
      </c>
      <c r="BD19" s="44">
        <v>434876.55999999988</v>
      </c>
      <c r="BE19" s="44">
        <v>391249.14999999997</v>
      </c>
      <c r="BF19" s="44">
        <v>349493.61</v>
      </c>
      <c r="BG19" s="44">
        <v>331500.29000000004</v>
      </c>
      <c r="BH19" s="44">
        <v>648781.05000000016</v>
      </c>
      <c r="BI19" s="44">
        <v>937932.05999999982</v>
      </c>
      <c r="BJ19" s="44">
        <v>902173.95</v>
      </c>
      <c r="BK19" s="44">
        <v>794930.12999999977</v>
      </c>
      <c r="BL19" s="44">
        <v>636792.89000000013</v>
      </c>
      <c r="BM19" s="44">
        <v>494048.23</v>
      </c>
      <c r="BN19" s="44">
        <v>306826.30999999994</v>
      </c>
      <c r="BO19" s="44">
        <v>714120.01</v>
      </c>
      <c r="BP19" s="44">
        <v>551460.06999999995</v>
      </c>
      <c r="BQ19" s="44">
        <v>577631.04000000015</v>
      </c>
      <c r="BR19" s="44">
        <v>584819.17999999993</v>
      </c>
      <c r="BS19" s="44">
        <v>548078.59</v>
      </c>
      <c r="BT19" s="44">
        <v>405741.13999999996</v>
      </c>
      <c r="BU19" s="44">
        <v>375212.17</v>
      </c>
      <c r="BV19" s="44">
        <v>542091.54</v>
      </c>
      <c r="BW19" s="44">
        <v>694490.25</v>
      </c>
      <c r="BX19" s="44">
        <v>942228.8000000004</v>
      </c>
      <c r="BY19" s="44">
        <v>441709.26</v>
      </c>
      <c r="BZ19" s="44">
        <v>498801.50999999989</v>
      </c>
      <c r="CA19" s="44">
        <v>403821.69999999995</v>
      </c>
      <c r="CB19" s="44">
        <v>523255.60000000003</v>
      </c>
      <c r="CC19" s="44">
        <v>965037.02000000025</v>
      </c>
      <c r="CD19" s="44">
        <v>530923.31000000006</v>
      </c>
      <c r="CE19" s="44">
        <v>730623.08999999985</v>
      </c>
      <c r="CF19" s="44">
        <v>621300.57000000007</v>
      </c>
      <c r="CG19" s="44">
        <v>426415.31</v>
      </c>
      <c r="CH19" s="44">
        <v>698645.92</v>
      </c>
      <c r="CI19" s="44">
        <v>656329.79999999993</v>
      </c>
      <c r="CJ19" s="44">
        <v>387304.82000000007</v>
      </c>
      <c r="CK19" s="44">
        <v>580402.73</v>
      </c>
      <c r="CL19" s="44">
        <v>681585.98</v>
      </c>
      <c r="CM19" s="44">
        <v>491101.48999999982</v>
      </c>
      <c r="CN19" s="44">
        <v>703392.7699999999</v>
      </c>
      <c r="CO19" s="44">
        <v>615387.04999999981</v>
      </c>
      <c r="CP19" s="44">
        <v>1039585.1199999999</v>
      </c>
      <c r="CQ19" s="44">
        <v>677731.06</v>
      </c>
      <c r="CR19" s="44">
        <v>519403.33</v>
      </c>
      <c r="CS19" s="44">
        <v>730015.29999999981</v>
      </c>
      <c r="CT19" s="44">
        <v>844208.41000000038</v>
      </c>
      <c r="CU19" s="44">
        <v>720005.68</v>
      </c>
      <c r="CV19" s="44">
        <v>671677.46999999986</v>
      </c>
      <c r="CW19" s="44">
        <v>859573.41999999993</v>
      </c>
      <c r="CX19" s="44">
        <v>713368.23999999987</v>
      </c>
      <c r="CY19" s="44">
        <v>1074529.5699999998</v>
      </c>
      <c r="CZ19" s="44">
        <v>889184.66999999993</v>
      </c>
      <c r="DA19" s="44">
        <v>555501.25999999989</v>
      </c>
      <c r="DB19" s="44">
        <v>635067.78000000026</v>
      </c>
      <c r="DC19" s="44">
        <v>966554.15999999992</v>
      </c>
      <c r="DD19" s="44">
        <v>663627.56000000006</v>
      </c>
      <c r="DE19" s="44">
        <v>653116.0299999998</v>
      </c>
      <c r="DF19" s="44">
        <v>733655.29999999993</v>
      </c>
      <c r="DG19" s="44">
        <v>696131.67000000039</v>
      </c>
      <c r="DH19" s="44">
        <v>771901.34000000008</v>
      </c>
      <c r="DI19" s="44">
        <v>678340.34000000008</v>
      </c>
      <c r="DJ19" s="44">
        <v>691962.22</v>
      </c>
      <c r="DK19" s="44">
        <v>1045628.0500000007</v>
      </c>
      <c r="DL19" s="44">
        <v>682075.42999999993</v>
      </c>
      <c r="DM19" s="44">
        <v>600434.79</v>
      </c>
      <c r="DN19" s="44">
        <v>732022.43</v>
      </c>
      <c r="DO19" s="44">
        <v>739517.38</v>
      </c>
      <c r="DP19" s="44">
        <v>482804.8</v>
      </c>
      <c r="DQ19" s="44">
        <v>595112.65</v>
      </c>
      <c r="DR19" s="44">
        <v>788646.53</v>
      </c>
      <c r="DS19" s="44">
        <v>999406.21</v>
      </c>
      <c r="DT19" s="44">
        <v>1560862.3699999996</v>
      </c>
      <c r="DU19" s="44">
        <v>731949.60000000009</v>
      </c>
      <c r="DV19" s="44">
        <v>673987.43000000017</v>
      </c>
      <c r="DW19" s="44">
        <v>580686.05000000005</v>
      </c>
      <c r="DX19" s="44">
        <v>643608.80000000005</v>
      </c>
      <c r="DY19" s="44">
        <v>684490.65</v>
      </c>
      <c r="DZ19" s="44">
        <v>643145.27999999991</v>
      </c>
      <c r="EA19" s="44">
        <v>972975.55000000016</v>
      </c>
      <c r="EB19" s="44">
        <v>785943.15000000014</v>
      </c>
      <c r="EC19" s="44">
        <v>920839.42999999982</v>
      </c>
      <c r="ED19" s="44">
        <v>571283.49</v>
      </c>
      <c r="EE19" s="44">
        <v>387231.98</v>
      </c>
      <c r="EF19" s="44">
        <v>710564.8</v>
      </c>
      <c r="EG19" s="44">
        <v>964571.94999999972</v>
      </c>
      <c r="EH19" s="44">
        <v>935924.23999999918</v>
      </c>
      <c r="EI19" s="44">
        <v>1157775.5300000005</v>
      </c>
      <c r="EJ19" s="44">
        <v>693597.93</v>
      </c>
      <c r="EK19" s="44">
        <v>793081.16000000027</v>
      </c>
      <c r="EL19" s="44">
        <v>688057.77</v>
      </c>
      <c r="EM19" s="44">
        <v>920395.38000000024</v>
      </c>
      <c r="EN19" s="44">
        <v>871818.3200000003</v>
      </c>
      <c r="EO19" s="44">
        <v>1222228.8900000004</v>
      </c>
      <c r="EP19" s="44">
        <v>857527.46999999986</v>
      </c>
      <c r="EQ19" s="44">
        <v>880900.49000000046</v>
      </c>
      <c r="ER19" s="44">
        <v>643933.69999999972</v>
      </c>
      <c r="ES19" s="44">
        <v>1040412.2699999998</v>
      </c>
      <c r="ET19" s="44">
        <v>554857.91999999993</v>
      </c>
      <c r="EU19" s="44">
        <v>749159.19</v>
      </c>
      <c r="EV19" s="44">
        <v>1051763.3799999999</v>
      </c>
      <c r="EW19" s="44">
        <v>937606.85999999987</v>
      </c>
      <c r="EX19" s="44">
        <v>1488863.2400000002</v>
      </c>
      <c r="EY19" s="44">
        <v>1250456.4399999997</v>
      </c>
      <c r="EZ19" s="44">
        <v>882241.18</v>
      </c>
      <c r="FA19" s="44">
        <v>1117198.6900000002</v>
      </c>
      <c r="FB19" s="44">
        <v>1169676.4299999997</v>
      </c>
      <c r="FC19" s="44">
        <v>1045536.0400000002</v>
      </c>
      <c r="FD19" s="44">
        <v>1237422.7800000007</v>
      </c>
      <c r="FE19" s="44">
        <v>983814.9599999995</v>
      </c>
      <c r="FF19" s="44">
        <v>895694.52</v>
      </c>
      <c r="FG19" s="44">
        <v>882684.63000000012</v>
      </c>
      <c r="FH19" s="44">
        <v>802234.51</v>
      </c>
      <c r="FI19" s="44">
        <v>820559.9299999997</v>
      </c>
      <c r="FJ19" s="44">
        <v>1054345.9600000002</v>
      </c>
      <c r="FK19" s="44">
        <v>1441216.1</v>
      </c>
      <c r="FL19" s="44">
        <v>1142915.21</v>
      </c>
      <c r="FM19" s="44">
        <v>973092.18</v>
      </c>
      <c r="FN19" s="44">
        <v>964616.46999999974</v>
      </c>
      <c r="FO19" s="44">
        <v>786624.71</v>
      </c>
      <c r="FP19" s="44">
        <v>1222767.1099999996</v>
      </c>
      <c r="FQ19" s="44">
        <v>1187846.6899999997</v>
      </c>
      <c r="FR19" s="44">
        <v>794152.16999999993</v>
      </c>
      <c r="FS19" s="44">
        <v>981306.9</v>
      </c>
      <c r="FT19" s="44">
        <v>1165643.32</v>
      </c>
      <c r="FU19" s="44">
        <v>1274836.82</v>
      </c>
      <c r="FV19" s="44">
        <v>1606342.9900000002</v>
      </c>
      <c r="FW19" s="44">
        <v>1431790.58</v>
      </c>
      <c r="FX19" s="44">
        <v>938809.81</v>
      </c>
      <c r="FY19" s="44">
        <v>1224095.3499999996</v>
      </c>
      <c r="FZ19" s="44">
        <v>1144190.72</v>
      </c>
      <c r="GA19" s="44">
        <v>1341434.7899999998</v>
      </c>
      <c r="GB19" s="44">
        <v>1632276.9899999993</v>
      </c>
      <c r="GC19" s="44">
        <v>1723121.3399999996</v>
      </c>
      <c r="GD19" s="44">
        <v>1133541.96</v>
      </c>
      <c r="GE19" s="44">
        <v>1101832.2799999998</v>
      </c>
      <c r="GF19" s="44">
        <v>1401841.4800000007</v>
      </c>
      <c r="GG19" s="44">
        <v>1103935.83</v>
      </c>
      <c r="GH19" s="44">
        <v>1439733.6099999996</v>
      </c>
      <c r="GI19" s="44">
        <v>760733.3199999996</v>
      </c>
      <c r="GJ19" s="44">
        <v>1241937.9300000004</v>
      </c>
      <c r="GK19" s="44">
        <v>951413.90999999992</v>
      </c>
      <c r="GL19" s="44">
        <v>1116166.1299999999</v>
      </c>
      <c r="GM19" s="44">
        <v>993967.79999999958</v>
      </c>
      <c r="GN19" s="44">
        <v>1176532.7600000002</v>
      </c>
      <c r="GO19" s="44">
        <v>1157589.77</v>
      </c>
      <c r="GP19" s="44">
        <v>1285617.81</v>
      </c>
      <c r="GQ19" s="44">
        <v>1344951.78</v>
      </c>
      <c r="GR19" s="44">
        <v>1232907.1100000003</v>
      </c>
      <c r="GS19" s="44">
        <v>1531590.5499999993</v>
      </c>
      <c r="GT19" s="44">
        <v>1686738.2399999998</v>
      </c>
      <c r="GU19" s="44">
        <v>1492859.6199999994</v>
      </c>
      <c r="GV19" s="44">
        <v>1480551.9000000004</v>
      </c>
      <c r="GW19" s="44">
        <v>1999085.2399999998</v>
      </c>
      <c r="GX19" s="44">
        <v>1632685.2100000002</v>
      </c>
      <c r="GY19" s="44">
        <v>1118538.0300000003</v>
      </c>
      <c r="GZ19" s="44">
        <v>1529433.0800000003</v>
      </c>
      <c r="HA19" s="44">
        <v>1426697.7000000002</v>
      </c>
      <c r="HB19" s="44">
        <v>1089392.3099999998</v>
      </c>
      <c r="HC19" s="44">
        <v>1080402.08</v>
      </c>
      <c r="HD19" s="44">
        <v>1048937.3500000003</v>
      </c>
      <c r="HE19" s="44">
        <v>1188979.0299999998</v>
      </c>
      <c r="HF19" s="44">
        <v>1467224.6100000003</v>
      </c>
      <c r="HG19" s="44">
        <v>1733015.4899999998</v>
      </c>
      <c r="HH19" s="44">
        <v>2062945.5700000003</v>
      </c>
      <c r="HI19" s="44">
        <v>1352606.7</v>
      </c>
      <c r="HJ19" s="44">
        <v>1201048.6099999994</v>
      </c>
      <c r="HK19" s="44">
        <v>1352498.1799999997</v>
      </c>
      <c r="HL19" s="44">
        <v>1265272.0600000005</v>
      </c>
      <c r="HM19" s="44">
        <v>1960688.7699999996</v>
      </c>
      <c r="HN19" s="44">
        <v>1715612.1500000001</v>
      </c>
      <c r="HO19" s="44">
        <v>1253644.2800000005</v>
      </c>
      <c r="HP19" s="44">
        <v>1131606.45</v>
      </c>
      <c r="HQ19" s="44">
        <v>1299273.5500000003</v>
      </c>
      <c r="HR19" s="44">
        <v>1187087.2100000004</v>
      </c>
      <c r="HS19" s="44">
        <v>1163033.5799999998</v>
      </c>
      <c r="HT19" s="44">
        <v>1312912.18</v>
      </c>
      <c r="HU19" s="44">
        <v>2072277.409999999</v>
      </c>
      <c r="HV19" s="44">
        <v>1623392.9600000004</v>
      </c>
      <c r="HW19" s="44">
        <v>1349656.4800000004</v>
      </c>
      <c r="HX19" s="44">
        <v>1566720.1099999996</v>
      </c>
      <c r="HY19" s="44">
        <v>1845014.6600000013</v>
      </c>
      <c r="HZ19" s="44">
        <v>1258505.6400000001</v>
      </c>
      <c r="IA19" s="44">
        <v>1477296.4999999995</v>
      </c>
      <c r="IB19" s="44">
        <v>1705202.7899999991</v>
      </c>
      <c r="IC19" s="44">
        <v>1387263.9900000002</v>
      </c>
      <c r="ID19" s="44">
        <v>1148453.3999999999</v>
      </c>
      <c r="IE19" s="44">
        <v>1261402.6000000001</v>
      </c>
      <c r="IF19" s="44">
        <v>1730745.93</v>
      </c>
      <c r="IG19" s="44">
        <v>1490020.62</v>
      </c>
      <c r="IH19" s="44">
        <v>1568398.3199999998</v>
      </c>
      <c r="II19" s="44">
        <v>1615169.3800000008</v>
      </c>
      <c r="IJ19" s="44">
        <v>1695200.04</v>
      </c>
      <c r="IK19" s="44">
        <v>1945191.8600000003</v>
      </c>
      <c r="IL19" s="44">
        <v>2917753.1199999992</v>
      </c>
      <c r="IM19" s="44">
        <v>2483959.8400000008</v>
      </c>
      <c r="IN19" s="44">
        <v>1853784.5500000003</v>
      </c>
      <c r="IO19" s="44">
        <v>1572693.8599999996</v>
      </c>
      <c r="IP19" s="44">
        <v>1734692.7500000002</v>
      </c>
      <c r="IQ19" s="44">
        <v>1995113.93</v>
      </c>
      <c r="IR19" s="44">
        <v>1892993.9399999995</v>
      </c>
      <c r="IS19" s="44">
        <v>1353565.5500000003</v>
      </c>
      <c r="IT19" s="44">
        <v>1824923.8499999999</v>
      </c>
      <c r="IU19" s="44">
        <v>1478167.7000000002</v>
      </c>
      <c r="IV19" s="44">
        <v>1364312.58</v>
      </c>
      <c r="IW19" s="44">
        <v>2134268.7399999998</v>
      </c>
      <c r="IX19" s="44">
        <v>2471938.3599999985</v>
      </c>
      <c r="IY19" s="44">
        <v>2346566</v>
      </c>
      <c r="IZ19" s="44">
        <v>2329959.46</v>
      </c>
      <c r="JA19" s="44">
        <v>1728006.1600000006</v>
      </c>
      <c r="JB19" s="44">
        <v>1597154.6</v>
      </c>
      <c r="JC19" s="44">
        <v>2729112.6199999992</v>
      </c>
      <c r="JD19" s="44">
        <v>1695374.6099999996</v>
      </c>
      <c r="JE19" s="44">
        <v>2001244.4000000013</v>
      </c>
      <c r="JF19" s="44">
        <v>1824981.8400000003</v>
      </c>
      <c r="JG19" s="44">
        <v>1595446.2099999997</v>
      </c>
      <c r="JH19" s="44">
        <v>1662668.4299999997</v>
      </c>
      <c r="JI19" s="44">
        <v>1651203.5700000003</v>
      </c>
      <c r="JJ19" s="44">
        <v>2042606.4500000004</v>
      </c>
      <c r="JK19" s="44">
        <v>1959518.8200000008</v>
      </c>
      <c r="JL19" s="44">
        <v>1978334.7799999989</v>
      </c>
      <c r="JM19" s="44">
        <v>1875258.3800000006</v>
      </c>
      <c r="JN19" s="44">
        <v>1598060.3400000003</v>
      </c>
      <c r="JO19" s="44">
        <v>2084870.7200000004</v>
      </c>
      <c r="JP19" s="44">
        <v>2824176.709999999</v>
      </c>
      <c r="JQ19" s="44">
        <v>2738023.2200000007</v>
      </c>
      <c r="JR19" s="44">
        <v>2312554.7300000004</v>
      </c>
      <c r="JS19" s="44">
        <v>2725405.3000000003</v>
      </c>
      <c r="JT19" s="44">
        <v>2294740.2899999996</v>
      </c>
      <c r="JU19" s="44">
        <v>1973825.4500000002</v>
      </c>
      <c r="JV19" s="44">
        <v>2113553.8000000007</v>
      </c>
      <c r="JW19" s="44">
        <v>1690822.4900000002</v>
      </c>
      <c r="JX19" s="44">
        <v>2313588.9300000002</v>
      </c>
      <c r="JY19" s="44">
        <v>2304185.3800000008</v>
      </c>
      <c r="JZ19" s="44">
        <v>2150146.66</v>
      </c>
      <c r="KA19" s="44">
        <v>1837257.0700000003</v>
      </c>
      <c r="KB19" s="44">
        <v>1529567.7999999991</v>
      </c>
      <c r="KC19" s="44">
        <v>2136338.91</v>
      </c>
      <c r="KD19" s="44">
        <v>2843226.6499999994</v>
      </c>
      <c r="KE19" s="44">
        <v>2102590.2199999993</v>
      </c>
      <c r="KF19" s="44">
        <v>2447742.3400000012</v>
      </c>
      <c r="KG19" s="44">
        <v>2447700.1499999994</v>
      </c>
      <c r="KH19" s="44">
        <v>1756277.1000000003</v>
      </c>
      <c r="KI19" s="44">
        <v>2010379.2200000007</v>
      </c>
      <c r="KJ19" s="44">
        <v>1925266.6599999995</v>
      </c>
      <c r="KK19" s="44">
        <v>1849821.9299999992</v>
      </c>
      <c r="KL19" s="44">
        <v>1440221.76</v>
      </c>
      <c r="KM19" s="44">
        <v>1686376.5500000003</v>
      </c>
      <c r="KN19" s="44">
        <v>1996732.3500000006</v>
      </c>
      <c r="KO19" s="44">
        <v>1816037.8100000008</v>
      </c>
      <c r="KP19" s="44">
        <v>1471707.0999999996</v>
      </c>
      <c r="KQ19" s="44">
        <v>1914670.0899999989</v>
      </c>
      <c r="KR19" s="44">
        <v>1953329.100000001</v>
      </c>
      <c r="KS19" s="44">
        <v>1918566.65</v>
      </c>
      <c r="KT19" s="44">
        <v>2492820.2400000012</v>
      </c>
      <c r="KU19" s="44">
        <v>2142954.52</v>
      </c>
      <c r="KV19" s="44">
        <v>3022015.0099999993</v>
      </c>
      <c r="KW19" s="44">
        <v>3175373.5999999992</v>
      </c>
      <c r="KX19" s="44">
        <v>1927245.6299999994</v>
      </c>
      <c r="KY19" s="44">
        <v>2113800.04</v>
      </c>
      <c r="KZ19" s="44">
        <v>1938402.0899999999</v>
      </c>
      <c r="LA19" s="44">
        <v>2754021.08</v>
      </c>
      <c r="LB19" s="44">
        <v>2619611.4500000011</v>
      </c>
      <c r="LC19" s="44">
        <v>2063729.9100000001</v>
      </c>
      <c r="LD19" s="44">
        <v>2078589.1300000004</v>
      </c>
      <c r="LE19" s="44">
        <v>2264095.1600000006</v>
      </c>
      <c r="LF19" s="44">
        <v>2108360.71</v>
      </c>
      <c r="LG19" s="44">
        <v>1645485.1199999992</v>
      </c>
      <c r="LH19" s="44">
        <v>2140303.58</v>
      </c>
      <c r="LI19" s="44">
        <v>2505513.3800000018</v>
      </c>
      <c r="LJ19" s="44">
        <v>3125347.2800000003</v>
      </c>
      <c r="LK19" s="44">
        <v>1821576.0399999996</v>
      </c>
      <c r="LL19" s="44">
        <v>2189308.15</v>
      </c>
      <c r="LM19" s="44">
        <v>1997825.080000001</v>
      </c>
      <c r="LN19" s="44">
        <v>2134807.59</v>
      </c>
      <c r="LO19" s="44">
        <v>2231888.169999999</v>
      </c>
      <c r="LP19" s="44">
        <v>2526357.0699999984</v>
      </c>
      <c r="LQ19" s="44">
        <v>2283908.1100000003</v>
      </c>
      <c r="LR19" s="44">
        <v>2133846.4099999997</v>
      </c>
      <c r="LS19" s="44">
        <v>1604626.2299999997</v>
      </c>
      <c r="LT19" s="44">
        <v>2255672.3399999975</v>
      </c>
      <c r="LU19" s="44">
        <v>2410482.91</v>
      </c>
      <c r="LV19" s="44">
        <v>2574685.9899999984</v>
      </c>
      <c r="LW19" s="44">
        <v>2675531.7699999986</v>
      </c>
      <c r="LX19" s="44">
        <v>2292985.830000001</v>
      </c>
      <c r="LY19" s="44">
        <v>3120013.4399999981</v>
      </c>
      <c r="LZ19" s="44">
        <v>3009562.94</v>
      </c>
      <c r="MA19" s="44">
        <v>1946899.840000001</v>
      </c>
      <c r="MB19" s="44">
        <v>2185330.4500000002</v>
      </c>
      <c r="MC19" s="44">
        <v>2920019.4699999988</v>
      </c>
      <c r="MD19" s="44">
        <v>2824735.290000001</v>
      </c>
      <c r="ME19" s="44">
        <v>2457400.5600000005</v>
      </c>
      <c r="MF19" s="44">
        <v>2770922.2999999993</v>
      </c>
      <c r="MG19" s="44">
        <v>1747307.11</v>
      </c>
      <c r="MH19" s="44">
        <v>1911890.2100000007</v>
      </c>
      <c r="MI19" s="44">
        <v>1774786.7500000005</v>
      </c>
      <c r="MJ19" s="44">
        <v>2647221.9300000002</v>
      </c>
      <c r="MK19" s="44">
        <v>2276988.7299999991</v>
      </c>
      <c r="ML19" s="44">
        <v>2252713.6999999997</v>
      </c>
      <c r="MM19" s="44">
        <v>2598717.9099999988</v>
      </c>
      <c r="MN19" s="44">
        <v>1899759.7300000004</v>
      </c>
      <c r="MO19" s="44">
        <v>2002427.7799999993</v>
      </c>
      <c r="MP19" s="44">
        <v>2970569.21</v>
      </c>
      <c r="MQ19" s="44">
        <v>2011527.97</v>
      </c>
      <c r="MR19" s="44">
        <v>2452514.4400000004</v>
      </c>
      <c r="MS19" s="44">
        <v>2431497.4799999986</v>
      </c>
      <c r="MT19" s="44">
        <v>2266997.6400000006</v>
      </c>
      <c r="MU19" s="44">
        <v>2923173.3199999994</v>
      </c>
      <c r="MV19" s="44">
        <v>2079236.649999999</v>
      </c>
      <c r="MW19" s="44">
        <v>1513098.2399999988</v>
      </c>
      <c r="MX19" s="44">
        <v>2272224.4000000004</v>
      </c>
      <c r="MY19" s="44">
        <v>2151078.9999999991</v>
      </c>
      <c r="MZ19" s="44">
        <v>1834047.1099999994</v>
      </c>
      <c r="NA19" s="44">
        <v>2456075.7899999991</v>
      </c>
      <c r="NB19" s="44">
        <v>2339871.8799999994</v>
      </c>
      <c r="NC19" s="44">
        <v>2410583.4399999985</v>
      </c>
      <c r="ND19" s="44">
        <v>1954157.3099999996</v>
      </c>
      <c r="NE19" s="44">
        <v>2665578.419999999</v>
      </c>
      <c r="NF19" s="44">
        <v>2516920.459999999</v>
      </c>
      <c r="NG19" s="44">
        <v>2258359.4700000011</v>
      </c>
      <c r="NH19" s="44">
        <v>1751160.9</v>
      </c>
      <c r="NI19" s="44">
        <v>1916842.2699999996</v>
      </c>
      <c r="NJ19" s="44">
        <v>1566345.9900000002</v>
      </c>
      <c r="NK19" s="44">
        <v>1665154.9300000002</v>
      </c>
      <c r="NL19" s="44">
        <v>2122402.2400000016</v>
      </c>
      <c r="NM19" s="44">
        <v>1957906.0400000007</v>
      </c>
      <c r="NN19" s="44">
        <v>1708319.62</v>
      </c>
      <c r="NO19" s="44">
        <v>1572339.1199999999</v>
      </c>
      <c r="NP19" s="44">
        <v>2024261.699999999</v>
      </c>
      <c r="NQ19" s="44">
        <v>1952894.9400000013</v>
      </c>
      <c r="NR19" s="44">
        <v>2134012.3900000006</v>
      </c>
      <c r="NS19" s="44">
        <v>1942789.5599999996</v>
      </c>
      <c r="NT19" s="44">
        <v>2020200.1900000004</v>
      </c>
      <c r="NU19" s="44">
        <v>2304114.0900000008</v>
      </c>
      <c r="NV19" s="44">
        <v>2383414.8099999991</v>
      </c>
      <c r="NW19" s="44">
        <v>1895364.8399999999</v>
      </c>
      <c r="NX19" s="44">
        <v>2081594.0200000005</v>
      </c>
      <c r="NY19" s="44">
        <v>1790375.0400000003</v>
      </c>
      <c r="NZ19" s="44">
        <v>2610723.8099999987</v>
      </c>
      <c r="OA19" s="44">
        <v>2089192.4300000002</v>
      </c>
      <c r="OB19" s="44">
        <v>1981472.5700000003</v>
      </c>
      <c r="OC19" s="44">
        <v>1565992.77</v>
      </c>
      <c r="OD19" s="44">
        <v>1942576.5399999993</v>
      </c>
      <c r="OE19" s="44">
        <v>1686172.91</v>
      </c>
      <c r="OF19" s="44">
        <v>1495248.6499999997</v>
      </c>
      <c r="OG19" s="44">
        <v>2233972.5900000008</v>
      </c>
      <c r="OH19" s="44">
        <f>2495799.69+3908.59</f>
        <v>2499708.2799999998</v>
      </c>
      <c r="OI19" s="44">
        <v>3109991.8500000006</v>
      </c>
      <c r="OJ19" s="44">
        <v>3180800.69</v>
      </c>
      <c r="OK19" s="44">
        <v>1972039.6499999992</v>
      </c>
      <c r="OL19" s="44">
        <v>2524502.2499999991</v>
      </c>
      <c r="OM19" s="44">
        <v>2103249.39</v>
      </c>
      <c r="ON19" s="44">
        <v>2019153.1900000009</v>
      </c>
      <c r="OO19" s="44">
        <v>2059476.12</v>
      </c>
      <c r="OP19" s="44">
        <v>1755323.7999999996</v>
      </c>
      <c r="OQ19" s="44">
        <v>1611170.0300000005</v>
      </c>
      <c r="OR19" s="44">
        <v>1840734.9599999995</v>
      </c>
      <c r="OS19" s="44">
        <v>1510110.6</v>
      </c>
      <c r="OT19" s="44">
        <v>1773107.9000000001</v>
      </c>
      <c r="OU19" s="44">
        <v>2354001.1300000008</v>
      </c>
      <c r="OV19" s="44">
        <v>3353547.7</v>
      </c>
      <c r="OW19" s="44">
        <v>2869968.65</v>
      </c>
      <c r="OX19" s="44">
        <v>2687367.8500000006</v>
      </c>
      <c r="OY19" s="44">
        <v>2711081.67</v>
      </c>
      <c r="OZ19" s="44">
        <v>2509136.9700000002</v>
      </c>
      <c r="PA19" s="44">
        <v>2160720.3200000008</v>
      </c>
      <c r="PB19" s="44">
        <v>2179221.54</v>
      </c>
      <c r="PC19" s="44">
        <v>2179221.54</v>
      </c>
      <c r="PD19" s="44">
        <v>2469121.0100000007</v>
      </c>
      <c r="PE19" s="44">
        <v>2514430.2100000004</v>
      </c>
      <c r="PF19" s="44">
        <v>2275260.6800000002</v>
      </c>
      <c r="PG19" s="44">
        <v>2127917.4400000004</v>
      </c>
      <c r="PH19" s="44">
        <v>2128903.5599999996</v>
      </c>
      <c r="PI19" s="44">
        <v>2940353.05</v>
      </c>
      <c r="PJ19" s="44">
        <v>2995858.09</v>
      </c>
      <c r="PK19" s="44">
        <v>4237504.9099999983</v>
      </c>
      <c r="PL19" s="44">
        <v>4362645.9300000034</v>
      </c>
      <c r="PM19" s="44">
        <v>3727954.4599999995</v>
      </c>
      <c r="PN19" s="44">
        <v>2350612.7199999997</v>
      </c>
      <c r="PO19" s="44">
        <v>3253175.9599999995</v>
      </c>
      <c r="PP19" s="44">
        <v>3025832.0999999992</v>
      </c>
      <c r="PQ19" s="44">
        <v>2981744.1100000013</v>
      </c>
      <c r="PR19" s="44">
        <v>2709087.4200000018</v>
      </c>
      <c r="PS19" s="44">
        <v>2075891.0500000014</v>
      </c>
      <c r="PT19" s="44">
        <v>2698724.9800000014</v>
      </c>
      <c r="PU19" s="44">
        <v>2028983.2999999984</v>
      </c>
      <c r="PV19" s="44">
        <v>2248955.129999999</v>
      </c>
      <c r="PW19" s="44">
        <v>2960128.0899999989</v>
      </c>
      <c r="PX19" s="44">
        <v>3368052.129999998</v>
      </c>
      <c r="PY19" s="44">
        <v>3575052.7699999949</v>
      </c>
      <c r="PZ19" s="44">
        <v>7309518.4800000014</v>
      </c>
      <c r="QA19" s="44">
        <v>3510551.4600000009</v>
      </c>
      <c r="QB19" s="44">
        <v>3629961.1500000022</v>
      </c>
      <c r="QC19" s="44">
        <v>3678928.2400000021</v>
      </c>
      <c r="QD19" s="44">
        <v>3648604.839999998</v>
      </c>
      <c r="QE19" s="44">
        <v>3568144.4699999969</v>
      </c>
      <c r="QF19" s="44">
        <v>3418952.4899999988</v>
      </c>
      <c r="QG19" s="44">
        <v>2527710.5599999954</v>
      </c>
      <c r="QH19" s="44">
        <v>3123644.3199999994</v>
      </c>
      <c r="QI19" s="44">
        <v>3066609.9200000018</v>
      </c>
      <c r="QJ19" s="44">
        <v>3091554.0299999993</v>
      </c>
      <c r="QK19" s="44">
        <v>3373651.5799999991</v>
      </c>
      <c r="QL19" s="44">
        <v>3692421.5300000049</v>
      </c>
      <c r="QM19" s="44">
        <v>3835660.4400000032</v>
      </c>
      <c r="QN19" s="44">
        <v>3437370.4700000007</v>
      </c>
      <c r="QO19" s="44">
        <v>3758759.4699999979</v>
      </c>
      <c r="QP19" s="44">
        <v>4714997.0800000019</v>
      </c>
      <c r="QQ19" s="44">
        <v>4660289.8699999992</v>
      </c>
      <c r="QR19" s="44">
        <v>3467455.5299999965</v>
      </c>
      <c r="QS19" s="44">
        <v>4964454.8199999761</v>
      </c>
      <c r="QT19" s="44">
        <v>4525886.9299999988</v>
      </c>
      <c r="QU19" s="44">
        <v>3985719.1199999945</v>
      </c>
      <c r="QV19" s="44">
        <v>3893229.7100000023</v>
      </c>
      <c r="QW19" s="44">
        <v>3765745.8600000031</v>
      </c>
      <c r="QX19" s="44">
        <v>3627239.8600000013</v>
      </c>
      <c r="QY19" s="44">
        <v>4136936.3099999968</v>
      </c>
      <c r="QZ19" s="44">
        <v>3395542.4399999962</v>
      </c>
      <c r="RA19" s="44">
        <v>3189777.8199999984</v>
      </c>
      <c r="RB19" s="44">
        <v>3361512.2300000009</v>
      </c>
      <c r="RC19" s="44">
        <v>4146259.660000002</v>
      </c>
      <c r="RD19" s="44">
        <v>3855631.299999998</v>
      </c>
      <c r="RE19" s="44">
        <v>4650720.72</v>
      </c>
      <c r="RF19" s="44">
        <v>4926484.1499999957</v>
      </c>
      <c r="RG19" s="44">
        <v>4550421.7199999979</v>
      </c>
      <c r="RH19" s="44">
        <v>3923048.0599999968</v>
      </c>
      <c r="RI19" s="44">
        <v>3621596.7</v>
      </c>
      <c r="RJ19" s="44">
        <v>3433691.9799999995</v>
      </c>
      <c r="RK19" s="44">
        <v>3244171.8100000015</v>
      </c>
      <c r="RL19" s="44">
        <v>3115660.1200000034</v>
      </c>
      <c r="RM19" s="44">
        <v>3411695.2099999986</v>
      </c>
      <c r="RN19" s="44">
        <v>4087389.2199999965</v>
      </c>
      <c r="RO19" s="44">
        <v>3778955.6300000004</v>
      </c>
      <c r="RP19" s="44">
        <v>2672720.5700000003</v>
      </c>
      <c r="RQ19" s="44">
        <v>3166996.8799999994</v>
      </c>
      <c r="RR19" s="44">
        <v>3545424.8900000015</v>
      </c>
      <c r="RS19" s="44">
        <v>3339818.3600000003</v>
      </c>
      <c r="RT19" s="44">
        <v>5358819.6800000034</v>
      </c>
      <c r="RU19" s="44">
        <v>5991618.5300000012</v>
      </c>
      <c r="RV19" s="44">
        <v>4249590.0899999971</v>
      </c>
      <c r="RW19" s="44">
        <v>3796239.5900000008</v>
      </c>
      <c r="RX19" s="44">
        <v>4125727.5600000033</v>
      </c>
      <c r="RY19" s="44">
        <v>3677925.8899999997</v>
      </c>
      <c r="RZ19" s="44">
        <v>3555790.4200000013</v>
      </c>
      <c r="SA19" s="44">
        <v>4306045.4099999974</v>
      </c>
      <c r="SB19" s="44">
        <v>3876158.330000001</v>
      </c>
      <c r="SC19" s="44">
        <v>3909798.05</v>
      </c>
      <c r="SD19" s="44">
        <v>3400020.4299999988</v>
      </c>
      <c r="SE19" s="44">
        <v>2950045.5000000005</v>
      </c>
      <c r="SF19" s="44">
        <v>3400559.91</v>
      </c>
      <c r="SG19" s="44">
        <v>3687767.26</v>
      </c>
      <c r="SH19" s="44">
        <v>4912717.34</v>
      </c>
      <c r="SI19" s="44">
        <v>4506329.66</v>
      </c>
      <c r="SJ19" s="44">
        <v>4932004.4200000018</v>
      </c>
      <c r="SK19" s="44">
        <v>4788302.990000003</v>
      </c>
      <c r="SL19" s="44">
        <v>3849321.5599999991</v>
      </c>
      <c r="SM19" s="44">
        <v>4482896.4199999981</v>
      </c>
      <c r="SN19" s="44">
        <v>3736580.5999999996</v>
      </c>
      <c r="SO19" s="44">
        <v>3761675.5799999991</v>
      </c>
      <c r="SP19" s="44">
        <v>5037785.1799999988</v>
      </c>
      <c r="SQ19" s="44">
        <v>4516926.3999999966</v>
      </c>
      <c r="SR19" s="44">
        <v>4516926.3999999966</v>
      </c>
      <c r="SS19" s="44">
        <v>3599580.2899999996</v>
      </c>
      <c r="ST19" s="44">
        <v>4063939.7400000016</v>
      </c>
      <c r="SU19" s="44">
        <v>3811666.790000001</v>
      </c>
      <c r="SV19" s="44">
        <v>4398957.3400000008</v>
      </c>
      <c r="SW19" s="44">
        <v>4703359.2699999977</v>
      </c>
      <c r="SX19" s="44">
        <v>4244742.03</v>
      </c>
      <c r="SY19" s="44">
        <v>5963055.4400000051</v>
      </c>
      <c r="SZ19" s="44">
        <v>6460125.200000002</v>
      </c>
      <c r="TA19" s="44">
        <v>4681671.91</v>
      </c>
      <c r="TB19" s="44">
        <v>4406227.459999999</v>
      </c>
      <c r="TC19" s="44">
        <v>6175099.2900000047</v>
      </c>
      <c r="TD19" s="44">
        <v>6231211.7699999958</v>
      </c>
      <c r="TE19" s="44">
        <v>5356027.1900000032</v>
      </c>
      <c r="TF19" s="44">
        <v>4561817.419999999</v>
      </c>
      <c r="TG19" s="44">
        <v>4594434.7099999972</v>
      </c>
      <c r="TH19" s="115">
        <v>4003443.0899999961</v>
      </c>
      <c r="TI19" s="115">
        <v>3974171.5400000019</v>
      </c>
      <c r="TJ19" s="115">
        <v>4674624.3100000005</v>
      </c>
      <c r="TK19" s="115">
        <v>4060299.6900000013</v>
      </c>
      <c r="TL19" s="115">
        <v>4655263.4100000011</v>
      </c>
      <c r="TM19" s="115">
        <v>4591014.7499999963</v>
      </c>
      <c r="TN19" s="115">
        <v>4921025.2100000018</v>
      </c>
      <c r="TO19" s="115">
        <v>4920065.2399999993</v>
      </c>
      <c r="TP19" s="115">
        <v>4410735.2200000025</v>
      </c>
      <c r="TQ19" s="115">
        <v>4763511.5000000019</v>
      </c>
      <c r="TR19" s="115">
        <v>5283480.9200000037</v>
      </c>
      <c r="TS19" s="115">
        <v>4515851.450000003</v>
      </c>
      <c r="TT19" s="115">
        <v>4357709.6399999969</v>
      </c>
      <c r="TU19" s="115">
        <v>4235436.2800000012</v>
      </c>
      <c r="TV19" s="115">
        <v>3961838.8799999976</v>
      </c>
      <c r="TW19" s="115">
        <v>4238301.5299999984</v>
      </c>
      <c r="TX19" s="115">
        <v>4385970.2999999989</v>
      </c>
      <c r="TY19" s="115">
        <v>4682056.9999999935</v>
      </c>
      <c r="TZ19" s="115">
        <v>3897476.54</v>
      </c>
      <c r="UA19" s="115">
        <v>3753498.4599999981</v>
      </c>
      <c r="UB19" s="115">
        <v>4148573.0500000026</v>
      </c>
      <c r="UC19" s="115">
        <v>5653317.7300000023</v>
      </c>
      <c r="UD19" s="115">
        <v>5240166.2400000012</v>
      </c>
      <c r="UE19" s="115">
        <v>5355702.0499999952</v>
      </c>
      <c r="UF19" s="115">
        <v>5522573.8300000001</v>
      </c>
      <c r="UG19" s="115">
        <v>5019114.5799999991</v>
      </c>
      <c r="UH19" s="115">
        <v>5705157.0399999954</v>
      </c>
      <c r="UI19" s="115">
        <v>5042324.6700000018</v>
      </c>
      <c r="UJ19" s="115">
        <v>4133008.490000003</v>
      </c>
      <c r="UK19" s="115">
        <v>3992743.3399999989</v>
      </c>
      <c r="UL19" s="115">
        <v>4841635.7599999988</v>
      </c>
      <c r="UM19" s="115">
        <v>4833176.9799999986</v>
      </c>
      <c r="UN19" s="115">
        <v>4405963.9399999958</v>
      </c>
      <c r="UO19" s="115">
        <v>3438279.6399999987</v>
      </c>
      <c r="UP19" s="115">
        <v>4011951.7300000014</v>
      </c>
      <c r="UQ19" s="115">
        <v>5264691.7200000053</v>
      </c>
      <c r="UR19" s="115">
        <v>5631755.799999998</v>
      </c>
      <c r="US19" s="115">
        <v>5050902.2800000021</v>
      </c>
      <c r="UT19" s="115">
        <v>5171299.42</v>
      </c>
      <c r="UU19" s="115">
        <v>4952825.6700000027</v>
      </c>
      <c r="UV19" s="115">
        <v>3933857.0800000029</v>
      </c>
      <c r="UW19" s="115">
        <v>4318635.2700000033</v>
      </c>
      <c r="UX19" s="115">
        <v>3932175.8099999996</v>
      </c>
      <c r="UY19" s="115">
        <v>3552169.1600000015</v>
      </c>
      <c r="UZ19" s="115">
        <v>3985107.4399999967</v>
      </c>
      <c r="VA19" s="115">
        <v>5022294.4100000011</v>
      </c>
      <c r="VB19" s="115">
        <v>4056664.950000002</v>
      </c>
      <c r="VC19" s="115">
        <v>3900577.4300000016</v>
      </c>
      <c r="VD19" s="115">
        <v>3786236.03</v>
      </c>
      <c r="VE19" s="115">
        <v>3454550.7400000016</v>
      </c>
      <c r="VF19" s="115">
        <v>3454550.7400000016</v>
      </c>
      <c r="VG19" s="115">
        <v>4079155.57</v>
      </c>
      <c r="VH19" s="115">
        <v>4029801.42</v>
      </c>
      <c r="VI19" s="115">
        <v>7573095.71</v>
      </c>
      <c r="VJ19" s="115">
        <v>6167538.4000000004</v>
      </c>
      <c r="VK19" s="115">
        <v>5236170.0599999996</v>
      </c>
      <c r="VL19" s="115">
        <v>4496363.47</v>
      </c>
      <c r="VM19" s="115">
        <v>4471961.83</v>
      </c>
      <c r="VN19" s="115">
        <v>4611360.45</v>
      </c>
      <c r="VO19" s="115">
        <v>4830436.5599999996</v>
      </c>
      <c r="VP19" s="115">
        <v>5772307.0099999998</v>
      </c>
      <c r="VQ19" s="115">
        <v>4181665.52</v>
      </c>
      <c r="VR19" s="115">
        <v>3879750.56</v>
      </c>
      <c r="VS19" s="115">
        <v>4054676.69</v>
      </c>
      <c r="VT19" s="115">
        <v>3499167.18</v>
      </c>
      <c r="VU19" s="115">
        <v>3829243.2299999991</v>
      </c>
      <c r="VV19" s="115">
        <v>4348430.03</v>
      </c>
      <c r="VW19" s="115">
        <v>5941730.1699999999</v>
      </c>
      <c r="VX19" s="115">
        <v>5346318.8099999996</v>
      </c>
      <c r="VY19" s="115">
        <v>3890967.17</v>
      </c>
      <c r="VZ19" s="115">
        <v>4512766.91</v>
      </c>
      <c r="WA19" s="115">
        <v>5114057.2</v>
      </c>
      <c r="WB19" s="115">
        <v>5196847.92</v>
      </c>
      <c r="WC19" s="115">
        <v>5571510.4500000002</v>
      </c>
      <c r="WD19" s="115">
        <v>5673369.8300000001</v>
      </c>
      <c r="WE19" s="115">
        <v>5682309.1399999997</v>
      </c>
      <c r="WF19" s="115">
        <v>4951735.74</v>
      </c>
      <c r="WG19" s="115">
        <v>5031483.4000000004</v>
      </c>
      <c r="WH19" s="115">
        <v>4487256.74</v>
      </c>
      <c r="WI19" s="115">
        <v>5070233.67</v>
      </c>
      <c r="WJ19" s="115">
        <v>4568358.0199999996</v>
      </c>
      <c r="WK19" s="115">
        <v>5968468.9699999997</v>
      </c>
      <c r="WL19" s="115">
        <v>6257099.6500000004</v>
      </c>
      <c r="WM19" s="115">
        <v>5441316.6200000001</v>
      </c>
      <c r="WN19" s="115">
        <v>7022681.6600000001</v>
      </c>
      <c r="WO19" s="115">
        <v>5718049.0499999998</v>
      </c>
      <c r="WP19" s="115">
        <v>6115728.2999999998</v>
      </c>
      <c r="WQ19" s="115">
        <v>6119048.1600000001</v>
      </c>
      <c r="WR19" s="115">
        <v>6630173.3799999999</v>
      </c>
      <c r="WS19" s="115">
        <v>6757620.6900000004</v>
      </c>
      <c r="WT19" s="115">
        <v>5956084.0099999998</v>
      </c>
      <c r="WU19" s="115">
        <v>6889025.9000000004</v>
      </c>
      <c r="WV19" s="115">
        <v>6528092.5499999998</v>
      </c>
      <c r="WW19" s="115">
        <v>5358250.54</v>
      </c>
      <c r="WX19" s="115">
        <v>6994255.9500000002</v>
      </c>
      <c r="WY19" s="115">
        <v>6462652.3700000001</v>
      </c>
      <c r="WZ19" s="115">
        <v>6461225.8300000001</v>
      </c>
      <c r="XA19" s="115">
        <v>6130756.4199999999</v>
      </c>
      <c r="XB19" s="115">
        <v>5572566.71</v>
      </c>
      <c r="XC19" s="115">
        <v>6803575.3799999999</v>
      </c>
      <c r="XD19" s="115">
        <v>6467348.5800000001</v>
      </c>
      <c r="XE19" s="115">
        <v>7351546.9500000002</v>
      </c>
      <c r="XF19" s="115">
        <v>6655994.3899999997</v>
      </c>
      <c r="XG19" s="115">
        <v>7098318.0599999996</v>
      </c>
      <c r="XH19" s="115">
        <v>6430080.54</v>
      </c>
      <c r="XI19" s="115">
        <v>5985488.75</v>
      </c>
      <c r="XJ19" s="115">
        <v>6159124.2199999997</v>
      </c>
      <c r="XK19" s="115">
        <v>6865943.7699999996</v>
      </c>
      <c r="XL19" s="115">
        <v>7059418.3099999996</v>
      </c>
      <c r="XM19" s="115">
        <v>6960912.2000000002</v>
      </c>
      <c r="XN19" s="115">
        <v>6725804.9500000002</v>
      </c>
      <c r="XO19" s="115">
        <v>5803765.4699999997</v>
      </c>
      <c r="XP19" s="115">
        <v>6264378.3300000001</v>
      </c>
      <c r="XQ19" s="115">
        <v>6432724</v>
      </c>
      <c r="XR19" s="115">
        <v>8402753.5600000005</v>
      </c>
      <c r="XS19" s="115">
        <v>7694928.5899999999</v>
      </c>
      <c r="XT19" s="115">
        <v>8087580.5800000001</v>
      </c>
      <c r="XU19" s="115">
        <v>7740220.3799999999</v>
      </c>
      <c r="XV19" s="115">
        <v>7065263.3499999996</v>
      </c>
      <c r="XW19" s="115">
        <v>6623169.8200000003</v>
      </c>
      <c r="XX19" s="115">
        <v>6490840.6200000001</v>
      </c>
      <c r="XY19" s="115">
        <v>7532992.9299999997</v>
      </c>
      <c r="XZ19" s="115">
        <v>7832729.2300000004</v>
      </c>
      <c r="YA19" s="115">
        <v>7863513.3899999997</v>
      </c>
      <c r="YB19" s="115">
        <v>7491364.1900000004</v>
      </c>
      <c r="YC19" s="165">
        <v>6076238</v>
      </c>
      <c r="YD19" s="165">
        <v>6561041.8600000003</v>
      </c>
      <c r="YE19" s="165">
        <v>5713854.21</v>
      </c>
      <c r="YF19" s="165">
        <v>7328780.3399999999</v>
      </c>
      <c r="YG19" s="165">
        <v>8213389.1699999999</v>
      </c>
      <c r="YH19" s="165">
        <v>7950245.9000000004</v>
      </c>
      <c r="YI19" s="165">
        <v>7625321.7999999998</v>
      </c>
      <c r="YJ19" s="165">
        <v>7280168.46</v>
      </c>
      <c r="YK19" s="165">
        <v>6830951.2599999998</v>
      </c>
      <c r="YL19" s="165">
        <v>6296790.6799999997</v>
      </c>
      <c r="YM19" s="165">
        <v>5765360.2599999998</v>
      </c>
    </row>
    <row r="20" spans="1:663" ht="15.75" customHeight="1" x14ac:dyDescent="0.2">
      <c r="A20" s="52"/>
      <c r="B20" s="53" t="s">
        <v>159</v>
      </c>
      <c r="C20" s="54">
        <f>C19/296-1</f>
        <v>1644.1531418918921</v>
      </c>
      <c r="D20" s="54">
        <f t="shared" ref="D20:IX20" si="33">D19/C19-1</f>
        <v>0.51729401351837523</v>
      </c>
      <c r="E20" s="54">
        <f t="shared" si="33"/>
        <v>-0.4946812940925247</v>
      </c>
      <c r="F20" s="54">
        <f t="shared" si="33"/>
        <v>0.18652241339846354</v>
      </c>
      <c r="G20" s="54">
        <f t="shared" si="33"/>
        <v>-0.50174443662086454</v>
      </c>
      <c r="H20" s="54">
        <f t="shared" si="33"/>
        <v>0.66269769915682075</v>
      </c>
      <c r="I20" s="54">
        <f t="shared" si="33"/>
        <v>0.87911740582295939</v>
      </c>
      <c r="J20" s="54">
        <f t="shared" si="33"/>
        <v>-0.56178111498306149</v>
      </c>
      <c r="K20" s="54">
        <f t="shared" si="33"/>
        <v>0.21332913017900657</v>
      </c>
      <c r="L20" s="54">
        <f t="shared" si="33"/>
        <v>-5.6087843969032214E-2</v>
      </c>
      <c r="M20" s="54">
        <f t="shared" si="33"/>
        <v>0.3313436617590102</v>
      </c>
      <c r="N20" s="54">
        <f t="shared" si="33"/>
        <v>-0.2909236175688209</v>
      </c>
      <c r="O20" s="54">
        <f t="shared" si="33"/>
        <v>-3.3376606230085204E-2</v>
      </c>
      <c r="P20" s="54">
        <f t="shared" si="33"/>
        <v>-0.25258220653675623</v>
      </c>
      <c r="Q20" s="54">
        <f t="shared" si="33"/>
        <v>3.0431482888651473</v>
      </c>
      <c r="R20" s="54">
        <f t="shared" si="33"/>
        <v>-0.13982247647627966</v>
      </c>
      <c r="S20" s="54">
        <f t="shared" si="33"/>
        <v>-3.0644894482473539E-2</v>
      </c>
      <c r="T20" s="54">
        <f t="shared" si="33"/>
        <v>-0.12007649602507431</v>
      </c>
      <c r="U20" s="54">
        <f t="shared" si="33"/>
        <v>-0.5138346154515121</v>
      </c>
      <c r="V20" s="54">
        <f t="shared" si="33"/>
        <v>0.38908746594727361</v>
      </c>
      <c r="W20" s="54">
        <f t="shared" si="33"/>
        <v>-3.6014013517867927E-2</v>
      </c>
      <c r="X20" s="54">
        <f t="shared" si="33"/>
        <v>-0.27179349694891186</v>
      </c>
      <c r="Y20" s="54">
        <f t="shared" si="33"/>
        <v>0.36772182566546596</v>
      </c>
      <c r="Z20" s="54">
        <f t="shared" si="33"/>
        <v>-1.8469366904320439E-2</v>
      </c>
      <c r="AA20" s="54">
        <f t="shared" si="33"/>
        <v>1.8409984402680157E-2</v>
      </c>
      <c r="AB20" s="54">
        <f t="shared" si="33"/>
        <v>-0.1692222568159949</v>
      </c>
      <c r="AC20" s="54">
        <f t="shared" si="33"/>
        <v>-0.23344133831230274</v>
      </c>
      <c r="AD20" s="54">
        <f t="shared" si="33"/>
        <v>0.21319614644414564</v>
      </c>
      <c r="AE20" s="54">
        <f t="shared" si="33"/>
        <v>0.16690457582350549</v>
      </c>
      <c r="AF20" s="54">
        <f t="shared" si="33"/>
        <v>-4.0707651921340071E-2</v>
      </c>
      <c r="AG20" s="54">
        <f t="shared" si="33"/>
        <v>0.39202608185414389</v>
      </c>
      <c r="AH20" s="54">
        <f t="shared" si="33"/>
        <v>3.2967250566806605E-4</v>
      </c>
      <c r="AI20" s="54">
        <f t="shared" si="33"/>
        <v>0.61650861725148087</v>
      </c>
      <c r="AJ20" s="54">
        <f t="shared" si="33"/>
        <v>-0.54261855006569548</v>
      </c>
      <c r="AK20" s="54">
        <f t="shared" si="33"/>
        <v>-1.3211603906055025E-2</v>
      </c>
      <c r="AL20" s="54">
        <f t="shared" si="33"/>
        <v>0.45638147248886662</v>
      </c>
      <c r="AM20" s="54">
        <f t="shared" si="33"/>
        <v>-0.24354133972158365</v>
      </c>
      <c r="AN20" s="54">
        <f t="shared" si="33"/>
        <v>-0.1475004114592593</v>
      </c>
      <c r="AO20" s="54">
        <f t="shared" si="33"/>
        <v>-6.9524110052351928E-2</v>
      </c>
      <c r="AP20" s="54">
        <f t="shared" si="33"/>
        <v>0.43644333020397874</v>
      </c>
      <c r="AQ20" s="54">
        <f t="shared" si="33"/>
        <v>-0.24270688439207067</v>
      </c>
      <c r="AR20" s="54">
        <f t="shared" si="33"/>
        <v>5.6331074119867486E-2</v>
      </c>
      <c r="AS20" s="54">
        <f t="shared" si="33"/>
        <v>0.19017346181898254</v>
      </c>
      <c r="AT20" s="54">
        <f t="shared" si="33"/>
        <v>1.1090818536879778</v>
      </c>
      <c r="AU20" s="54">
        <f t="shared" si="33"/>
        <v>5.2021926600118729E-3</v>
      </c>
      <c r="AV20" s="54">
        <f t="shared" si="33"/>
        <v>-0.25032612764814677</v>
      </c>
      <c r="AW20" s="54">
        <f t="shared" si="33"/>
        <v>-0.47002112385755013</v>
      </c>
      <c r="AX20" s="54">
        <f t="shared" si="33"/>
        <v>0.74149641834895785</v>
      </c>
      <c r="AY20" s="54">
        <f t="shared" si="33"/>
        <v>-0.28331691734799325</v>
      </c>
      <c r="AZ20" s="54">
        <f t="shared" si="33"/>
        <v>-0.11980857807567524</v>
      </c>
      <c r="BA20" s="54">
        <f t="shared" si="33"/>
        <v>0.34065309443909197</v>
      </c>
      <c r="BB20" s="54">
        <f t="shared" si="33"/>
        <v>-0.45334517223935622</v>
      </c>
      <c r="BC20" s="54">
        <f t="shared" si="33"/>
        <v>1.5748059522957245</v>
      </c>
      <c r="BD20" s="54">
        <f t="shared" si="33"/>
        <v>-0.4774671862285369</v>
      </c>
      <c r="BE20" s="54">
        <f t="shared" si="33"/>
        <v>-0.10032136475693221</v>
      </c>
      <c r="BF20" s="54">
        <f t="shared" si="33"/>
        <v>-0.10672365677982942</v>
      </c>
      <c r="BG20" s="54">
        <f t="shared" si="33"/>
        <v>-5.1483974199127536E-2</v>
      </c>
      <c r="BH20" s="54">
        <f t="shared" si="33"/>
        <v>0.95710552772065483</v>
      </c>
      <c r="BI20" s="54">
        <f t="shared" si="33"/>
        <v>0.44568350139079982</v>
      </c>
      <c r="BJ20" s="54">
        <f t="shared" si="33"/>
        <v>-3.8124413830144421E-2</v>
      </c>
      <c r="BK20" s="54">
        <f t="shared" si="33"/>
        <v>-0.1188726630823248</v>
      </c>
      <c r="BL20" s="54">
        <f t="shared" si="33"/>
        <v>-0.19893225081303645</v>
      </c>
      <c r="BM20" s="54">
        <f t="shared" si="33"/>
        <v>-0.22416183070134488</v>
      </c>
      <c r="BN20" s="54">
        <f t="shared" si="33"/>
        <v>-0.37895474294078546</v>
      </c>
      <c r="BO20" s="54">
        <f t="shared" si="33"/>
        <v>1.3274405966033362</v>
      </c>
      <c r="BP20" s="54">
        <f t="shared" si="33"/>
        <v>-0.22777675701875388</v>
      </c>
      <c r="BQ20" s="54">
        <f t="shared" si="33"/>
        <v>4.7457597428586684E-2</v>
      </c>
      <c r="BR20" s="54">
        <f t="shared" si="33"/>
        <v>1.2444171975245277E-2</v>
      </c>
      <c r="BS20" s="54">
        <f t="shared" si="33"/>
        <v>-6.282384582530276E-2</v>
      </c>
      <c r="BT20" s="54">
        <f t="shared" si="33"/>
        <v>-0.2597026276833766</v>
      </c>
      <c r="BU20" s="54">
        <f t="shared" si="33"/>
        <v>-7.5242480957193436E-2</v>
      </c>
      <c r="BV20" s="54">
        <f t="shared" si="33"/>
        <v>0.44476001404751897</v>
      </c>
      <c r="BW20" s="54">
        <f t="shared" si="33"/>
        <v>0.28113095068777483</v>
      </c>
      <c r="BX20" s="54">
        <f t="shared" si="33"/>
        <v>0.35671998274993832</v>
      </c>
      <c r="BY20" s="54">
        <f t="shared" si="33"/>
        <v>-0.5312080675097175</v>
      </c>
      <c r="BZ20" s="54">
        <f t="shared" si="33"/>
        <v>0.12925300683078245</v>
      </c>
      <c r="CA20" s="54">
        <f t="shared" si="33"/>
        <v>-0.19041604344782348</v>
      </c>
      <c r="CB20" s="54">
        <f t="shared" si="33"/>
        <v>0.29575899462559851</v>
      </c>
      <c r="CC20" s="54">
        <f t="shared" si="33"/>
        <v>0.84429372566676819</v>
      </c>
      <c r="CD20" s="54">
        <f t="shared" si="33"/>
        <v>-0.44984150970705772</v>
      </c>
      <c r="CE20" s="54">
        <f t="shared" si="33"/>
        <v>0.37613677199443329</v>
      </c>
      <c r="CF20" s="54">
        <f t="shared" si="33"/>
        <v>-0.14962916104937196</v>
      </c>
      <c r="CG20" s="54">
        <f t="shared" si="33"/>
        <v>-0.31367307453138193</v>
      </c>
      <c r="CH20" s="54">
        <f t="shared" si="33"/>
        <v>0.63841659437603226</v>
      </c>
      <c r="CI20" s="54">
        <f t="shared" si="33"/>
        <v>-6.0568764217502458E-2</v>
      </c>
      <c r="CJ20" s="54">
        <f t="shared" si="33"/>
        <v>-0.40989298367985105</v>
      </c>
      <c r="CK20" s="54">
        <f t="shared" si="33"/>
        <v>0.49856831113023548</v>
      </c>
      <c r="CL20" s="54">
        <f t="shared" si="33"/>
        <v>0.17433282920636839</v>
      </c>
      <c r="CM20" s="54">
        <f t="shared" si="33"/>
        <v>-0.27947242987597865</v>
      </c>
      <c r="CN20" s="54">
        <f t="shared" si="33"/>
        <v>0.43227578071489892</v>
      </c>
      <c r="CO20" s="54">
        <f t="shared" si="33"/>
        <v>-0.12511604291866707</v>
      </c>
      <c r="CP20" s="54">
        <f t="shared" si="33"/>
        <v>0.68931913663116595</v>
      </c>
      <c r="CQ20" s="54">
        <f t="shared" si="33"/>
        <v>-0.34807545148395336</v>
      </c>
      <c r="CR20" s="54">
        <f t="shared" si="33"/>
        <v>-0.23361439270615691</v>
      </c>
      <c r="CS20" s="54">
        <f t="shared" si="33"/>
        <v>0.40548829365418171</v>
      </c>
      <c r="CT20" s="54">
        <f t="shared" si="33"/>
        <v>0.15642563929824571</v>
      </c>
      <c r="CU20" s="54">
        <f t="shared" si="33"/>
        <v>-0.14712330335586243</v>
      </c>
      <c r="CV20" s="54">
        <f t="shared" si="33"/>
        <v>-6.7121984371012466E-2</v>
      </c>
      <c r="CW20" s="54">
        <f t="shared" si="33"/>
        <v>0.27974133180319427</v>
      </c>
      <c r="CX20" s="54">
        <f t="shared" si="33"/>
        <v>-0.1700903920458593</v>
      </c>
      <c r="CY20" s="54">
        <f t="shared" si="33"/>
        <v>0.50627615549579286</v>
      </c>
      <c r="CZ20" s="54">
        <f t="shared" si="33"/>
        <v>-0.17248934340634292</v>
      </c>
      <c r="DA20" s="54">
        <f t="shared" si="33"/>
        <v>-0.37526896409493882</v>
      </c>
      <c r="DB20" s="54">
        <f t="shared" si="33"/>
        <v>0.14323373451934263</v>
      </c>
      <c r="DC20" s="54">
        <f t="shared" si="33"/>
        <v>0.52197008010703905</v>
      </c>
      <c r="DD20" s="54">
        <f t="shared" si="33"/>
        <v>-0.31340882129150416</v>
      </c>
      <c r="DE20" s="54">
        <f t="shared" si="33"/>
        <v>-1.5839501903748943E-2</v>
      </c>
      <c r="DF20" s="54">
        <f t="shared" si="33"/>
        <v>0.12331540844281563</v>
      </c>
      <c r="DG20" s="54">
        <f t="shared" si="33"/>
        <v>-5.1146130887352093E-2</v>
      </c>
      <c r="DH20" s="54">
        <f t="shared" si="33"/>
        <v>0.1088438771935194</v>
      </c>
      <c r="DI20" s="54">
        <f t="shared" si="33"/>
        <v>-0.12120849537584688</v>
      </c>
      <c r="DJ20" s="54">
        <f t="shared" si="33"/>
        <v>2.0081188154017049E-2</v>
      </c>
      <c r="DK20" s="54">
        <f t="shared" si="33"/>
        <v>0.51110569302468689</v>
      </c>
      <c r="DL20" s="54">
        <f t="shared" si="33"/>
        <v>-0.34768828169825838</v>
      </c>
      <c r="DM20" s="54">
        <f t="shared" si="33"/>
        <v>-0.11969444493844306</v>
      </c>
      <c r="DN20" s="54">
        <f t="shared" si="33"/>
        <v>0.21915392344271067</v>
      </c>
      <c r="DO20" s="54">
        <f t="shared" si="33"/>
        <v>1.0238688997548762E-2</v>
      </c>
      <c r="DP20" s="54">
        <f t="shared" si="33"/>
        <v>-0.34713528977506924</v>
      </c>
      <c r="DQ20" s="54">
        <f t="shared" si="33"/>
        <v>0.23261543795753492</v>
      </c>
      <c r="DR20" s="54">
        <f t="shared" si="33"/>
        <v>0.32520545479918805</v>
      </c>
      <c r="DS20" s="54">
        <f t="shared" si="33"/>
        <v>0.26724225870872709</v>
      </c>
      <c r="DT20" s="54">
        <f t="shared" si="33"/>
        <v>0.56178974513276203</v>
      </c>
      <c r="DU20" s="54">
        <f t="shared" si="33"/>
        <v>-0.53106076866982177</v>
      </c>
      <c r="DV20" s="54">
        <f t="shared" si="33"/>
        <v>-7.918874468952497E-2</v>
      </c>
      <c r="DW20" s="54">
        <f t="shared" si="33"/>
        <v>-0.13843192891594447</v>
      </c>
      <c r="DX20" s="54">
        <f t="shared" si="33"/>
        <v>0.10835932772967416</v>
      </c>
      <c r="DY20" s="54">
        <f t="shared" si="33"/>
        <v>6.3519718810556958E-2</v>
      </c>
      <c r="DZ20" s="54">
        <f t="shared" si="33"/>
        <v>-6.0403118727772376E-2</v>
      </c>
      <c r="EA20" s="54">
        <f t="shared" si="33"/>
        <v>0.51283944741070053</v>
      </c>
      <c r="EB20" s="54">
        <f t="shared" si="33"/>
        <v>-0.19222723530925312</v>
      </c>
      <c r="EC20" s="54">
        <f t="shared" si="33"/>
        <v>0.17163618004686421</v>
      </c>
      <c r="ED20" s="54">
        <f t="shared" si="33"/>
        <v>-0.37960574733425556</v>
      </c>
      <c r="EE20" s="54">
        <f t="shared" si="33"/>
        <v>-0.32217193953915946</v>
      </c>
      <c r="EF20" s="54">
        <f t="shared" si="33"/>
        <v>0.83498480678171272</v>
      </c>
      <c r="EG20" s="54">
        <f t="shared" si="33"/>
        <v>0.35747218269185255</v>
      </c>
      <c r="EH20" s="54">
        <f t="shared" si="33"/>
        <v>-2.9699920259966706E-2</v>
      </c>
      <c r="EI20" s="54">
        <f t="shared" si="33"/>
        <v>0.2370397950158889</v>
      </c>
      <c r="EJ20" s="54">
        <f t="shared" si="33"/>
        <v>-0.40092193000486043</v>
      </c>
      <c r="EK20" s="54">
        <f t="shared" si="33"/>
        <v>0.1434306904577991</v>
      </c>
      <c r="EL20" s="54">
        <f t="shared" si="33"/>
        <v>-0.13242451756135554</v>
      </c>
      <c r="EM20" s="54">
        <f t="shared" si="33"/>
        <v>0.33767166091300771</v>
      </c>
      <c r="EN20" s="54">
        <f t="shared" si="33"/>
        <v>-5.2778470052728732E-2</v>
      </c>
      <c r="EO20" s="54">
        <f t="shared" si="33"/>
        <v>0.40193072565852939</v>
      </c>
      <c r="EP20" s="54">
        <f t="shared" si="33"/>
        <v>-0.29839044305359241</v>
      </c>
      <c r="EQ20" s="54">
        <f t="shared" si="33"/>
        <v>2.7256293025808898E-2</v>
      </c>
      <c r="ER20" s="54">
        <f t="shared" si="33"/>
        <v>-0.26900517446641514</v>
      </c>
      <c r="ES20" s="54">
        <f t="shared" si="33"/>
        <v>0.61571334129585109</v>
      </c>
      <c r="ET20" s="54">
        <f t="shared" si="33"/>
        <v>-0.46669417883739484</v>
      </c>
      <c r="EU20" s="54">
        <f t="shared" si="33"/>
        <v>0.35018202497677242</v>
      </c>
      <c r="EV20" s="54">
        <f t="shared" si="33"/>
        <v>0.40392508566837448</v>
      </c>
      <c r="EW20" s="54">
        <f t="shared" si="33"/>
        <v>-0.10853821512591555</v>
      </c>
      <c r="EX20" s="54">
        <f t="shared" si="33"/>
        <v>0.58793978960435545</v>
      </c>
      <c r="EY20" s="54">
        <f t="shared" si="33"/>
        <v>-0.16012672863089861</v>
      </c>
      <c r="EZ20" s="54">
        <f t="shared" si="33"/>
        <v>-0.29446468363184231</v>
      </c>
      <c r="FA20" s="54">
        <f t="shared" si="33"/>
        <v>0.26631891066340851</v>
      </c>
      <c r="FB20" s="54">
        <f t="shared" si="33"/>
        <v>4.6972611469853653E-2</v>
      </c>
      <c r="FC20" s="54">
        <f t="shared" si="33"/>
        <v>-0.10613224889895367</v>
      </c>
      <c r="FD20" s="54">
        <f t="shared" si="33"/>
        <v>0.18352953189447252</v>
      </c>
      <c r="FE20" s="54">
        <f t="shared" si="33"/>
        <v>-0.2049484009014293</v>
      </c>
      <c r="FF20" s="54">
        <f t="shared" si="33"/>
        <v>-8.9570136237813958E-2</v>
      </c>
      <c r="FG20" s="54">
        <f t="shared" si="33"/>
        <v>-1.4524918607294657E-2</v>
      </c>
      <c r="FH20" s="54">
        <f t="shared" si="33"/>
        <v>-9.1142540909543324E-2</v>
      </c>
      <c r="FI20" s="54">
        <f t="shared" si="33"/>
        <v>2.2842971439859472E-2</v>
      </c>
      <c r="FJ20" s="54">
        <f t="shared" si="33"/>
        <v>0.28491036602287001</v>
      </c>
      <c r="FK20" s="54">
        <f t="shared" si="33"/>
        <v>0.3669290296327401</v>
      </c>
      <c r="FL20" s="54">
        <f t="shared" si="33"/>
        <v>-0.20697859953132647</v>
      </c>
      <c r="FM20" s="54">
        <f t="shared" si="33"/>
        <v>-0.1485876016996921</v>
      </c>
      <c r="FN20" s="54">
        <f t="shared" si="33"/>
        <v>-8.7100792444969599E-3</v>
      </c>
      <c r="FO20" s="54">
        <f t="shared" si="33"/>
        <v>-0.18452075569474757</v>
      </c>
      <c r="FP20" s="54">
        <f t="shared" si="33"/>
        <v>0.55444787642127302</v>
      </c>
      <c r="FQ20" s="54">
        <f t="shared" si="33"/>
        <v>-2.8558520845396229E-2</v>
      </c>
      <c r="FR20" s="54">
        <f t="shared" si="33"/>
        <v>-0.33143546495886589</v>
      </c>
      <c r="FS20" s="54">
        <f t="shared" si="33"/>
        <v>0.23566608147655144</v>
      </c>
      <c r="FT20" s="54">
        <f t="shared" si="33"/>
        <v>0.18784787919049584</v>
      </c>
      <c r="FU20" s="54">
        <f t="shared" si="33"/>
        <v>9.3676597400309314E-2</v>
      </c>
      <c r="FV20" s="54">
        <f t="shared" si="33"/>
        <v>0.26003812001601911</v>
      </c>
      <c r="FW20" s="54">
        <f t="shared" si="33"/>
        <v>-0.10866447022002446</v>
      </c>
      <c r="FX20" s="54">
        <f t="shared" si="33"/>
        <v>-0.34431066727649517</v>
      </c>
      <c r="FY20" s="54">
        <f t="shared" si="33"/>
        <v>0.30388001591078351</v>
      </c>
      <c r="FZ20" s="54">
        <f t="shared" si="33"/>
        <v>-6.5276475398750367E-2</v>
      </c>
      <c r="GA20" s="54">
        <f t="shared" si="33"/>
        <v>0.17238740583388035</v>
      </c>
      <c r="GB20" s="54">
        <f t="shared" si="33"/>
        <v>0.21681426646165902</v>
      </c>
      <c r="GC20" s="54">
        <f t="shared" si="33"/>
        <v>5.5654984145797615E-2</v>
      </c>
      <c r="GD20" s="54">
        <f t="shared" si="33"/>
        <v>-0.34215778443089784</v>
      </c>
      <c r="GE20" s="54">
        <f t="shared" si="33"/>
        <v>-2.7973979895724477E-2</v>
      </c>
      <c r="GF20" s="54">
        <f t="shared" si="33"/>
        <v>0.27228209360502764</v>
      </c>
      <c r="GG20" s="54">
        <f t="shared" si="33"/>
        <v>-0.21251022619190896</v>
      </c>
      <c r="GH20" s="54">
        <f t="shared" si="33"/>
        <v>0.30418233639540393</v>
      </c>
      <c r="GI20" s="54">
        <f t="shared" si="33"/>
        <v>-0.47161522470813211</v>
      </c>
      <c r="GJ20" s="54">
        <f t="shared" si="33"/>
        <v>0.63255361287448419</v>
      </c>
      <c r="GK20" s="54">
        <f t="shared" si="33"/>
        <v>-0.23392797094134998</v>
      </c>
      <c r="GL20" s="54">
        <f t="shared" si="33"/>
        <v>0.17316566246125209</v>
      </c>
      <c r="GM20" s="54">
        <f t="shared" si="33"/>
        <v>-0.10948041399536135</v>
      </c>
      <c r="GN20" s="54">
        <f t="shared" si="33"/>
        <v>0.18367291173818789</v>
      </c>
      <c r="GO20" s="54">
        <f t="shared" si="33"/>
        <v>-1.6100690642902427E-2</v>
      </c>
      <c r="GP20" s="54">
        <f t="shared" si="33"/>
        <v>0.11059880047143134</v>
      </c>
      <c r="GQ20" s="54">
        <f t="shared" si="33"/>
        <v>4.6152106433559714E-2</v>
      </c>
      <c r="GR20" s="54">
        <f t="shared" si="33"/>
        <v>-8.3307574045516808E-2</v>
      </c>
      <c r="GS20" s="54">
        <f t="shared" si="33"/>
        <v>0.24225948376597395</v>
      </c>
      <c r="GT20" s="54">
        <f t="shared" si="33"/>
        <v>0.10129841164141462</v>
      </c>
      <c r="GU20" s="54">
        <f t="shared" si="33"/>
        <v>-0.11494292084111424</v>
      </c>
      <c r="GV20" s="54">
        <f t="shared" si="33"/>
        <v>-8.2443920614578836E-3</v>
      </c>
      <c r="GW20" s="54">
        <f t="shared" si="33"/>
        <v>0.35022976229337122</v>
      </c>
      <c r="GX20" s="54">
        <f t="shared" si="33"/>
        <v>-0.18328384536519293</v>
      </c>
      <c r="GY20" s="54">
        <f t="shared" si="33"/>
        <v>-0.31490894683856407</v>
      </c>
      <c r="GZ20" s="54">
        <f t="shared" si="33"/>
        <v>0.3673500935859999</v>
      </c>
      <c r="HA20" s="54">
        <f t="shared" si="33"/>
        <v>-6.7172196903181991E-2</v>
      </c>
      <c r="HB20" s="54">
        <f t="shared" si="33"/>
        <v>-0.23642386891070222</v>
      </c>
      <c r="HC20" s="54">
        <f t="shared" si="33"/>
        <v>-8.2525183237246447E-3</v>
      </c>
      <c r="HD20" s="54">
        <f t="shared" si="33"/>
        <v>-2.9123166812118462E-2</v>
      </c>
      <c r="HE20" s="54">
        <f t="shared" si="33"/>
        <v>0.13350814517187271</v>
      </c>
      <c r="HF20" s="54">
        <f t="shared" si="33"/>
        <v>0.23402059496373173</v>
      </c>
      <c r="HG20" s="54">
        <f t="shared" si="33"/>
        <v>0.1811521413889039</v>
      </c>
      <c r="HH20" s="54">
        <f t="shared" si="33"/>
        <v>0.19037918697426104</v>
      </c>
      <c r="HI20" s="54">
        <f t="shared" si="33"/>
        <v>-0.34433233737718061</v>
      </c>
      <c r="HJ20" s="54">
        <f t="shared" si="33"/>
        <v>-0.11204889787992367</v>
      </c>
      <c r="HK20" s="54">
        <f t="shared" si="33"/>
        <v>0.12609778550095507</v>
      </c>
      <c r="HL20" s="54">
        <f t="shared" si="33"/>
        <v>-6.4492596951220449E-2</v>
      </c>
      <c r="HM20" s="54">
        <f t="shared" si="33"/>
        <v>0.54961832477356598</v>
      </c>
      <c r="HN20" s="54">
        <f t="shared" si="33"/>
        <v>-0.12499516687699475</v>
      </c>
      <c r="HO20" s="54">
        <f t="shared" si="33"/>
        <v>-0.26927290646665081</v>
      </c>
      <c r="HP20" s="54">
        <f t="shared" si="33"/>
        <v>-9.7346457800613462E-2</v>
      </c>
      <c r="HQ20" s="54">
        <f t="shared" si="33"/>
        <v>0.14816732442626179</v>
      </c>
      <c r="HR20" s="54">
        <f t="shared" si="33"/>
        <v>-8.6345435108718838E-2</v>
      </c>
      <c r="HS20" s="54">
        <f t="shared" si="33"/>
        <v>-2.0262732002647499E-2</v>
      </c>
      <c r="HT20" s="54">
        <f t="shared" si="33"/>
        <v>0.12886867806516822</v>
      </c>
      <c r="HU20" s="54">
        <f t="shared" si="33"/>
        <v>0.57838234846751058</v>
      </c>
      <c r="HV20" s="54">
        <f t="shared" si="33"/>
        <v>-0.21661407291989865</v>
      </c>
      <c r="HW20" s="54">
        <f t="shared" si="33"/>
        <v>-0.16861997479649038</v>
      </c>
      <c r="HX20" s="54">
        <f t="shared" si="33"/>
        <v>0.16082879845099485</v>
      </c>
      <c r="HY20" s="54">
        <f t="shared" si="33"/>
        <v>0.17762875974062897</v>
      </c>
      <c r="HZ20" s="54">
        <f t="shared" si="33"/>
        <v>-0.31788854187207416</v>
      </c>
      <c r="IA20" s="54">
        <f t="shared" si="33"/>
        <v>0.17384972545693111</v>
      </c>
      <c r="IB20" s="54">
        <f t="shared" si="33"/>
        <v>0.15427254447566874</v>
      </c>
      <c r="IC20" s="54">
        <f t="shared" si="33"/>
        <v>-0.18645219317287132</v>
      </c>
      <c r="ID20" s="54">
        <f t="shared" si="33"/>
        <v>-0.17214502194351655</v>
      </c>
      <c r="IE20" s="54">
        <f t="shared" si="33"/>
        <v>9.8348962178178123E-2</v>
      </c>
      <c r="IF20" s="54">
        <f t="shared" si="33"/>
        <v>0.37208051576871637</v>
      </c>
      <c r="IG20" s="54">
        <f t="shared" si="33"/>
        <v>-0.13908760715675916</v>
      </c>
      <c r="IH20" s="54">
        <f t="shared" si="33"/>
        <v>5.2601755269668482E-2</v>
      </c>
      <c r="II20" s="54">
        <f t="shared" si="33"/>
        <v>2.9820906719665974E-2</v>
      </c>
      <c r="IJ20" s="54">
        <f t="shared" si="33"/>
        <v>4.9549391531926723E-2</v>
      </c>
      <c r="IK20" s="54">
        <f t="shared" si="33"/>
        <v>0.14747039529328965</v>
      </c>
      <c r="IL20" s="54">
        <f t="shared" si="33"/>
        <v>0.49998217656534849</v>
      </c>
      <c r="IM20" s="54">
        <f t="shared" si="33"/>
        <v>-0.14867374385671073</v>
      </c>
      <c r="IN20" s="54">
        <f t="shared" si="33"/>
        <v>-0.25369785769161235</v>
      </c>
      <c r="IO20" s="54">
        <f t="shared" si="33"/>
        <v>-0.15163072213542861</v>
      </c>
      <c r="IP20" s="54">
        <f t="shared" si="33"/>
        <v>0.10300726296470741</v>
      </c>
      <c r="IQ20" s="54">
        <f t="shared" si="33"/>
        <v>0.15012524840494068</v>
      </c>
      <c r="IR20" s="54">
        <f t="shared" si="33"/>
        <v>-5.1185041848713086E-2</v>
      </c>
      <c r="IS20" s="54">
        <f t="shared" si="33"/>
        <v>-0.2849604420814994</v>
      </c>
      <c r="IT20" s="54">
        <f t="shared" si="33"/>
        <v>0.34823455724031938</v>
      </c>
      <c r="IU20" s="54">
        <f t="shared" si="33"/>
        <v>-0.19001129827965135</v>
      </c>
      <c r="IV20" s="54">
        <f t="shared" si="33"/>
        <v>-7.7024494582042413E-2</v>
      </c>
      <c r="IW20" s="54">
        <f t="shared" si="33"/>
        <v>0.56435465837308318</v>
      </c>
      <c r="IX20" s="54">
        <f t="shared" si="33"/>
        <v>0.15821326230922472</v>
      </c>
      <c r="IY20" s="54">
        <f t="shared" ref="IY20:SS20" si="34">IY19/IX19-1</f>
        <v>-5.0718238783267422E-2</v>
      </c>
      <c r="IZ20" s="54">
        <f t="shared" si="34"/>
        <v>-7.0769541534310143E-3</v>
      </c>
      <c r="JA20" s="54">
        <f t="shared" si="34"/>
        <v>-0.25835355092401446</v>
      </c>
      <c r="JB20" s="54">
        <f t="shared" si="34"/>
        <v>-7.5724012465326229E-2</v>
      </c>
      <c r="JC20" s="54">
        <f t="shared" si="34"/>
        <v>0.70873415760753478</v>
      </c>
      <c r="JD20" s="54">
        <f t="shared" si="34"/>
        <v>-0.37878173382232938</v>
      </c>
      <c r="JE20" s="54">
        <f t="shared" si="34"/>
        <v>0.18041428023981188</v>
      </c>
      <c r="JF20" s="54">
        <f t="shared" si="34"/>
        <v>-8.8076478814881787E-2</v>
      </c>
      <c r="JG20" s="54">
        <f t="shared" si="34"/>
        <v>-0.12577419948463742</v>
      </c>
      <c r="JH20" s="54">
        <f t="shared" si="34"/>
        <v>4.2133805313311123E-2</v>
      </c>
      <c r="JI20" s="54">
        <f t="shared" si="34"/>
        <v>-6.895457803333338E-3</v>
      </c>
      <c r="JJ20" s="54">
        <f t="shared" si="34"/>
        <v>0.23704096037050126</v>
      </c>
      <c r="JK20" s="54">
        <f t="shared" si="34"/>
        <v>-4.0677258215844558E-2</v>
      </c>
      <c r="JL20" s="54">
        <f t="shared" si="34"/>
        <v>9.6023369655608981E-3</v>
      </c>
      <c r="JM20" s="54">
        <f t="shared" si="34"/>
        <v>-5.2102607224040365E-2</v>
      </c>
      <c r="JN20" s="54">
        <f t="shared" si="34"/>
        <v>-0.14781858487148858</v>
      </c>
      <c r="JO20" s="54">
        <f t="shared" si="34"/>
        <v>0.30462578152712316</v>
      </c>
      <c r="JP20" s="54">
        <f t="shared" si="34"/>
        <v>0.35460519585598016</v>
      </c>
      <c r="JQ20" s="54">
        <f t="shared" si="34"/>
        <v>-3.0505700898580956E-2</v>
      </c>
      <c r="JR20" s="54">
        <f t="shared" si="34"/>
        <v>-0.15539257917615468</v>
      </c>
      <c r="JS20" s="54">
        <f t="shared" si="34"/>
        <v>0.17852575104244117</v>
      </c>
      <c r="JT20" s="54">
        <f t="shared" si="34"/>
        <v>-0.15801870275954943</v>
      </c>
      <c r="JU20" s="54">
        <f t="shared" si="34"/>
        <v>-0.13984799996691544</v>
      </c>
      <c r="JV20" s="54">
        <f t="shared" si="34"/>
        <v>7.0790631461358666E-2</v>
      </c>
      <c r="JW20" s="54">
        <f t="shared" si="34"/>
        <v>-0.20000972296044717</v>
      </c>
      <c r="JX20" s="54">
        <f t="shared" si="34"/>
        <v>0.3683215971417555</v>
      </c>
      <c r="JY20" s="54">
        <f t="shared" si="34"/>
        <v>-4.064486079642271E-3</v>
      </c>
      <c r="JZ20" s="54">
        <f t="shared" si="34"/>
        <v>-6.6851704440551885E-2</v>
      </c>
      <c r="KA20" s="54">
        <f t="shared" si="34"/>
        <v>-0.1455201153580844</v>
      </c>
      <c r="KB20" s="54">
        <f t="shared" si="34"/>
        <v>-0.16747208380588852</v>
      </c>
      <c r="KC20" s="54">
        <f t="shared" si="34"/>
        <v>0.39669448454655054</v>
      </c>
      <c r="KD20" s="54">
        <f t="shared" si="34"/>
        <v>0.33088745268418074</v>
      </c>
      <c r="KE20" s="54">
        <f t="shared" si="34"/>
        <v>-0.26049151937992709</v>
      </c>
      <c r="KF20" s="54">
        <f t="shared" si="34"/>
        <v>0.16415567651598906</v>
      </c>
      <c r="KG20" s="54">
        <f t="shared" si="34"/>
        <v>-1.7236291300903872E-5</v>
      </c>
      <c r="KH20" s="54">
        <f t="shared" si="34"/>
        <v>-0.28247865654622739</v>
      </c>
      <c r="KI20" s="54">
        <f t="shared" si="34"/>
        <v>0.14468224860416412</v>
      </c>
      <c r="KJ20" s="54">
        <f t="shared" si="34"/>
        <v>-4.2336569714444772E-2</v>
      </c>
      <c r="KK20" s="54">
        <f t="shared" si="34"/>
        <v>-3.9186639215993191E-2</v>
      </c>
      <c r="KL20" s="54">
        <f t="shared" si="34"/>
        <v>-0.2214268105254863</v>
      </c>
      <c r="KM20" s="54">
        <f t="shared" si="34"/>
        <v>0.17091450555503362</v>
      </c>
      <c r="KN20" s="54">
        <f t="shared" si="34"/>
        <v>0.18403707048701556</v>
      </c>
      <c r="KO20" s="54">
        <f t="shared" si="34"/>
        <v>-9.049512319465336E-2</v>
      </c>
      <c r="KP20" s="54">
        <f t="shared" si="34"/>
        <v>-0.1896054741283173</v>
      </c>
      <c r="KQ20" s="54">
        <f t="shared" si="34"/>
        <v>0.30098583474931884</v>
      </c>
      <c r="KR20" s="54">
        <f t="shared" si="34"/>
        <v>2.0190951016528347E-2</v>
      </c>
      <c r="KS20" s="54">
        <f t="shared" si="34"/>
        <v>-1.779651467845389E-2</v>
      </c>
      <c r="KT20" s="54">
        <f t="shared" si="34"/>
        <v>0.29931386016743344</v>
      </c>
      <c r="KU20" s="54">
        <f t="shared" si="34"/>
        <v>-0.14034935788229996</v>
      </c>
      <c r="KV20" s="54">
        <f t="shared" si="34"/>
        <v>0.41020958764911142</v>
      </c>
      <c r="KW20" s="54">
        <f t="shared" si="34"/>
        <v>5.0747130471731072E-2</v>
      </c>
      <c r="KX20" s="54">
        <f t="shared" si="34"/>
        <v>-0.39306491998295889</v>
      </c>
      <c r="KY20" s="54">
        <f t="shared" si="34"/>
        <v>9.6798460505524986E-2</v>
      </c>
      <c r="KZ20" s="54">
        <f t="shared" si="34"/>
        <v>-8.2977550705316538E-2</v>
      </c>
      <c r="LA20" s="54">
        <f t="shared" si="34"/>
        <v>0.42076873224997424</v>
      </c>
      <c r="LB20" s="54">
        <f t="shared" si="34"/>
        <v>-4.8804866083305032E-2</v>
      </c>
      <c r="LC20" s="54">
        <f t="shared" si="34"/>
        <v>-0.21219999630097841</v>
      </c>
      <c r="LD20" s="54">
        <f t="shared" si="34"/>
        <v>7.2001766936644618E-3</v>
      </c>
      <c r="LE20" s="54">
        <f t="shared" si="34"/>
        <v>8.9246127251709551E-2</v>
      </c>
      <c r="LF20" s="54">
        <f t="shared" si="34"/>
        <v>-6.878441010403491E-2</v>
      </c>
      <c r="LG20" s="54">
        <f t="shared" si="34"/>
        <v>-0.21954288362734709</v>
      </c>
      <c r="LH20" s="54">
        <f t="shared" si="34"/>
        <v>0.30071281349539114</v>
      </c>
      <c r="LI20" s="54">
        <f t="shared" si="34"/>
        <v>0.1706345788572674</v>
      </c>
      <c r="LJ20" s="54">
        <f t="shared" si="34"/>
        <v>0.24738798241819726</v>
      </c>
      <c r="LK20" s="54">
        <f t="shared" si="34"/>
        <v>-0.41716043792739754</v>
      </c>
      <c r="LL20" s="54">
        <f t="shared" si="34"/>
        <v>0.20187579432588509</v>
      </c>
      <c r="LM20" s="54">
        <f t="shared" si="34"/>
        <v>-8.7462822444615118E-2</v>
      </c>
      <c r="LN20" s="54">
        <f t="shared" si="34"/>
        <v>6.8565817583989164E-2</v>
      </c>
      <c r="LO20" s="54">
        <f t="shared" si="34"/>
        <v>4.5475095954665923E-2</v>
      </c>
      <c r="LP20" s="54">
        <f t="shared" si="34"/>
        <v>0.13193712120441936</v>
      </c>
      <c r="LQ20" s="54">
        <f t="shared" si="34"/>
        <v>-9.5967811865960151E-2</v>
      </c>
      <c r="LR20" s="54">
        <f t="shared" si="34"/>
        <v>-6.5703913105330969E-2</v>
      </c>
      <c r="LS20" s="54">
        <f t="shared" si="34"/>
        <v>-0.24801231125158629</v>
      </c>
      <c r="LT20" s="54">
        <f t="shared" si="34"/>
        <v>0.4057306915642267</v>
      </c>
      <c r="LU20" s="54">
        <f t="shared" si="34"/>
        <v>6.8631674580893698E-2</v>
      </c>
      <c r="LV20" s="54">
        <f t="shared" si="34"/>
        <v>6.8120408287814183E-2</v>
      </c>
      <c r="LW20" s="54">
        <f t="shared" si="34"/>
        <v>3.9168186097909397E-2</v>
      </c>
      <c r="LX20" s="54">
        <f t="shared" si="34"/>
        <v>-0.14297940480071292</v>
      </c>
      <c r="LY20" s="54">
        <f t="shared" si="34"/>
        <v>0.36067715691029667</v>
      </c>
      <c r="LZ20" s="54">
        <f t="shared" si="34"/>
        <v>-3.5400648786948263E-2</v>
      </c>
      <c r="MA20" s="54">
        <f t="shared" si="34"/>
        <v>-0.35309548967266291</v>
      </c>
      <c r="MB20" s="54">
        <f t="shared" si="34"/>
        <v>0.12246680856473802</v>
      </c>
      <c r="MC20" s="54">
        <f t="shared" si="34"/>
        <v>0.33619127029507068</v>
      </c>
      <c r="MD20" s="54">
        <f t="shared" si="34"/>
        <v>-3.2631350913560175E-2</v>
      </c>
      <c r="ME20" s="54">
        <f t="shared" si="34"/>
        <v>-0.13004217821769781</v>
      </c>
      <c r="MF20" s="54">
        <f t="shared" si="34"/>
        <v>0.12758267622434283</v>
      </c>
      <c r="MG20" s="54">
        <f t="shared" si="34"/>
        <v>-0.36941316975939731</v>
      </c>
      <c r="MH20" s="54">
        <f t="shared" si="34"/>
        <v>9.4192428484996205E-2</v>
      </c>
      <c r="MI20" s="54">
        <f t="shared" si="34"/>
        <v>-7.1710948297601385E-2</v>
      </c>
      <c r="MJ20" s="54">
        <f t="shared" si="34"/>
        <v>0.49157183532049675</v>
      </c>
      <c r="MK20" s="54">
        <f t="shared" si="34"/>
        <v>-0.13985725783104297</v>
      </c>
      <c r="ML20" s="54">
        <f t="shared" si="34"/>
        <v>-1.0661023341999254E-2</v>
      </c>
      <c r="MM20" s="54">
        <f t="shared" si="34"/>
        <v>0.15359440038918359</v>
      </c>
      <c r="MN20" s="54">
        <f t="shared" si="34"/>
        <v>-0.26896269784048965</v>
      </c>
      <c r="MO20" s="54">
        <f t="shared" si="34"/>
        <v>5.4042649909206597E-2</v>
      </c>
      <c r="MP20" s="54">
        <f t="shared" si="34"/>
        <v>0.4834838188271644</v>
      </c>
      <c r="MQ20" s="54">
        <f t="shared" si="34"/>
        <v>-0.32284763363584446</v>
      </c>
      <c r="MR20" s="54">
        <f t="shared" si="34"/>
        <v>0.21922959888049709</v>
      </c>
      <c r="MS20" s="54">
        <f t="shared" si="34"/>
        <v>-8.5695560675279614E-3</v>
      </c>
      <c r="MT20" s="54">
        <f t="shared" si="34"/>
        <v>-6.7653716013720944E-2</v>
      </c>
      <c r="MU20" s="54">
        <f t="shared" si="34"/>
        <v>0.28944700621743857</v>
      </c>
      <c r="MV20" s="54">
        <f t="shared" si="34"/>
        <v>-0.28870565567422479</v>
      </c>
      <c r="MW20" s="54">
        <f t="shared" si="34"/>
        <v>-0.27228185401599203</v>
      </c>
      <c r="MX20" s="54">
        <f t="shared" si="34"/>
        <v>0.5017031544495103</v>
      </c>
      <c r="MY20" s="54">
        <f t="shared" si="34"/>
        <v>-5.3315772861166955E-2</v>
      </c>
      <c r="MZ20" s="54">
        <f t="shared" si="34"/>
        <v>-0.14738272745910297</v>
      </c>
      <c r="NA20" s="54">
        <f t="shared" si="34"/>
        <v>0.33915632625161951</v>
      </c>
      <c r="NB20" s="54">
        <f t="shared" si="34"/>
        <v>-4.7312835570110678E-2</v>
      </c>
      <c r="NC20" s="54">
        <f t="shared" si="34"/>
        <v>3.0220270008971317E-2</v>
      </c>
      <c r="ND20" s="54">
        <f t="shared" si="34"/>
        <v>-0.18934259749166749</v>
      </c>
      <c r="NE20" s="54">
        <f t="shared" si="34"/>
        <v>0.3640551895998585</v>
      </c>
      <c r="NF20" s="54">
        <f t="shared" si="34"/>
        <v>-5.5769494112276052E-2</v>
      </c>
      <c r="NG20" s="54">
        <f t="shared" si="34"/>
        <v>-0.10272910650501765</v>
      </c>
      <c r="NH20" s="54">
        <f t="shared" si="34"/>
        <v>-0.22458717344940704</v>
      </c>
      <c r="NI20" s="54">
        <f t="shared" si="34"/>
        <v>9.4612305471187597E-2</v>
      </c>
      <c r="NJ20" s="54">
        <f t="shared" si="34"/>
        <v>-0.18285087170996051</v>
      </c>
      <c r="NK20" s="54">
        <f t="shared" si="34"/>
        <v>6.3082448342080433E-2</v>
      </c>
      <c r="NL20" s="54">
        <f t="shared" si="34"/>
        <v>0.27459745742698027</v>
      </c>
      <c r="NM20" s="54">
        <f t="shared" si="34"/>
        <v>-7.750472408095499E-2</v>
      </c>
      <c r="NN20" s="54">
        <f t="shared" si="34"/>
        <v>-0.12747619901106211</v>
      </c>
      <c r="NO20" s="54">
        <f t="shared" si="34"/>
        <v>-7.9598980429669397E-2</v>
      </c>
      <c r="NP20" s="54">
        <f t="shared" si="34"/>
        <v>0.28742055339817485</v>
      </c>
      <c r="NQ20" s="54">
        <f t="shared" si="34"/>
        <v>-3.5255698410930569E-2</v>
      </c>
      <c r="NR20" s="54">
        <f t="shared" si="34"/>
        <v>9.2743058671655554E-2</v>
      </c>
      <c r="NS20" s="54">
        <f t="shared" si="34"/>
        <v>-8.9607178897401329E-2</v>
      </c>
      <c r="NT20" s="54">
        <f t="shared" si="34"/>
        <v>3.9845092640914181E-2</v>
      </c>
      <c r="NU20" s="54">
        <f t="shared" si="34"/>
        <v>0.14053750781995533</v>
      </c>
      <c r="NV20" s="54">
        <f t="shared" si="34"/>
        <v>3.4417011008338605E-2</v>
      </c>
      <c r="NW20" s="54">
        <f t="shared" si="34"/>
        <v>-0.20476921094570166</v>
      </c>
      <c r="NX20" s="54">
        <f t="shared" si="34"/>
        <v>9.8255056794237294E-2</v>
      </c>
      <c r="NY20" s="54">
        <f t="shared" si="34"/>
        <v>-0.13990191036386634</v>
      </c>
      <c r="NZ20" s="54">
        <f t="shared" si="34"/>
        <v>0.45819940050102481</v>
      </c>
      <c r="OA20" s="54">
        <f t="shared" si="34"/>
        <v>-0.19976505289542623</v>
      </c>
      <c r="OB20" s="54">
        <f t="shared" si="34"/>
        <v>-5.1560525709926974E-2</v>
      </c>
      <c r="OC20" s="54">
        <f t="shared" si="34"/>
        <v>-0.20968233741434039</v>
      </c>
      <c r="OD20" s="54">
        <f t="shared" si="34"/>
        <v>0.24047605915830594</v>
      </c>
      <c r="OE20" s="54">
        <f t="shared" si="34"/>
        <v>-0.13199151988111602</v>
      </c>
      <c r="OF20" s="54">
        <f t="shared" si="34"/>
        <v>-0.11322934846581079</v>
      </c>
      <c r="OG20" s="54">
        <f t="shared" si="34"/>
        <v>0.49404755523437616</v>
      </c>
      <c r="OH20" s="54">
        <f t="shared" si="34"/>
        <v>0.11895208168153881</v>
      </c>
      <c r="OI20" s="54">
        <f t="shared" si="34"/>
        <v>0.24414191643194494</v>
      </c>
      <c r="OJ20" s="54">
        <f t="shared" si="34"/>
        <v>2.2768175421424175E-2</v>
      </c>
      <c r="OK20" s="54">
        <f t="shared" si="34"/>
        <v>-0.38001785015960898</v>
      </c>
      <c r="OL20" s="54">
        <f t="shared" si="34"/>
        <v>0.28014781548636725</v>
      </c>
      <c r="OM20" s="54">
        <f t="shared" si="34"/>
        <v>-0.16686570986419169</v>
      </c>
      <c r="ON20" s="54">
        <f t="shared" si="34"/>
        <v>-3.9983941229146946E-2</v>
      </c>
      <c r="OO20" s="54">
        <f t="shared" si="34"/>
        <v>1.9970218307209908E-2</v>
      </c>
      <c r="OP20" s="54">
        <f t="shared" si="34"/>
        <v>-0.14768431498006418</v>
      </c>
      <c r="OQ20" s="54">
        <f t="shared" si="34"/>
        <v>-8.2123748336346281E-2</v>
      </c>
      <c r="OR20" s="54">
        <f t="shared" si="34"/>
        <v>0.14248336657553073</v>
      </c>
      <c r="OS20" s="54">
        <f t="shared" si="34"/>
        <v>-0.17961540753265182</v>
      </c>
      <c r="OT20" s="54">
        <f t="shared" si="34"/>
        <v>0.17415764116879928</v>
      </c>
      <c r="OU20" s="54">
        <f t="shared" si="34"/>
        <v>0.32761301779773278</v>
      </c>
      <c r="OV20" s="54">
        <f t="shared" si="34"/>
        <v>0.42461601112315472</v>
      </c>
      <c r="OW20" s="54">
        <f t="shared" si="34"/>
        <v>-0.14419924607006496</v>
      </c>
      <c r="OX20" s="54">
        <f t="shared" si="34"/>
        <v>-6.3624667119621447E-2</v>
      </c>
      <c r="OY20" s="54">
        <f t="shared" si="34"/>
        <v>8.8241808801869936E-3</v>
      </c>
      <c r="OZ20" s="54">
        <f t="shared" si="34"/>
        <v>-7.4488608083872143E-2</v>
      </c>
      <c r="PA20" s="54">
        <f t="shared" si="34"/>
        <v>-0.13885915921122449</v>
      </c>
      <c r="PB20" s="54">
        <f t="shared" si="34"/>
        <v>8.562524186378484E-3</v>
      </c>
      <c r="PC20" s="54">
        <f t="shared" si="34"/>
        <v>0</v>
      </c>
      <c r="PD20" s="54">
        <f t="shared" si="34"/>
        <v>0.1330289117828749</v>
      </c>
      <c r="PE20" s="54">
        <f t="shared" si="34"/>
        <v>1.8350335935944928E-2</v>
      </c>
      <c r="PF20" s="54">
        <f t="shared" si="34"/>
        <v>-9.5118778420976824E-2</v>
      </c>
      <c r="PG20" s="54">
        <f t="shared" si="34"/>
        <v>-6.4758838974002586E-2</v>
      </c>
      <c r="PH20" s="54">
        <f t="shared" si="34"/>
        <v>4.6342023495005158E-4</v>
      </c>
      <c r="PI20" s="54">
        <f t="shared" si="34"/>
        <v>0.38115840719435901</v>
      </c>
      <c r="PJ20" s="54">
        <f t="shared" si="34"/>
        <v>1.887699846112012E-2</v>
      </c>
      <c r="PK20" s="54">
        <f t="shared" si="34"/>
        <v>0.41445448439114774</v>
      </c>
      <c r="PL20" s="54">
        <f t="shared" si="34"/>
        <v>2.9531769911272043E-2</v>
      </c>
      <c r="PM20" s="54">
        <f t="shared" si="34"/>
        <v>-0.14548314948859564</v>
      </c>
      <c r="PN20" s="54">
        <f t="shared" si="34"/>
        <v>-0.36946313448260304</v>
      </c>
      <c r="PO20" s="54">
        <f t="shared" si="34"/>
        <v>0.3839693507657016</v>
      </c>
      <c r="PP20" s="54">
        <f t="shared" si="34"/>
        <v>-6.9883665315171095E-2</v>
      </c>
      <c r="PQ20" s="54">
        <f t="shared" si="34"/>
        <v>-1.4570534168104721E-2</v>
      </c>
      <c r="PR20" s="54">
        <f t="shared" si="34"/>
        <v>-9.1442015123155307E-2</v>
      </c>
      <c r="PS20" s="54">
        <f t="shared" si="34"/>
        <v>-0.23373050471734125</v>
      </c>
      <c r="PT20" s="54">
        <f t="shared" si="34"/>
        <v>0.30003208983438667</v>
      </c>
      <c r="PU20" s="54">
        <f t="shared" si="34"/>
        <v>-0.24816966714407585</v>
      </c>
      <c r="PV20" s="54">
        <f t="shared" si="34"/>
        <v>0.10841480558267813</v>
      </c>
      <c r="PW20" s="54">
        <f t="shared" si="34"/>
        <v>0.31622372119091602</v>
      </c>
      <c r="PX20" s="54">
        <f t="shared" si="34"/>
        <v>0.13780621229806278</v>
      </c>
      <c r="PY20" s="54">
        <f t="shared" si="34"/>
        <v>6.1460046344353092E-2</v>
      </c>
      <c r="PZ20" s="54">
        <f t="shared" si="34"/>
        <v>1.0445903739764972</v>
      </c>
      <c r="QA20" s="54">
        <f t="shared" si="34"/>
        <v>-0.51972876604588591</v>
      </c>
      <c r="QB20" s="54">
        <f t="shared" si="34"/>
        <v>3.4014510643294082E-2</v>
      </c>
      <c r="QC20" s="54">
        <f t="shared" si="34"/>
        <v>1.3489700847073793E-2</v>
      </c>
      <c r="QD20" s="54">
        <f t="shared" si="34"/>
        <v>-8.2424548732170644E-3</v>
      </c>
      <c r="QE20" s="54">
        <f t="shared" si="34"/>
        <v>-2.2052366186084749E-2</v>
      </c>
      <c r="QF20" s="54">
        <f t="shared" si="34"/>
        <v>-4.1812202744133331E-2</v>
      </c>
      <c r="QG20" s="54">
        <f t="shared" si="34"/>
        <v>-0.26067689814549122</v>
      </c>
      <c r="QH20" s="54">
        <f t="shared" si="34"/>
        <v>0.23576028419962958</v>
      </c>
      <c r="QI20" s="54">
        <f t="shared" si="34"/>
        <v>-1.8258929044775996E-2</v>
      </c>
      <c r="QJ20" s="54">
        <f t="shared" si="34"/>
        <v>8.1340994292478097E-3</v>
      </c>
      <c r="QK20" s="54">
        <f t="shared" si="34"/>
        <v>9.124781493791323E-2</v>
      </c>
      <c r="QL20" s="54">
        <f t="shared" si="34"/>
        <v>9.4488106563750618E-2</v>
      </c>
      <c r="QM20" s="54">
        <f t="shared" si="34"/>
        <v>3.8792675439740076E-2</v>
      </c>
      <c r="QN20" s="54">
        <f t="shared" si="34"/>
        <v>-0.10383869381305355</v>
      </c>
      <c r="QO20" s="54">
        <f t="shared" si="34"/>
        <v>9.3498504977846286E-2</v>
      </c>
      <c r="QP20" s="54">
        <f t="shared" si="34"/>
        <v>0.25440244783739896</v>
      </c>
      <c r="QQ20" s="54">
        <f t="shared" si="34"/>
        <v>-1.1602808882334004E-2</v>
      </c>
      <c r="QR20" s="54">
        <f t="shared" si="34"/>
        <v>-0.25595711281367206</v>
      </c>
      <c r="QS20" s="54">
        <f t="shared" si="34"/>
        <v>0.43172847554874938</v>
      </c>
      <c r="QT20" s="54">
        <f t="shared" si="34"/>
        <v>-8.8341601626254596E-2</v>
      </c>
      <c r="QU20" s="54">
        <f t="shared" si="34"/>
        <v>-0.11935070812739113</v>
      </c>
      <c r="QV20" s="54">
        <f t="shared" si="34"/>
        <v>-2.3205200169748141E-2</v>
      </c>
      <c r="QW20" s="54">
        <f t="shared" si="34"/>
        <v>-3.2745011082328079E-2</v>
      </c>
      <c r="QX20" s="54">
        <f t="shared" si="34"/>
        <v>-3.6780495856404305E-2</v>
      </c>
      <c r="QY20" s="54">
        <f t="shared" si="34"/>
        <v>0.14051909156070952</v>
      </c>
      <c r="QZ20" s="54">
        <f t="shared" si="34"/>
        <v>-0.17921326664079129</v>
      </c>
      <c r="RA20" s="54">
        <f t="shared" si="34"/>
        <v>-6.0598453306328848E-2</v>
      </c>
      <c r="RB20" s="54">
        <f t="shared" si="34"/>
        <v>5.3838988070963101E-2</v>
      </c>
      <c r="RC20" s="54">
        <f t="shared" si="34"/>
        <v>0.23345071393656691</v>
      </c>
      <c r="RD20" s="54">
        <f t="shared" si="34"/>
        <v>-7.0094105008368879E-2</v>
      </c>
      <c r="RE20" s="54">
        <f t="shared" si="34"/>
        <v>0.20621510671935939</v>
      </c>
      <c r="RF20" s="54">
        <f t="shared" si="34"/>
        <v>5.9294773133570677E-2</v>
      </c>
      <c r="RG20" s="54">
        <f t="shared" si="34"/>
        <v>-7.6334850280599831E-2</v>
      </c>
      <c r="RH20" s="54">
        <f t="shared" si="34"/>
        <v>-0.13787154215675668</v>
      </c>
      <c r="RI20" s="54">
        <f t="shared" si="34"/>
        <v>-7.6841108084716336E-2</v>
      </c>
      <c r="RJ20" s="54">
        <f t="shared" si="34"/>
        <v>-5.1884496139506853E-2</v>
      </c>
      <c r="RK20" s="54">
        <f t="shared" si="34"/>
        <v>-5.5194283908948094E-2</v>
      </c>
      <c r="RL20" s="54">
        <f t="shared" si="34"/>
        <v>-3.9613096200351361E-2</v>
      </c>
      <c r="RM20" s="54">
        <f t="shared" si="34"/>
        <v>9.5015206600903124E-2</v>
      </c>
      <c r="RN20" s="54">
        <f t="shared" si="34"/>
        <v>0.19805227853281715</v>
      </c>
      <c r="RO20" s="54">
        <f t="shared" si="34"/>
        <v>-7.5459804143632847E-2</v>
      </c>
      <c r="RP20" s="54">
        <f t="shared" si="34"/>
        <v>-0.29273565723236605</v>
      </c>
      <c r="RQ20" s="54">
        <f t="shared" si="34"/>
        <v>0.18493377704650915</v>
      </c>
      <c r="RR20" s="54">
        <f t="shared" si="34"/>
        <v>0.11949112182264043</v>
      </c>
      <c r="RS20" s="54">
        <f t="shared" si="34"/>
        <v>-5.7992070451110656E-2</v>
      </c>
      <c r="RT20" s="54">
        <f t="shared" si="34"/>
        <v>0.60452428915924727</v>
      </c>
      <c r="RU20" s="54">
        <f t="shared" si="34"/>
        <v>0.11808549042277106</v>
      </c>
      <c r="RV20" s="54">
        <f t="shared" si="34"/>
        <v>-0.29074421732252764</v>
      </c>
      <c r="RW20" s="54">
        <f t="shared" si="34"/>
        <v>-0.1066809952015858</v>
      </c>
      <c r="RX20" s="54">
        <f t="shared" si="34"/>
        <v>8.6793249527225669E-2</v>
      </c>
      <c r="RY20" s="54">
        <f t="shared" si="34"/>
        <v>-0.10853883672338349</v>
      </c>
      <c r="RZ20" s="54">
        <f t="shared" si="34"/>
        <v>-3.3207702833837782E-2</v>
      </c>
      <c r="SA20" s="54">
        <f t="shared" si="34"/>
        <v>0.21099527851250466</v>
      </c>
      <c r="SB20" s="54">
        <f t="shared" si="34"/>
        <v>-9.9833382853246944E-2</v>
      </c>
      <c r="SC20" s="54">
        <f t="shared" si="34"/>
        <v>8.6786238166898233E-3</v>
      </c>
      <c r="SD20" s="54">
        <f t="shared" si="34"/>
        <v>-0.13038464224514135</v>
      </c>
      <c r="SE20" s="54">
        <f t="shared" si="34"/>
        <v>-0.13234477241067588</v>
      </c>
      <c r="SF20" s="54">
        <f t="shared" si="34"/>
        <v>0.15271439372714757</v>
      </c>
      <c r="SG20" s="54">
        <f t="shared" si="34"/>
        <v>8.4458841367685222E-2</v>
      </c>
      <c r="SH20" s="54">
        <f t="shared" si="34"/>
        <v>0.33216577772860867</v>
      </c>
      <c r="SI20" s="54">
        <f t="shared" si="34"/>
        <v>-8.2721567693532227E-2</v>
      </c>
      <c r="SJ20" s="54">
        <f t="shared" si="34"/>
        <v>9.4461522373399109E-2</v>
      </c>
      <c r="SK20" s="54">
        <f t="shared" si="34"/>
        <v>-2.9136516872788731E-2</v>
      </c>
      <c r="SL20" s="54">
        <f t="shared" si="34"/>
        <v>-0.19609900041016481</v>
      </c>
      <c r="SM20" s="54">
        <f t="shared" si="34"/>
        <v>0.16459390313964817</v>
      </c>
      <c r="SN20" s="54">
        <f t="shared" si="34"/>
        <v>-0.16648071917753537</v>
      </c>
      <c r="SO20" s="54">
        <f t="shared" si="34"/>
        <v>6.7160280177014364E-3</v>
      </c>
      <c r="SP20" s="54">
        <f t="shared" si="34"/>
        <v>0.33923967467710225</v>
      </c>
      <c r="SQ20" s="54">
        <f t="shared" si="34"/>
        <v>-0.10339043079244647</v>
      </c>
      <c r="SR20" s="54">
        <f t="shared" si="34"/>
        <v>0</v>
      </c>
      <c r="SS20" s="54">
        <f t="shared" si="34"/>
        <v>-0.20309078093457489</v>
      </c>
      <c r="ST20" s="54">
        <f t="shared" ref="ST20:VR20" si="35">ST19/SS19-1</f>
        <v>0.12900377615969272</v>
      </c>
      <c r="SU20" s="54">
        <f t="shared" si="35"/>
        <v>-6.2075957356592215E-2</v>
      </c>
      <c r="SV20" s="54">
        <f t="shared" si="35"/>
        <v>0.15407709602024244</v>
      </c>
      <c r="SW20" s="54">
        <f t="shared" si="35"/>
        <v>6.919865469756914E-2</v>
      </c>
      <c r="SX20" s="54">
        <f t="shared" si="35"/>
        <v>-9.7508443151525959E-2</v>
      </c>
      <c r="SY20" s="54">
        <f t="shared" si="35"/>
        <v>0.40480985601850694</v>
      </c>
      <c r="SZ20" s="54">
        <f t="shared" si="35"/>
        <v>8.335823220184535E-2</v>
      </c>
      <c r="TA20" s="54">
        <f t="shared" si="35"/>
        <v>-0.27529703139499551</v>
      </c>
      <c r="TB20" s="54">
        <f t="shared" si="35"/>
        <v>-5.8834633288089799E-2</v>
      </c>
      <c r="TC20" s="54">
        <f t="shared" si="35"/>
        <v>0.40144814267033002</v>
      </c>
      <c r="TD20" s="54">
        <f t="shared" si="35"/>
        <v>9.0868951841567291E-3</v>
      </c>
      <c r="TE20" s="54">
        <f t="shared" si="35"/>
        <v>-0.14045174715671604</v>
      </c>
      <c r="TF20" s="54">
        <f t="shared" si="35"/>
        <v>-0.14828337157862781</v>
      </c>
      <c r="TG20" s="54">
        <f t="shared" si="35"/>
        <v>7.1500647651956406E-3</v>
      </c>
      <c r="TH20" s="54">
        <f t="shared" si="35"/>
        <v>-0.12863206407388506</v>
      </c>
      <c r="TI20" s="54">
        <f t="shared" si="35"/>
        <v>-7.3115938810546233E-3</v>
      </c>
      <c r="TJ20" s="54">
        <f t="shared" si="35"/>
        <v>0.17625126720121354</v>
      </c>
      <c r="TK20" s="54">
        <f t="shared" si="35"/>
        <v>-0.13141689668746859</v>
      </c>
      <c r="TL20" s="54">
        <f t="shared" si="35"/>
        <v>0.14653197188013478</v>
      </c>
      <c r="TM20" s="54">
        <f t="shared" si="35"/>
        <v>-1.3801294221502447E-2</v>
      </c>
      <c r="TN20" s="54">
        <f t="shared" si="35"/>
        <v>7.1881812185422778E-2</v>
      </c>
      <c r="TO20" s="54">
        <f t="shared" si="35"/>
        <v>-1.9507520466499617E-4</v>
      </c>
      <c r="TP20" s="54">
        <f t="shared" si="35"/>
        <v>-0.10352098908346929</v>
      </c>
      <c r="TQ20" s="54">
        <f t="shared" si="35"/>
        <v>7.9981287110677979E-2</v>
      </c>
      <c r="TR20" s="54">
        <f t="shared" si="35"/>
        <v>0.10915674707618561</v>
      </c>
      <c r="TS20" s="54">
        <f t="shared" si="35"/>
        <v>-0.14528858561677183</v>
      </c>
      <c r="TT20" s="54">
        <f t="shared" si="35"/>
        <v>-3.5019267518201058E-2</v>
      </c>
      <c r="TU20" s="54">
        <f t="shared" si="35"/>
        <v>-2.8059088397637155E-2</v>
      </c>
      <c r="TV20" s="54">
        <f t="shared" si="35"/>
        <v>-6.4597217833720633E-2</v>
      </c>
      <c r="TW20" s="54">
        <f t="shared" si="35"/>
        <v>6.978139656199267E-2</v>
      </c>
      <c r="TX20" s="54">
        <f t="shared" si="35"/>
        <v>3.4841496989951093E-2</v>
      </c>
      <c r="TY20" s="54">
        <f t="shared" si="35"/>
        <v>6.7507684673558943E-2</v>
      </c>
      <c r="TZ20" s="54">
        <f t="shared" si="35"/>
        <v>-0.16757174464129643</v>
      </c>
      <c r="UA20" s="54">
        <f t="shared" si="35"/>
        <v>-3.6941358985063122E-2</v>
      </c>
      <c r="UB20" s="54">
        <f t="shared" si="35"/>
        <v>0.10525502919748231</v>
      </c>
      <c r="UC20" s="54">
        <f t="shared" si="35"/>
        <v>0.36271379625338862</v>
      </c>
      <c r="UD20" s="54">
        <f t="shared" si="35"/>
        <v>-7.3081243569163568E-2</v>
      </c>
      <c r="UE20" s="54">
        <f t="shared" si="35"/>
        <v>2.2048119221498963E-2</v>
      </c>
      <c r="UF20" s="54">
        <f t="shared" si="35"/>
        <v>3.1157778838724726E-2</v>
      </c>
      <c r="UG20" s="54">
        <f t="shared" si="35"/>
        <v>-9.1163878564209377E-2</v>
      </c>
      <c r="UH20" s="54">
        <f t="shared" si="35"/>
        <v>0.13668595308298315</v>
      </c>
      <c r="UI20" s="54">
        <f t="shared" si="35"/>
        <v>-0.11618126641435866</v>
      </c>
      <c r="UJ20" s="54">
        <f t="shared" si="35"/>
        <v>-0.18033669775571959</v>
      </c>
      <c r="UK20" s="54">
        <f t="shared" si="35"/>
        <v>-3.3937784144257632E-2</v>
      </c>
      <c r="UL20" s="54">
        <f t="shared" si="35"/>
        <v>0.21260881246626795</v>
      </c>
      <c r="UM20" s="54">
        <f t="shared" si="35"/>
        <v>-1.7470913590575954E-3</v>
      </c>
      <c r="UN20" s="54">
        <f t="shared" si="35"/>
        <v>-8.8391764209719281E-2</v>
      </c>
      <c r="UO20" s="54">
        <f t="shared" si="35"/>
        <v>-0.21963055376254348</v>
      </c>
      <c r="UP20" s="54">
        <f t="shared" si="35"/>
        <v>0.16684858419485704</v>
      </c>
      <c r="UQ20" s="54">
        <f t="shared" si="35"/>
        <v>0.31225200957240906</v>
      </c>
      <c r="UR20" s="54">
        <f t="shared" si="35"/>
        <v>6.9721856382502834E-2</v>
      </c>
      <c r="US20" s="54">
        <f t="shared" si="35"/>
        <v>-0.10313897488239743</v>
      </c>
      <c r="UT20" s="54">
        <f t="shared" si="35"/>
        <v>2.3836758924585144E-2</v>
      </c>
      <c r="UU20" s="54">
        <f t="shared" si="35"/>
        <v>-4.2247360335595729E-2</v>
      </c>
      <c r="UV20" s="54">
        <f t="shared" si="35"/>
        <v>-0.20573479825305441</v>
      </c>
      <c r="UW20" s="54">
        <f t="shared" si="35"/>
        <v>9.7811939319361274E-2</v>
      </c>
      <c r="UX20" s="54">
        <f t="shared" si="35"/>
        <v>-8.9486477981735923E-2</v>
      </c>
      <c r="UY20" s="54">
        <f t="shared" si="35"/>
        <v>-9.6640300017510672E-2</v>
      </c>
      <c r="UZ20" s="54">
        <f t="shared" si="35"/>
        <v>0.12187997263058126</v>
      </c>
      <c r="VA20" s="54">
        <f t="shared" si="35"/>
        <v>0.26026574831819471</v>
      </c>
      <c r="VB20" s="54">
        <f t="shared" si="35"/>
        <v>-0.19226858904912325</v>
      </c>
      <c r="VC20" s="54">
        <f t="shared" si="35"/>
        <v>-3.847680839404799E-2</v>
      </c>
      <c r="VD20" s="54">
        <f t="shared" si="35"/>
        <v>-2.9313967496346183E-2</v>
      </c>
      <c r="VE20" s="54">
        <f t="shared" si="35"/>
        <v>-8.7602908897361664E-2</v>
      </c>
      <c r="VF20" s="54">
        <f t="shared" si="35"/>
        <v>0</v>
      </c>
      <c r="VG20" s="156">
        <f t="shared" si="35"/>
        <v>0.18080638468202026</v>
      </c>
      <c r="VH20" s="156">
        <f t="shared" si="35"/>
        <v>-1.2099109522317075E-2</v>
      </c>
      <c r="VI20" s="156">
        <f t="shared" si="35"/>
        <v>0.87927267890039107</v>
      </c>
      <c r="VJ20" s="156">
        <f t="shared" si="35"/>
        <v>-0.18559877807222369</v>
      </c>
      <c r="VK20" s="156">
        <f t="shared" si="35"/>
        <v>-0.15101135649191921</v>
      </c>
      <c r="VL20" s="156">
        <f t="shared" si="35"/>
        <v>-0.14128773159059693</v>
      </c>
      <c r="VM20" s="156">
        <f t="shared" si="35"/>
        <v>-5.426972299461319E-3</v>
      </c>
      <c r="VN20" s="156">
        <f t="shared" si="35"/>
        <v>3.1171692715454169E-2</v>
      </c>
      <c r="VO20" s="156">
        <f t="shared" si="35"/>
        <v>4.7507912767911886E-2</v>
      </c>
      <c r="VP20" s="156">
        <f t="shared" si="35"/>
        <v>0.19498661007153362</v>
      </c>
      <c r="VQ20" s="156">
        <f t="shared" si="35"/>
        <v>-0.27556425658655326</v>
      </c>
      <c r="VR20" s="156">
        <f t="shared" si="35"/>
        <v>-7.2199691380385622E-2</v>
      </c>
      <c r="VS20" s="156">
        <v>4.5086952703474736E-2</v>
      </c>
      <c r="VT20" s="156">
        <f t="shared" ref="VT20:WH20" si="36">VT19/VS19-1</f>
        <v>-0.13700463747702651</v>
      </c>
      <c r="VU20" s="156">
        <f t="shared" si="36"/>
        <v>9.432988851935864E-2</v>
      </c>
      <c r="VV20" s="156">
        <f t="shared" si="36"/>
        <v>0.13558470141892798</v>
      </c>
      <c r="VW20" s="156">
        <f t="shared" si="36"/>
        <v>0.36640813558175145</v>
      </c>
      <c r="VX20" s="156">
        <f t="shared" si="36"/>
        <v>-0.10020841454670104</v>
      </c>
      <c r="VY20" s="156">
        <f t="shared" si="36"/>
        <v>-0.27221564813490795</v>
      </c>
      <c r="VZ20" s="156">
        <f t="shared" si="36"/>
        <v>0.15980595898988281</v>
      </c>
      <c r="WA20" s="156">
        <f t="shared" si="36"/>
        <v>0.13324204462401545</v>
      </c>
      <c r="WB20" s="156">
        <f t="shared" si="36"/>
        <v>1.6188852952211841E-2</v>
      </c>
      <c r="WC20" s="156">
        <f t="shared" si="36"/>
        <v>7.2094187816833522E-2</v>
      </c>
      <c r="WD20" s="156">
        <f t="shared" si="36"/>
        <v>1.8282184142722091E-2</v>
      </c>
      <c r="WE20" s="156">
        <f t="shared" si="36"/>
        <v>1.5756614266058122E-3</v>
      </c>
      <c r="WF20" s="156">
        <f t="shared" si="36"/>
        <v>-0.12856980885767144</v>
      </c>
      <c r="WG20" s="156">
        <f t="shared" si="36"/>
        <v>1.6104991095506227E-2</v>
      </c>
      <c r="WH20" s="156">
        <f t="shared" si="36"/>
        <v>-0.10816425629069948</v>
      </c>
      <c r="WI20" s="156">
        <v>0.12991833629999999</v>
      </c>
      <c r="WJ20" s="156">
        <f t="shared" ref="WJ20:WO20" si="37">WJ19/WI19-1</f>
        <v>-9.8984717996241867E-2</v>
      </c>
      <c r="WK20" s="156">
        <f t="shared" si="37"/>
        <v>0.30648012784251977</v>
      </c>
      <c r="WL20" s="156">
        <f t="shared" si="37"/>
        <v>4.8359249491080281E-2</v>
      </c>
      <c r="WM20" s="156">
        <f t="shared" si="37"/>
        <v>-0.13037718362052941</v>
      </c>
      <c r="WN20" s="156">
        <f t="shared" si="37"/>
        <v>0.29062176499481107</v>
      </c>
      <c r="WO20" s="156">
        <f t="shared" si="37"/>
        <v>-0.18577413489080186</v>
      </c>
      <c r="WP20" s="156">
        <v>6.9548065519999994E-2</v>
      </c>
      <c r="WQ20" s="156">
        <f t="shared" ref="WQ20:YB20" si="38">WQ19/WP19-1</f>
        <v>5.4283968108914671E-4</v>
      </c>
      <c r="WR20" s="156">
        <f t="shared" si="38"/>
        <v>8.3530184210872438E-2</v>
      </c>
      <c r="WS20" s="156">
        <f t="shared" si="38"/>
        <v>1.9222319341519301E-2</v>
      </c>
      <c r="WT20" s="156">
        <f t="shared" si="38"/>
        <v>-0.11861226262464286</v>
      </c>
      <c r="WU20" s="156">
        <f t="shared" si="38"/>
        <v>0.15663679162913624</v>
      </c>
      <c r="WV20" s="156">
        <f t="shared" si="38"/>
        <v>-5.2392508787055148E-2</v>
      </c>
      <c r="WW20" s="156">
        <f t="shared" si="38"/>
        <v>-0.17920119867173145</v>
      </c>
      <c r="WX20" s="156">
        <f t="shared" si="38"/>
        <v>0.30532454535058018</v>
      </c>
      <c r="WY20" s="156">
        <f t="shared" si="38"/>
        <v>-7.6005737250722127E-2</v>
      </c>
      <c r="WZ20" s="156">
        <f t="shared" si="38"/>
        <v>-2.2073599480953998E-4</v>
      </c>
      <c r="XA20" s="156">
        <f t="shared" si="38"/>
        <v>-5.114655000380941E-2</v>
      </c>
      <c r="XB20" s="156">
        <f t="shared" si="38"/>
        <v>-9.1047445333018118E-2</v>
      </c>
      <c r="XC20" s="156">
        <f t="shared" si="38"/>
        <v>0.22090514731585875</v>
      </c>
      <c r="XD20" s="156">
        <f t="shared" si="38"/>
        <v>-4.9419133502714208E-2</v>
      </c>
      <c r="XE20" s="156">
        <f t="shared" si="38"/>
        <v>0.13671728979234943</v>
      </c>
      <c r="XF20" s="156">
        <f t="shared" si="38"/>
        <v>-9.4613088201796813E-2</v>
      </c>
      <c r="XG20" s="156">
        <f t="shared" si="38"/>
        <v>6.6454934316733993E-2</v>
      </c>
      <c r="XH20" s="156">
        <f t="shared" si="38"/>
        <v>-9.4140261728424046E-2</v>
      </c>
      <c r="XI20" s="156">
        <f t="shared" si="38"/>
        <v>-6.9142491642880777E-2</v>
      </c>
      <c r="XJ20" s="156">
        <f t="shared" si="38"/>
        <v>2.9009405455820092E-2</v>
      </c>
      <c r="XK20" s="156">
        <f t="shared" si="38"/>
        <v>0.11475974907354591</v>
      </c>
      <c r="XL20" s="156">
        <f t="shared" si="38"/>
        <v>2.817887044827927E-2</v>
      </c>
      <c r="XM20" s="156">
        <f t="shared" si="38"/>
        <v>-1.395385648991232E-2</v>
      </c>
      <c r="XN20" s="156">
        <f t="shared" si="38"/>
        <v>-3.3775350592699649E-2</v>
      </c>
      <c r="XO20" s="156">
        <f t="shared" si="38"/>
        <v>-0.13708983338864156</v>
      </c>
      <c r="XP20" s="156">
        <f t="shared" si="38"/>
        <v>7.9364485415707176E-2</v>
      </c>
      <c r="XQ20" s="156">
        <f t="shared" si="38"/>
        <v>2.6873483868909309E-2</v>
      </c>
      <c r="XR20" s="156">
        <f t="shared" si="38"/>
        <v>0.30625121799100974</v>
      </c>
      <c r="XS20" s="156">
        <f t="shared" si="38"/>
        <v>-8.42372640046819E-2</v>
      </c>
      <c r="XT20" s="156">
        <f t="shared" si="38"/>
        <v>5.1027372821922379E-2</v>
      </c>
      <c r="XU20" s="156">
        <f t="shared" si="38"/>
        <v>-4.2949828637132481E-2</v>
      </c>
      <c r="XV20" s="156">
        <f t="shared" si="38"/>
        <v>-8.7201267775789182E-2</v>
      </c>
      <c r="XW20" s="156">
        <f t="shared" si="38"/>
        <v>-6.2572831060854872E-2</v>
      </c>
      <c r="XX20" s="156">
        <f t="shared" si="38"/>
        <v>-1.9979738342267073E-2</v>
      </c>
      <c r="XY20" s="156">
        <f t="shared" si="38"/>
        <v>0.16055737168909245</v>
      </c>
      <c r="XZ20" s="156">
        <f t="shared" si="38"/>
        <v>3.978980237805696E-2</v>
      </c>
      <c r="YA20" s="156">
        <f t="shared" si="38"/>
        <v>3.9301958609896381E-3</v>
      </c>
      <c r="YB20" s="156">
        <f t="shared" si="38"/>
        <v>-4.7326071889603472E-2</v>
      </c>
      <c r="YC20" s="157">
        <v>-0.19</v>
      </c>
      <c r="YD20" s="157">
        <f t="shared" ref="YD20:YF20" si="39">YD19/YC19-1</f>
        <v>7.978684508407996E-2</v>
      </c>
      <c r="YE20" s="157">
        <f t="shared" si="39"/>
        <v>-0.12912395135976173</v>
      </c>
      <c r="YF20" s="157">
        <f t="shared" si="39"/>
        <v>0.28263341531774921</v>
      </c>
      <c r="YG20" s="157">
        <f t="shared" ref="YG20:YL20" si="40">YG19/YF19-1</f>
        <v>0.1207034170708956</v>
      </c>
      <c r="YH20" s="157">
        <f t="shared" si="40"/>
        <v>-3.2038329677735122E-2</v>
      </c>
      <c r="YI20" s="157">
        <f t="shared" si="40"/>
        <v>-4.0869691841858735E-2</v>
      </c>
      <c r="YJ20" s="157">
        <f t="shared" si="40"/>
        <v>-4.5264101509788102E-2</v>
      </c>
      <c r="YK20" s="157">
        <f t="shared" si="40"/>
        <v>-6.1704231497961781E-2</v>
      </c>
      <c r="YL20" s="157">
        <f t="shared" si="40"/>
        <v>-7.8197100179572931E-2</v>
      </c>
      <c r="YM20" s="157">
        <f>YM19/YL19-1</f>
        <v>-8.4397028106387717E-2</v>
      </c>
    </row>
    <row r="21" spans="1:663" ht="15.75" customHeight="1" x14ac:dyDescent="0.2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30"/>
      <c r="NS21" s="30"/>
      <c r="NT21" s="30"/>
      <c r="NU21" s="30"/>
      <c r="NV21" s="30"/>
      <c r="NW21" s="30"/>
      <c r="NX21" s="30"/>
      <c r="NY21" s="30"/>
      <c r="NZ21" s="30"/>
      <c r="OA21" s="30"/>
      <c r="OB21" s="30"/>
      <c r="OC21" s="30"/>
      <c r="OD21" s="30"/>
      <c r="OE21" s="30"/>
      <c r="OF21" s="30"/>
      <c r="OG21" s="30"/>
      <c r="OH21" s="30"/>
      <c r="OI21" s="30"/>
      <c r="OJ21" s="30"/>
      <c r="OK21" s="30"/>
      <c r="OL21" s="30"/>
      <c r="OM21" s="30"/>
      <c r="ON21" s="30"/>
      <c r="OO21" s="30"/>
      <c r="OP21" s="30"/>
      <c r="OQ21" s="30"/>
      <c r="OR21" s="30"/>
      <c r="OS21" s="30"/>
      <c r="OT21" s="30"/>
      <c r="OU21" s="30"/>
      <c r="OV21" s="30"/>
      <c r="OW21" s="30"/>
      <c r="OX21" s="30"/>
      <c r="OY21" s="30"/>
      <c r="OZ21" s="30"/>
      <c r="PA21" s="30"/>
      <c r="PB21" s="30"/>
      <c r="PC21" s="30"/>
      <c r="PD21" s="30"/>
      <c r="PE21" s="30"/>
      <c r="PF21" s="30"/>
      <c r="PG21" s="30"/>
      <c r="PH21" s="30"/>
      <c r="PI21" s="30"/>
      <c r="PJ21" s="30"/>
      <c r="PK21" s="30"/>
      <c r="PL21" s="30"/>
      <c r="PM21" s="30"/>
      <c r="PN21" s="30"/>
      <c r="PO21" s="30"/>
      <c r="PP21" s="30"/>
      <c r="PQ21" s="30"/>
      <c r="PR21" s="30"/>
      <c r="PS21" s="30"/>
      <c r="PT21" s="30"/>
      <c r="PU21" s="30"/>
      <c r="PV21" s="30"/>
      <c r="PW21" s="30"/>
      <c r="PX21" s="30"/>
      <c r="PY21" s="30"/>
      <c r="PZ21" s="30"/>
      <c r="QA21" s="30"/>
      <c r="QB21" s="30"/>
      <c r="QC21" s="30"/>
      <c r="QD21" s="30"/>
      <c r="QE21" s="30"/>
      <c r="QF21" s="30"/>
      <c r="QG21" s="30"/>
      <c r="QH21" s="30"/>
      <c r="QI21" s="30"/>
      <c r="QJ21" s="30"/>
      <c r="QK21" s="30"/>
      <c r="QL21" s="30"/>
      <c r="QM21" s="30"/>
      <c r="QN21" s="30"/>
      <c r="QO21" s="30"/>
      <c r="QP21" s="30"/>
      <c r="QQ21" s="30"/>
      <c r="QR21" s="30"/>
      <c r="QS21" s="30"/>
      <c r="QT21" s="30"/>
      <c r="QU21" s="30"/>
      <c r="QV21" s="30"/>
      <c r="QW21" s="30"/>
      <c r="QX21" s="30"/>
      <c r="QY21" s="30"/>
      <c r="QZ21" s="30"/>
      <c r="RA21" s="30"/>
      <c r="RB21" s="30"/>
      <c r="RC21" s="30"/>
      <c r="RD21" s="30"/>
      <c r="RE21" s="30"/>
      <c r="RF21" s="30"/>
      <c r="RG21" s="30"/>
      <c r="RH21" s="30"/>
      <c r="RI21" s="30"/>
      <c r="RJ21" s="30"/>
      <c r="RK21" s="30"/>
      <c r="RL21" s="30"/>
      <c r="RM21" s="30"/>
      <c r="RN21" s="30"/>
      <c r="RO21" s="30"/>
      <c r="RP21" s="30"/>
      <c r="RQ21" s="30"/>
      <c r="RR21" s="30"/>
      <c r="RS21" s="30"/>
      <c r="RT21" s="30"/>
      <c r="RU21" s="30"/>
      <c r="RV21" s="30"/>
      <c r="RW21" s="30"/>
      <c r="RX21" s="30"/>
      <c r="RY21" s="30"/>
      <c r="RZ21" s="30"/>
      <c r="SA21" s="30"/>
      <c r="SB21" s="30"/>
      <c r="SC21" s="30"/>
      <c r="SD21" s="30"/>
      <c r="SE21" s="30"/>
      <c r="SF21" s="30"/>
      <c r="SG21" s="30"/>
      <c r="SH21" s="30"/>
      <c r="SI21" s="30"/>
      <c r="SJ21" s="30"/>
      <c r="SK21" s="30"/>
      <c r="SL21" s="30"/>
      <c r="SM21" s="30"/>
      <c r="SN21" s="30"/>
      <c r="SO21" s="30"/>
      <c r="SP21" s="30"/>
      <c r="SQ21" s="30"/>
      <c r="SR21" s="30"/>
      <c r="SS21" s="30"/>
      <c r="ST21" s="30"/>
      <c r="SU21" s="30"/>
      <c r="SV21" s="30"/>
      <c r="SW21" s="30"/>
      <c r="SX21" s="30"/>
      <c r="SY21" s="30"/>
      <c r="SZ21" s="30"/>
      <c r="TA21" s="30"/>
      <c r="TB21" s="30"/>
      <c r="TC21" s="30"/>
      <c r="TD21" s="30"/>
      <c r="TE21" s="30"/>
      <c r="TF21" s="30"/>
      <c r="TG21" s="30"/>
      <c r="TH21" s="30"/>
      <c r="TI21" s="30"/>
      <c r="TJ21" s="30"/>
      <c r="TK21" s="30"/>
      <c r="TL21" s="30"/>
      <c r="TM21" s="30"/>
      <c r="TN21" s="30"/>
      <c r="TO21" s="30"/>
      <c r="TP21" s="30"/>
      <c r="TQ21" s="30"/>
      <c r="TR21" s="30"/>
      <c r="TS21" s="30"/>
      <c r="TT21" s="30"/>
      <c r="TU21" s="30"/>
      <c r="TV21" s="30"/>
      <c r="TW21" s="30"/>
      <c r="TX21" s="30"/>
      <c r="TY21" s="30"/>
      <c r="TZ21" s="30"/>
      <c r="UA21" s="30"/>
      <c r="UB21" s="30"/>
      <c r="UC21" s="30"/>
      <c r="UD21" s="30"/>
      <c r="UE21" s="30"/>
      <c r="UF21" s="30"/>
      <c r="UG21" s="30"/>
      <c r="UH21" s="30"/>
      <c r="UI21" s="30"/>
      <c r="UJ21" s="30"/>
      <c r="UK21" s="30"/>
      <c r="UL21" s="30"/>
      <c r="UM21" s="30"/>
      <c r="UN21" s="30"/>
      <c r="UO21" s="30"/>
      <c r="UP21" s="30"/>
      <c r="UQ21" s="30"/>
      <c r="UR21" s="30"/>
      <c r="US21" s="30"/>
      <c r="UT21" s="30"/>
      <c r="UU21" s="30"/>
      <c r="UV21" s="30"/>
      <c r="UW21" s="30"/>
      <c r="UX21" s="30"/>
      <c r="UY21" s="30"/>
      <c r="UZ21" s="30"/>
      <c r="VA21" s="30"/>
      <c r="VB21" s="30"/>
      <c r="VC21" s="30"/>
      <c r="VD21" s="30"/>
      <c r="VE21" s="30"/>
      <c r="VF21" s="30"/>
      <c r="VG21" s="149"/>
      <c r="VH21" s="149"/>
      <c r="VI21" s="149"/>
      <c r="VJ21" s="149"/>
      <c r="VK21" s="149"/>
      <c r="VL21" s="149"/>
      <c r="VM21" s="149"/>
      <c r="VN21" s="149"/>
      <c r="VO21" s="149"/>
      <c r="VP21" s="149"/>
      <c r="VQ21" s="149"/>
      <c r="VR21" s="149"/>
      <c r="VS21" s="149"/>
      <c r="VT21" s="149"/>
      <c r="VU21" s="149"/>
      <c r="VV21" s="149"/>
      <c r="VW21" s="149"/>
      <c r="VX21" s="149"/>
      <c r="VY21" s="149"/>
      <c r="VZ21" s="149"/>
      <c r="WA21" s="149"/>
      <c r="WB21" s="149"/>
      <c r="WC21" s="149"/>
      <c r="WD21" s="149"/>
      <c r="WE21" s="149"/>
      <c r="WF21" s="149"/>
      <c r="WG21" s="149"/>
      <c r="WH21" s="149"/>
      <c r="WI21" s="149"/>
      <c r="WJ21" s="149"/>
      <c r="WK21" s="149"/>
      <c r="WL21" s="149"/>
      <c r="WM21" s="149"/>
      <c r="WN21" s="149"/>
      <c r="WO21" s="149"/>
      <c r="WP21" s="149"/>
      <c r="WQ21" s="149"/>
      <c r="WR21" s="149"/>
      <c r="WS21" s="149"/>
      <c r="WT21" s="149"/>
      <c r="WU21" s="149"/>
      <c r="WV21" s="149"/>
      <c r="WW21" s="149"/>
      <c r="WX21" s="149"/>
      <c r="WY21" s="149"/>
      <c r="WZ21" s="149"/>
      <c r="XA21" s="149"/>
      <c r="XB21" s="149"/>
      <c r="XC21" s="149"/>
      <c r="XD21" s="149"/>
      <c r="XE21" s="149"/>
      <c r="XF21" s="149"/>
      <c r="XG21" s="149"/>
      <c r="XH21" s="149"/>
      <c r="XI21" s="149"/>
      <c r="XJ21" s="149"/>
      <c r="XK21" s="149"/>
      <c r="XL21" s="149"/>
      <c r="XM21" s="149"/>
      <c r="XN21" s="149"/>
      <c r="XO21" s="149"/>
      <c r="XP21" s="149"/>
      <c r="XQ21" s="149"/>
      <c r="XR21" s="149"/>
      <c r="XS21" s="149"/>
      <c r="XT21" s="149"/>
      <c r="XU21" s="149"/>
      <c r="XV21" s="149"/>
      <c r="XW21" s="149"/>
      <c r="XX21" s="149"/>
      <c r="XY21" s="149"/>
      <c r="XZ21" s="149"/>
      <c r="YA21" s="149"/>
      <c r="YB21" s="149"/>
      <c r="YC21" s="150"/>
      <c r="YD21" s="150"/>
      <c r="YE21" s="150"/>
      <c r="YF21" s="150"/>
      <c r="YG21" s="150"/>
      <c r="YH21" s="150"/>
      <c r="YI21" s="150"/>
      <c r="YJ21" s="150"/>
      <c r="YK21" s="150"/>
      <c r="YL21" s="150"/>
      <c r="YM21" s="150"/>
    </row>
    <row r="22" spans="1:663" ht="15.75" customHeight="1" x14ac:dyDescent="0.2">
      <c r="A22" s="7"/>
      <c r="B22" s="30" t="s">
        <v>164</v>
      </c>
      <c r="C22" s="64">
        <v>204</v>
      </c>
      <c r="D22" s="64">
        <v>165</v>
      </c>
      <c r="E22" s="64">
        <v>206</v>
      </c>
      <c r="F22" s="64">
        <v>233</v>
      </c>
      <c r="G22" s="64">
        <v>171</v>
      </c>
      <c r="H22" s="64">
        <v>167</v>
      </c>
      <c r="I22" s="64">
        <v>196</v>
      </c>
      <c r="J22" s="64">
        <v>198</v>
      </c>
      <c r="K22" s="64">
        <v>195</v>
      </c>
      <c r="L22" s="64">
        <v>206</v>
      </c>
      <c r="M22" s="64">
        <v>254</v>
      </c>
      <c r="N22" s="64">
        <v>189</v>
      </c>
      <c r="O22" s="64">
        <v>166</v>
      </c>
      <c r="P22" s="64">
        <v>215</v>
      </c>
      <c r="Q22" s="64">
        <v>322</v>
      </c>
      <c r="R22" s="64">
        <v>285</v>
      </c>
      <c r="S22" s="64">
        <v>247</v>
      </c>
      <c r="T22" s="64">
        <v>240</v>
      </c>
      <c r="U22" s="64">
        <v>219</v>
      </c>
      <c r="V22" s="64">
        <v>225</v>
      </c>
      <c r="W22" s="64">
        <v>223</v>
      </c>
      <c r="X22" s="64">
        <v>241</v>
      </c>
      <c r="Y22" s="64">
        <v>283</v>
      </c>
      <c r="Z22" s="64">
        <v>265</v>
      </c>
      <c r="AA22" s="64">
        <v>267</v>
      </c>
      <c r="AB22" s="64">
        <v>257</v>
      </c>
      <c r="AC22" s="64">
        <v>231</v>
      </c>
      <c r="AD22" s="64">
        <v>264</v>
      </c>
      <c r="AE22" s="64">
        <v>288</v>
      </c>
      <c r="AF22" s="64">
        <v>241</v>
      </c>
      <c r="AG22" s="64">
        <v>245</v>
      </c>
      <c r="AH22" s="64">
        <v>327</v>
      </c>
      <c r="AI22" s="64">
        <v>275</v>
      </c>
      <c r="AJ22" s="64">
        <v>185</v>
      </c>
      <c r="AK22" s="64">
        <v>249</v>
      </c>
      <c r="AL22" s="64">
        <v>265</v>
      </c>
      <c r="AM22" s="64">
        <v>264</v>
      </c>
      <c r="AN22" s="64">
        <v>260</v>
      </c>
      <c r="AO22" s="64">
        <v>278</v>
      </c>
      <c r="AP22" s="64">
        <v>242</v>
      </c>
      <c r="AQ22" s="64">
        <v>220</v>
      </c>
      <c r="AR22" s="64">
        <v>284</v>
      </c>
      <c r="AS22" s="64">
        <v>272</v>
      </c>
      <c r="AT22" s="64">
        <v>280</v>
      </c>
      <c r="AU22" s="64">
        <v>291</v>
      </c>
      <c r="AV22" s="64">
        <v>347</v>
      </c>
      <c r="AW22" s="64">
        <v>267</v>
      </c>
      <c r="AX22" s="64">
        <v>310</v>
      </c>
      <c r="AY22" s="64">
        <v>259</v>
      </c>
      <c r="AZ22" s="64">
        <v>287</v>
      </c>
      <c r="BA22" s="64">
        <v>309</v>
      </c>
      <c r="BB22" s="64">
        <v>298</v>
      </c>
      <c r="BC22" s="64">
        <v>317</v>
      </c>
      <c r="BD22" s="64">
        <v>336</v>
      </c>
      <c r="BE22" s="64">
        <v>297</v>
      </c>
      <c r="BF22" s="64">
        <v>281</v>
      </c>
      <c r="BG22" s="64">
        <v>255</v>
      </c>
      <c r="BH22" s="64">
        <v>332</v>
      </c>
      <c r="BI22" s="64">
        <v>315</v>
      </c>
      <c r="BJ22" s="64">
        <v>464</v>
      </c>
      <c r="BK22" s="64">
        <v>376</v>
      </c>
      <c r="BL22" s="64">
        <v>328</v>
      </c>
      <c r="BM22" s="64">
        <v>316</v>
      </c>
      <c r="BN22" s="64">
        <v>269</v>
      </c>
      <c r="BO22" s="64">
        <v>313</v>
      </c>
      <c r="BP22" s="64">
        <v>324</v>
      </c>
      <c r="BQ22" s="64">
        <v>329</v>
      </c>
      <c r="BR22" s="64">
        <v>303</v>
      </c>
      <c r="BS22" s="64">
        <v>277</v>
      </c>
      <c r="BT22" s="64">
        <v>264</v>
      </c>
      <c r="BU22" s="64">
        <v>273</v>
      </c>
      <c r="BV22" s="64">
        <v>269</v>
      </c>
      <c r="BW22" s="64">
        <v>399</v>
      </c>
      <c r="BX22" s="64">
        <v>399</v>
      </c>
      <c r="BY22" s="64">
        <v>329</v>
      </c>
      <c r="BZ22" s="64">
        <v>279</v>
      </c>
      <c r="CA22" s="64">
        <v>316</v>
      </c>
      <c r="CB22" s="64">
        <v>358</v>
      </c>
      <c r="CC22" s="64">
        <v>351</v>
      </c>
      <c r="CD22" s="64">
        <v>351</v>
      </c>
      <c r="CE22" s="64">
        <v>413</v>
      </c>
      <c r="CF22" s="64">
        <v>340</v>
      </c>
      <c r="CG22" s="64">
        <v>287</v>
      </c>
      <c r="CH22" s="64">
        <v>319</v>
      </c>
      <c r="CI22" s="64">
        <v>363</v>
      </c>
      <c r="CJ22" s="64">
        <v>342</v>
      </c>
      <c r="CK22" s="64">
        <v>403</v>
      </c>
      <c r="CL22" s="64">
        <v>427</v>
      </c>
      <c r="CM22" s="64">
        <v>346</v>
      </c>
      <c r="CN22" s="64">
        <v>371</v>
      </c>
      <c r="CO22" s="64">
        <v>358</v>
      </c>
      <c r="CP22" s="64">
        <v>412</v>
      </c>
      <c r="CQ22" s="64">
        <v>390</v>
      </c>
      <c r="CR22" s="64">
        <v>430</v>
      </c>
      <c r="CS22" s="64">
        <v>455</v>
      </c>
      <c r="CT22" s="64">
        <v>437</v>
      </c>
      <c r="CU22" s="64">
        <v>364</v>
      </c>
      <c r="CV22" s="64">
        <v>350</v>
      </c>
      <c r="CW22" s="64">
        <v>382</v>
      </c>
      <c r="CX22" s="64">
        <v>466</v>
      </c>
      <c r="CY22" s="64">
        <v>406</v>
      </c>
      <c r="CZ22" s="64">
        <v>466</v>
      </c>
      <c r="DA22" s="64">
        <v>411</v>
      </c>
      <c r="DB22" s="64">
        <v>363</v>
      </c>
      <c r="DC22" s="64">
        <v>466</v>
      </c>
      <c r="DD22" s="64">
        <v>459</v>
      </c>
      <c r="DE22" s="64">
        <v>407</v>
      </c>
      <c r="DF22" s="64">
        <v>324</v>
      </c>
      <c r="DG22" s="64">
        <v>461</v>
      </c>
      <c r="DH22" s="64">
        <v>431</v>
      </c>
      <c r="DI22" s="64">
        <v>428</v>
      </c>
      <c r="DJ22" s="64">
        <v>450</v>
      </c>
      <c r="DK22" s="64">
        <v>534</v>
      </c>
      <c r="DL22" s="64">
        <v>465</v>
      </c>
      <c r="DM22" s="64">
        <v>440</v>
      </c>
      <c r="DN22" s="64">
        <v>515</v>
      </c>
      <c r="DO22" s="64">
        <v>497</v>
      </c>
      <c r="DP22" s="64">
        <v>389</v>
      </c>
      <c r="DQ22" s="64">
        <v>364</v>
      </c>
      <c r="DR22" s="64">
        <v>455</v>
      </c>
      <c r="DS22" s="64">
        <v>488</v>
      </c>
      <c r="DT22" s="64">
        <v>444</v>
      </c>
      <c r="DU22" s="64">
        <v>428</v>
      </c>
      <c r="DV22" s="64">
        <v>397</v>
      </c>
      <c r="DW22" s="64">
        <v>411</v>
      </c>
      <c r="DX22" s="64">
        <v>409</v>
      </c>
      <c r="DY22" s="64">
        <v>480</v>
      </c>
      <c r="DZ22" s="64">
        <v>499</v>
      </c>
      <c r="EA22" s="64">
        <v>470</v>
      </c>
      <c r="EB22" s="64">
        <v>490</v>
      </c>
      <c r="EC22" s="64">
        <v>459</v>
      </c>
      <c r="ED22" s="64">
        <v>409</v>
      </c>
      <c r="EE22" s="64">
        <v>381</v>
      </c>
      <c r="EF22" s="64">
        <v>440</v>
      </c>
      <c r="EG22" s="64">
        <v>536</v>
      </c>
      <c r="EH22" s="64">
        <v>546</v>
      </c>
      <c r="EI22" s="64">
        <v>600</v>
      </c>
      <c r="EJ22" s="64">
        <v>512</v>
      </c>
      <c r="EK22" s="64">
        <v>531</v>
      </c>
      <c r="EL22" s="64">
        <v>579</v>
      </c>
      <c r="EM22" s="64">
        <v>583</v>
      </c>
      <c r="EN22" s="64">
        <v>607</v>
      </c>
      <c r="EO22" s="64">
        <v>724</v>
      </c>
      <c r="EP22" s="64">
        <v>649</v>
      </c>
      <c r="EQ22" s="64">
        <v>618</v>
      </c>
      <c r="ER22" s="64">
        <v>477</v>
      </c>
      <c r="ES22" s="64">
        <v>631</v>
      </c>
      <c r="ET22" s="64">
        <v>520</v>
      </c>
      <c r="EU22" s="64">
        <v>555</v>
      </c>
      <c r="EV22" s="64">
        <v>667</v>
      </c>
      <c r="EW22" s="64">
        <v>701</v>
      </c>
      <c r="EX22" s="64">
        <v>697</v>
      </c>
      <c r="EY22" s="64">
        <v>590</v>
      </c>
      <c r="EZ22" s="64">
        <v>623</v>
      </c>
      <c r="FA22" s="64">
        <v>688</v>
      </c>
      <c r="FB22" s="64">
        <v>759</v>
      </c>
      <c r="FC22" s="64">
        <v>761</v>
      </c>
      <c r="FD22" s="64">
        <v>724</v>
      </c>
      <c r="FE22" s="64">
        <v>761</v>
      </c>
      <c r="FF22" s="64">
        <v>601</v>
      </c>
      <c r="FG22" s="64">
        <v>600</v>
      </c>
      <c r="FH22" s="64">
        <v>677</v>
      </c>
      <c r="FI22" s="64">
        <v>661</v>
      </c>
      <c r="FJ22" s="64">
        <v>699</v>
      </c>
      <c r="FK22" s="64">
        <v>767</v>
      </c>
      <c r="FL22" s="64">
        <v>748</v>
      </c>
      <c r="FM22" s="64">
        <v>695</v>
      </c>
      <c r="FN22" s="64">
        <v>762</v>
      </c>
      <c r="FO22" s="64">
        <v>681</v>
      </c>
      <c r="FP22" s="64">
        <v>802</v>
      </c>
      <c r="FQ22" s="64">
        <v>798</v>
      </c>
      <c r="FR22" s="64">
        <v>745</v>
      </c>
      <c r="FS22" s="64">
        <v>833</v>
      </c>
      <c r="FT22" s="64">
        <v>822</v>
      </c>
      <c r="FU22" s="64">
        <v>736</v>
      </c>
      <c r="FV22" s="64">
        <v>847</v>
      </c>
      <c r="FW22" s="64">
        <v>759</v>
      </c>
      <c r="FX22" s="64">
        <v>767</v>
      </c>
      <c r="FY22" s="64">
        <v>902</v>
      </c>
      <c r="FZ22" s="64">
        <v>866</v>
      </c>
      <c r="GA22" s="64">
        <v>829</v>
      </c>
      <c r="GB22" s="64">
        <v>770</v>
      </c>
      <c r="GC22" s="64">
        <v>815</v>
      </c>
      <c r="GD22" s="64">
        <v>836</v>
      </c>
      <c r="GE22" s="64">
        <v>846</v>
      </c>
      <c r="GF22" s="64">
        <v>879</v>
      </c>
      <c r="GG22" s="64">
        <v>816</v>
      </c>
      <c r="GH22" s="64">
        <v>823</v>
      </c>
      <c r="GI22" s="64">
        <v>683</v>
      </c>
      <c r="GJ22" s="64">
        <v>733</v>
      </c>
      <c r="GK22" s="64">
        <v>750</v>
      </c>
      <c r="GL22" s="64">
        <v>908</v>
      </c>
      <c r="GM22" s="64">
        <v>839</v>
      </c>
      <c r="GN22" s="64">
        <v>910</v>
      </c>
      <c r="GO22" s="64">
        <v>814</v>
      </c>
      <c r="GP22" s="64">
        <v>852</v>
      </c>
      <c r="GQ22" s="64">
        <v>889</v>
      </c>
      <c r="GR22" s="64">
        <v>873</v>
      </c>
      <c r="GS22" s="64">
        <v>927</v>
      </c>
      <c r="GT22" s="64">
        <v>920</v>
      </c>
      <c r="GU22" s="64">
        <v>972</v>
      </c>
      <c r="GV22" s="64">
        <v>744</v>
      </c>
      <c r="GW22" s="64">
        <v>787</v>
      </c>
      <c r="GX22" s="64">
        <v>751</v>
      </c>
      <c r="GY22" s="64">
        <v>788</v>
      </c>
      <c r="GZ22" s="64">
        <v>904</v>
      </c>
      <c r="HA22" s="64">
        <v>991</v>
      </c>
      <c r="HB22" s="64">
        <v>905</v>
      </c>
      <c r="HC22" s="64">
        <v>836</v>
      </c>
      <c r="HD22" s="64">
        <v>820</v>
      </c>
      <c r="HE22" s="64">
        <v>908</v>
      </c>
      <c r="HF22" s="64">
        <v>896</v>
      </c>
      <c r="HG22" s="64">
        <v>1072</v>
      </c>
      <c r="HH22" s="64">
        <v>1128</v>
      </c>
      <c r="HI22" s="64">
        <v>1079</v>
      </c>
      <c r="HJ22" s="64">
        <v>852</v>
      </c>
      <c r="HK22" s="64">
        <v>872</v>
      </c>
      <c r="HL22" s="64">
        <v>914</v>
      </c>
      <c r="HM22" s="64">
        <v>938</v>
      </c>
      <c r="HN22" s="64">
        <v>970</v>
      </c>
      <c r="HO22" s="64">
        <v>1015</v>
      </c>
      <c r="HP22" s="64">
        <v>922</v>
      </c>
      <c r="HQ22" s="64">
        <v>781</v>
      </c>
      <c r="HR22" s="64">
        <v>779</v>
      </c>
      <c r="HS22" s="64">
        <v>784</v>
      </c>
      <c r="HT22" s="64">
        <v>899</v>
      </c>
      <c r="HU22" s="64">
        <v>1104</v>
      </c>
      <c r="HV22" s="64">
        <v>1111</v>
      </c>
      <c r="HW22" s="64">
        <v>1129</v>
      </c>
      <c r="HX22" s="64">
        <v>1035</v>
      </c>
      <c r="HY22" s="64">
        <v>1083</v>
      </c>
      <c r="HZ22" s="64">
        <v>1086</v>
      </c>
      <c r="IA22" s="64">
        <v>1172</v>
      </c>
      <c r="IB22" s="64">
        <v>1140</v>
      </c>
      <c r="IC22" s="64">
        <v>1076</v>
      </c>
      <c r="ID22" s="64">
        <v>1120</v>
      </c>
      <c r="IE22" s="64">
        <v>1039</v>
      </c>
      <c r="IF22" s="64">
        <v>932</v>
      </c>
      <c r="IG22" s="64">
        <v>1100</v>
      </c>
      <c r="IH22" s="64">
        <v>1029</v>
      </c>
      <c r="II22" s="64">
        <v>1166</v>
      </c>
      <c r="IJ22" s="64">
        <v>1206</v>
      </c>
      <c r="IK22" s="64">
        <v>1287</v>
      </c>
      <c r="IL22" s="64">
        <v>1349</v>
      </c>
      <c r="IM22" s="64">
        <v>1262</v>
      </c>
      <c r="IN22" s="64">
        <v>1214</v>
      </c>
      <c r="IO22" s="64">
        <v>1306</v>
      </c>
      <c r="IP22" s="64">
        <v>1357</v>
      </c>
      <c r="IQ22" s="64">
        <v>1532</v>
      </c>
      <c r="IR22" s="64">
        <v>1382</v>
      </c>
      <c r="IS22" s="64">
        <v>1232</v>
      </c>
      <c r="IT22" s="64">
        <v>1430</v>
      </c>
      <c r="IU22" s="64">
        <v>1221</v>
      </c>
      <c r="IV22" s="64">
        <v>1151</v>
      </c>
      <c r="IW22" s="64">
        <v>1394</v>
      </c>
      <c r="IX22" s="64">
        <v>1419</v>
      </c>
      <c r="IY22" s="64">
        <v>1438</v>
      </c>
      <c r="IZ22" s="64">
        <v>1485</v>
      </c>
      <c r="JA22" s="64">
        <v>1322</v>
      </c>
      <c r="JB22" s="64">
        <v>1318</v>
      </c>
      <c r="JC22" s="64">
        <v>1390</v>
      </c>
      <c r="JD22" s="64">
        <v>1313</v>
      </c>
      <c r="JE22" s="64">
        <v>1449</v>
      </c>
      <c r="JF22" s="64">
        <v>1440</v>
      </c>
      <c r="JG22" s="64">
        <v>1111</v>
      </c>
      <c r="JH22" s="64">
        <v>1233</v>
      </c>
      <c r="JI22" s="64">
        <v>1176</v>
      </c>
      <c r="JJ22" s="64">
        <v>1310</v>
      </c>
      <c r="JK22" s="64">
        <v>1305</v>
      </c>
      <c r="JL22" s="64">
        <v>1451</v>
      </c>
      <c r="JM22" s="64">
        <v>1361</v>
      </c>
      <c r="JN22" s="64">
        <v>1151</v>
      </c>
      <c r="JO22" s="64">
        <v>1310</v>
      </c>
      <c r="JP22" s="64">
        <v>1602</v>
      </c>
      <c r="JQ22" s="64">
        <v>1506</v>
      </c>
      <c r="JR22" s="64">
        <v>1457</v>
      </c>
      <c r="JS22" s="64">
        <v>1633</v>
      </c>
      <c r="JT22" s="64">
        <v>1580</v>
      </c>
      <c r="JU22" s="64">
        <v>1376</v>
      </c>
      <c r="JV22" s="64">
        <v>1351</v>
      </c>
      <c r="JW22" s="64">
        <v>1405</v>
      </c>
      <c r="JX22" s="64">
        <v>1323</v>
      </c>
      <c r="JY22" s="64">
        <v>1494</v>
      </c>
      <c r="JZ22" s="64">
        <v>1566</v>
      </c>
      <c r="KA22" s="64">
        <v>1401</v>
      </c>
      <c r="KB22" s="64">
        <v>1070</v>
      </c>
      <c r="KC22" s="64">
        <v>1259</v>
      </c>
      <c r="KD22" s="64">
        <v>1403</v>
      </c>
      <c r="KE22" s="64">
        <v>1365</v>
      </c>
      <c r="KF22" s="64">
        <v>1552</v>
      </c>
      <c r="KG22" s="64">
        <v>1601</v>
      </c>
      <c r="KH22" s="64">
        <v>1520</v>
      </c>
      <c r="KI22" s="64">
        <v>1294</v>
      </c>
      <c r="KJ22" s="64">
        <v>1396</v>
      </c>
      <c r="KK22" s="64">
        <v>1318</v>
      </c>
      <c r="KL22" s="64">
        <v>1283</v>
      </c>
      <c r="KM22" s="64">
        <v>1364</v>
      </c>
      <c r="KN22" s="64">
        <v>1463</v>
      </c>
      <c r="KO22" s="64">
        <v>1387</v>
      </c>
      <c r="KP22" s="64">
        <v>1248</v>
      </c>
      <c r="KQ22" s="64">
        <v>1324</v>
      </c>
      <c r="KR22" s="64">
        <v>1318</v>
      </c>
      <c r="KS22" s="64">
        <v>1288</v>
      </c>
      <c r="KT22" s="64">
        <v>1500</v>
      </c>
      <c r="KU22" s="64">
        <v>1385</v>
      </c>
      <c r="KV22" s="64">
        <v>1579</v>
      </c>
      <c r="KW22" s="64">
        <v>1420</v>
      </c>
      <c r="KX22" s="64">
        <v>1352</v>
      </c>
      <c r="KY22" s="64">
        <v>1469</v>
      </c>
      <c r="KZ22" s="64">
        <v>1296</v>
      </c>
      <c r="LA22" s="64">
        <v>1727</v>
      </c>
      <c r="LB22" s="64">
        <v>1819</v>
      </c>
      <c r="LC22" s="64">
        <v>1402</v>
      </c>
      <c r="LD22" s="64">
        <v>1459</v>
      </c>
      <c r="LE22" s="64">
        <v>1769</v>
      </c>
      <c r="LF22" s="64">
        <v>1515</v>
      </c>
      <c r="LG22" s="64">
        <v>1562</v>
      </c>
      <c r="LH22" s="64">
        <v>1703</v>
      </c>
      <c r="LI22" s="64">
        <v>1902</v>
      </c>
      <c r="LJ22" s="64">
        <v>1805</v>
      </c>
      <c r="LK22" s="64">
        <v>1447</v>
      </c>
      <c r="LL22" s="64">
        <v>2258</v>
      </c>
      <c r="LM22" s="64">
        <v>1756</v>
      </c>
      <c r="LN22" s="64">
        <v>1679</v>
      </c>
      <c r="LO22" s="64">
        <v>1757</v>
      </c>
      <c r="LP22" s="64">
        <v>1847</v>
      </c>
      <c r="LQ22" s="64">
        <v>1724</v>
      </c>
      <c r="LR22" s="64">
        <v>1602</v>
      </c>
      <c r="LS22" s="64">
        <v>1838</v>
      </c>
      <c r="LT22" s="64">
        <v>1943</v>
      </c>
      <c r="LU22" s="64">
        <v>2178</v>
      </c>
      <c r="LV22" s="64">
        <v>2119</v>
      </c>
      <c r="LW22" s="64">
        <v>2063</v>
      </c>
      <c r="LX22" s="64">
        <v>1894</v>
      </c>
      <c r="LY22" s="64">
        <v>1994</v>
      </c>
      <c r="LZ22" s="64">
        <v>2036</v>
      </c>
      <c r="MA22" s="64">
        <v>1732</v>
      </c>
      <c r="MB22" s="64">
        <v>1806</v>
      </c>
      <c r="MC22" s="64">
        <v>1979</v>
      </c>
      <c r="MD22" s="64">
        <v>2067</v>
      </c>
      <c r="ME22" s="64">
        <v>2004</v>
      </c>
      <c r="MF22" s="64">
        <v>1766</v>
      </c>
      <c r="MG22" s="64">
        <v>1573</v>
      </c>
      <c r="MH22" s="64">
        <v>1700</v>
      </c>
      <c r="MI22" s="64">
        <v>1698</v>
      </c>
      <c r="MJ22" s="64">
        <v>1818</v>
      </c>
      <c r="MK22" s="64">
        <v>1789</v>
      </c>
      <c r="ML22" s="64">
        <v>1861</v>
      </c>
      <c r="MM22" s="64">
        <v>1817</v>
      </c>
      <c r="MN22" s="64">
        <v>1655</v>
      </c>
      <c r="MO22" s="64">
        <v>1742</v>
      </c>
      <c r="MP22" s="64">
        <v>1823</v>
      </c>
      <c r="MQ22" s="64">
        <v>1777</v>
      </c>
      <c r="MR22" s="64">
        <v>1959</v>
      </c>
      <c r="MS22" s="64">
        <v>1901</v>
      </c>
      <c r="MT22" s="64">
        <v>1730</v>
      </c>
      <c r="MU22" s="64">
        <v>1858</v>
      </c>
      <c r="MV22" s="64">
        <v>1678</v>
      </c>
      <c r="MW22" s="64">
        <v>1286</v>
      </c>
      <c r="MX22" s="64">
        <v>1549</v>
      </c>
      <c r="MY22" s="64">
        <v>1593</v>
      </c>
      <c r="MZ22" s="64">
        <v>1535</v>
      </c>
      <c r="NA22" s="64">
        <v>1394</v>
      </c>
      <c r="NB22" s="64">
        <v>1504</v>
      </c>
      <c r="NC22" s="64">
        <v>1506</v>
      </c>
      <c r="ND22" s="64">
        <v>1393</v>
      </c>
      <c r="NE22" s="64">
        <v>1634</v>
      </c>
      <c r="NF22" s="64">
        <v>1663</v>
      </c>
      <c r="NG22" s="64">
        <v>1633</v>
      </c>
      <c r="NH22" s="64">
        <v>1488</v>
      </c>
      <c r="NI22" s="64">
        <v>1408</v>
      </c>
      <c r="NJ22" s="64">
        <v>1398</v>
      </c>
      <c r="NK22" s="64">
        <v>1316</v>
      </c>
      <c r="NL22" s="64">
        <v>1390</v>
      </c>
      <c r="NM22" s="64">
        <v>1528</v>
      </c>
      <c r="NN22" s="64">
        <v>1370</v>
      </c>
      <c r="NO22" s="64">
        <v>1336</v>
      </c>
      <c r="NP22" s="64">
        <v>1286</v>
      </c>
      <c r="NQ22" s="64">
        <v>1275</v>
      </c>
      <c r="NR22" s="64">
        <v>1497</v>
      </c>
      <c r="NS22" s="64">
        <v>1578</v>
      </c>
      <c r="NT22" s="64">
        <v>1725</v>
      </c>
      <c r="NU22" s="64">
        <v>1676</v>
      </c>
      <c r="NV22" s="64">
        <v>1437</v>
      </c>
      <c r="NW22" s="64">
        <v>1439</v>
      </c>
      <c r="NX22" s="64">
        <v>1515</v>
      </c>
      <c r="NY22" s="64">
        <v>1342</v>
      </c>
      <c r="NZ22" s="64">
        <v>1482</v>
      </c>
      <c r="OA22" s="64">
        <v>1534</v>
      </c>
      <c r="OB22" s="64">
        <v>1552</v>
      </c>
      <c r="OC22" s="64">
        <v>1423</v>
      </c>
      <c r="OD22" s="64">
        <v>1345</v>
      </c>
      <c r="OE22" s="64">
        <v>1343</v>
      </c>
      <c r="OF22" s="64">
        <v>1302</v>
      </c>
      <c r="OG22" s="64">
        <v>1501</v>
      </c>
      <c r="OH22" s="64">
        <v>1579</v>
      </c>
      <c r="OI22" s="64">
        <v>1993</v>
      </c>
      <c r="OJ22" s="64">
        <v>1742</v>
      </c>
      <c r="OK22" s="64">
        <v>1648</v>
      </c>
      <c r="OL22" s="64">
        <v>1554</v>
      </c>
      <c r="OM22" s="64">
        <v>1549</v>
      </c>
      <c r="ON22" s="64">
        <v>1599</v>
      </c>
      <c r="OO22" s="64">
        <v>1805</v>
      </c>
      <c r="OP22" s="64">
        <v>1615</v>
      </c>
      <c r="OQ22" s="64">
        <v>1453</v>
      </c>
      <c r="OR22" s="64">
        <v>1533</v>
      </c>
      <c r="OS22" s="64">
        <v>1547</v>
      </c>
      <c r="OT22" s="64">
        <v>1561</v>
      </c>
      <c r="OU22" s="64">
        <v>1941</v>
      </c>
      <c r="OV22" s="64">
        <v>2065</v>
      </c>
      <c r="OW22" s="64">
        <v>2030</v>
      </c>
      <c r="OX22" s="64">
        <v>1941</v>
      </c>
      <c r="OY22" s="64">
        <v>1880</v>
      </c>
      <c r="OZ22" s="64">
        <v>1974</v>
      </c>
      <c r="PA22" s="64">
        <v>1923</v>
      </c>
      <c r="PB22" s="64">
        <v>1946</v>
      </c>
      <c r="PC22" s="64">
        <v>2211</v>
      </c>
      <c r="PD22" s="64">
        <v>1995</v>
      </c>
      <c r="PE22" s="64">
        <v>1990</v>
      </c>
      <c r="PF22" s="64">
        <v>1761</v>
      </c>
      <c r="PG22" s="64">
        <v>1841</v>
      </c>
      <c r="PH22" s="64">
        <v>2075</v>
      </c>
      <c r="PI22" s="64">
        <v>2371</v>
      </c>
      <c r="PJ22" s="64">
        <v>2550</v>
      </c>
      <c r="PK22" s="64">
        <v>2826</v>
      </c>
      <c r="PL22" s="64">
        <v>2371</v>
      </c>
      <c r="PM22" s="64">
        <v>2560</v>
      </c>
      <c r="PN22" s="64">
        <v>2195</v>
      </c>
      <c r="PO22" s="64">
        <v>2269</v>
      </c>
      <c r="PP22" s="64">
        <v>2277</v>
      </c>
      <c r="PQ22" s="64">
        <v>2318</v>
      </c>
      <c r="PR22" s="64">
        <v>2253</v>
      </c>
      <c r="PS22" s="64">
        <v>1840</v>
      </c>
      <c r="PT22" s="64">
        <v>1815</v>
      </c>
      <c r="PU22" s="64">
        <v>1806</v>
      </c>
      <c r="PV22" s="64">
        <v>1911</v>
      </c>
      <c r="PW22" s="64">
        <v>2192</v>
      </c>
      <c r="PX22" s="64">
        <v>2575</v>
      </c>
      <c r="PY22" s="64">
        <v>2554</v>
      </c>
      <c r="PZ22" s="64">
        <v>2403</v>
      </c>
      <c r="QA22" s="64">
        <v>2384</v>
      </c>
      <c r="QB22" s="64">
        <v>2511</v>
      </c>
      <c r="QC22" s="64">
        <v>2478</v>
      </c>
      <c r="QD22" s="64">
        <v>2768</v>
      </c>
      <c r="QE22" s="64">
        <v>2863</v>
      </c>
      <c r="QF22" s="64">
        <v>2567</v>
      </c>
      <c r="QG22" s="64">
        <v>2397</v>
      </c>
      <c r="QH22" s="64">
        <v>2387</v>
      </c>
      <c r="QI22" s="64">
        <v>2347</v>
      </c>
      <c r="QJ22" s="64">
        <v>2307</v>
      </c>
      <c r="QK22" s="64">
        <v>2630</v>
      </c>
      <c r="QL22" s="64">
        <v>3017</v>
      </c>
      <c r="QM22" s="64">
        <v>2571</v>
      </c>
      <c r="QN22" s="64">
        <v>2423</v>
      </c>
      <c r="QO22" s="64">
        <v>2583</v>
      </c>
      <c r="QP22" s="64">
        <v>3293</v>
      </c>
      <c r="QQ22" s="64">
        <v>2775</v>
      </c>
      <c r="QR22" s="64">
        <v>2433</v>
      </c>
      <c r="QS22" s="64">
        <v>3572</v>
      </c>
      <c r="QT22" s="64">
        <v>3713</v>
      </c>
      <c r="QU22" s="64">
        <v>2883</v>
      </c>
      <c r="QV22" s="64">
        <v>2965</v>
      </c>
      <c r="QW22" s="64">
        <v>3083</v>
      </c>
      <c r="QX22" s="64">
        <v>3144</v>
      </c>
      <c r="QY22" s="64">
        <v>2842</v>
      </c>
      <c r="QZ22" s="64">
        <v>2911</v>
      </c>
      <c r="RA22" s="64">
        <v>2860</v>
      </c>
      <c r="RB22" s="64">
        <v>2788</v>
      </c>
      <c r="RC22" s="64">
        <v>2770</v>
      </c>
      <c r="RD22" s="64">
        <v>2936</v>
      </c>
      <c r="RE22" s="64">
        <v>3277</v>
      </c>
      <c r="RF22" s="64">
        <v>3237</v>
      </c>
      <c r="RG22" s="64">
        <v>3542</v>
      </c>
      <c r="RH22" s="64">
        <v>3289</v>
      </c>
      <c r="RI22" s="64">
        <v>2921</v>
      </c>
      <c r="RJ22" s="64">
        <v>2802</v>
      </c>
      <c r="RK22" s="64">
        <v>2824</v>
      </c>
      <c r="RL22" s="64">
        <v>2766</v>
      </c>
      <c r="RM22" s="64">
        <v>3043</v>
      </c>
      <c r="RN22" s="64">
        <v>3202</v>
      </c>
      <c r="RO22" s="64">
        <v>3069</v>
      </c>
      <c r="RP22" s="64">
        <v>2608</v>
      </c>
      <c r="RQ22" s="64">
        <v>2646</v>
      </c>
      <c r="RR22" s="64">
        <v>2674</v>
      </c>
      <c r="RS22" s="64">
        <v>2916</v>
      </c>
      <c r="RT22" s="64">
        <v>3458</v>
      </c>
      <c r="RU22" s="64">
        <v>3341</v>
      </c>
      <c r="RV22" s="64">
        <v>3246</v>
      </c>
      <c r="RW22" s="64">
        <v>2977</v>
      </c>
      <c r="RX22" s="64">
        <v>3193</v>
      </c>
      <c r="RY22" s="64">
        <v>3016</v>
      </c>
      <c r="RZ22" s="64">
        <v>3015</v>
      </c>
      <c r="SA22" s="64">
        <v>3023</v>
      </c>
      <c r="SB22" s="64">
        <v>3186</v>
      </c>
      <c r="SC22" s="64">
        <v>3374</v>
      </c>
      <c r="SD22" s="64">
        <v>2971</v>
      </c>
      <c r="SE22" s="64">
        <v>2622</v>
      </c>
      <c r="SF22" s="64">
        <v>2834</v>
      </c>
      <c r="SG22" s="64">
        <v>2969</v>
      </c>
      <c r="SH22" s="64">
        <v>3410</v>
      </c>
      <c r="SI22" s="64">
        <v>3640</v>
      </c>
      <c r="SJ22" s="64">
        <v>3643</v>
      </c>
      <c r="SK22" s="64">
        <v>3525</v>
      </c>
      <c r="SL22" s="64">
        <v>3185</v>
      </c>
      <c r="SM22" s="64">
        <v>3239</v>
      </c>
      <c r="SN22" s="64">
        <v>3231</v>
      </c>
      <c r="SO22" s="64">
        <v>3437</v>
      </c>
      <c r="SP22" s="64">
        <v>3775</v>
      </c>
      <c r="SQ22" s="64">
        <v>3501</v>
      </c>
      <c r="SR22" s="64">
        <v>3013</v>
      </c>
      <c r="SS22" s="64">
        <v>3093</v>
      </c>
      <c r="ST22" s="64">
        <v>3417</v>
      </c>
      <c r="SU22" s="64">
        <v>3447</v>
      </c>
      <c r="SV22" s="64">
        <v>3370</v>
      </c>
      <c r="SW22" s="64">
        <v>3516</v>
      </c>
      <c r="SX22" s="64">
        <v>3375</v>
      </c>
      <c r="SY22" s="64">
        <v>4178</v>
      </c>
      <c r="SZ22" s="64">
        <v>3713</v>
      </c>
      <c r="TA22" s="64">
        <v>3542</v>
      </c>
      <c r="TB22" s="64">
        <v>3364</v>
      </c>
      <c r="TC22" s="64">
        <v>3705</v>
      </c>
      <c r="TD22" s="64">
        <v>4306</v>
      </c>
      <c r="TE22" s="64">
        <v>3842</v>
      </c>
      <c r="TF22" s="64">
        <v>3238</v>
      </c>
      <c r="TG22" s="64">
        <v>3372</v>
      </c>
      <c r="TH22" s="65">
        <v>3347</v>
      </c>
      <c r="TI22" s="65">
        <v>3421</v>
      </c>
      <c r="TJ22" s="65">
        <v>3700</v>
      </c>
      <c r="TK22" s="65">
        <v>3683</v>
      </c>
      <c r="TL22" s="65">
        <v>3693</v>
      </c>
      <c r="TM22" s="65">
        <v>3543</v>
      </c>
      <c r="TN22" s="65">
        <v>3590</v>
      </c>
      <c r="TO22" s="65">
        <v>3801</v>
      </c>
      <c r="TP22" s="65">
        <v>3720</v>
      </c>
      <c r="TQ22" s="65">
        <v>3928</v>
      </c>
      <c r="TR22" s="65">
        <v>4121</v>
      </c>
      <c r="TS22" s="65">
        <v>3837</v>
      </c>
      <c r="TT22" s="65">
        <v>3127</v>
      </c>
      <c r="TU22" s="65">
        <v>3590</v>
      </c>
      <c r="TV22" s="65">
        <v>3386</v>
      </c>
      <c r="TW22" s="65">
        <v>3534</v>
      </c>
      <c r="TX22" s="65">
        <v>3600</v>
      </c>
      <c r="TY22" s="65">
        <v>3843</v>
      </c>
      <c r="TZ22" s="65">
        <v>3685</v>
      </c>
      <c r="UA22" s="65">
        <v>3267</v>
      </c>
      <c r="UB22" s="65">
        <v>3561</v>
      </c>
      <c r="UC22" s="65">
        <v>4230</v>
      </c>
      <c r="UD22" s="65">
        <v>3834</v>
      </c>
      <c r="UE22" s="65">
        <v>4332</v>
      </c>
      <c r="UF22" s="65">
        <v>4228</v>
      </c>
      <c r="UG22" s="65">
        <v>4147</v>
      </c>
      <c r="UH22" s="65">
        <v>3697</v>
      </c>
      <c r="UI22" s="65">
        <v>3881</v>
      </c>
      <c r="UJ22" s="65">
        <v>3635</v>
      </c>
      <c r="UK22" s="65">
        <v>3519</v>
      </c>
      <c r="UL22" s="65">
        <v>3564</v>
      </c>
      <c r="UM22" s="65">
        <v>4024</v>
      </c>
      <c r="UN22" s="65">
        <v>3819</v>
      </c>
      <c r="UO22" s="65">
        <v>3475</v>
      </c>
      <c r="UP22" s="65">
        <v>3320</v>
      </c>
      <c r="UQ22" s="65">
        <v>3888</v>
      </c>
      <c r="UR22" s="65">
        <v>3872</v>
      </c>
      <c r="US22" s="65">
        <v>3990</v>
      </c>
      <c r="UT22" s="65">
        <v>4131</v>
      </c>
      <c r="UU22" s="65">
        <v>4052</v>
      </c>
      <c r="UV22" s="65">
        <v>3551</v>
      </c>
      <c r="UW22" s="65">
        <v>3408</v>
      </c>
      <c r="UX22" s="65">
        <v>3499</v>
      </c>
      <c r="UY22" s="65">
        <v>3607</v>
      </c>
      <c r="UZ22" s="65">
        <v>3553</v>
      </c>
      <c r="VA22" s="65">
        <v>3954</v>
      </c>
      <c r="VB22" s="65">
        <v>3685</v>
      </c>
      <c r="VC22" s="65">
        <v>3372</v>
      </c>
      <c r="VD22" s="65">
        <v>3226</v>
      </c>
      <c r="VE22" s="65">
        <v>3385</v>
      </c>
      <c r="VF22" s="65">
        <v>3385</v>
      </c>
      <c r="VG22" s="65">
        <v>3556</v>
      </c>
      <c r="VH22" s="65">
        <v>3664</v>
      </c>
      <c r="VI22" s="65">
        <v>4958</v>
      </c>
      <c r="VJ22" s="65">
        <v>4347</v>
      </c>
      <c r="VK22" s="65">
        <v>3889</v>
      </c>
      <c r="VL22" s="65">
        <v>3807</v>
      </c>
      <c r="VM22" s="65">
        <v>3565</v>
      </c>
      <c r="VN22" s="65">
        <v>3551</v>
      </c>
      <c r="VO22" s="65">
        <v>4013</v>
      </c>
      <c r="VP22" s="65">
        <v>4187</v>
      </c>
      <c r="VQ22" s="65">
        <v>3663</v>
      </c>
      <c r="VR22" s="65">
        <v>3259</v>
      </c>
      <c r="VS22" s="65">
        <v>3345</v>
      </c>
      <c r="VT22" s="65">
        <v>3377</v>
      </c>
      <c r="VU22" s="65">
        <v>3504</v>
      </c>
      <c r="VV22" s="65">
        <v>3738</v>
      </c>
      <c r="VW22" s="65">
        <v>4551</v>
      </c>
      <c r="VX22" s="65">
        <v>4248</v>
      </c>
      <c r="VY22" s="65">
        <v>3636</v>
      </c>
      <c r="VZ22" s="65">
        <v>3330</v>
      </c>
      <c r="WA22" s="65">
        <v>3476</v>
      </c>
      <c r="WB22" s="65">
        <v>4225</v>
      </c>
      <c r="WC22" s="65">
        <v>4692</v>
      </c>
      <c r="WD22" s="65">
        <v>4991</v>
      </c>
      <c r="WE22" s="65">
        <v>4753</v>
      </c>
      <c r="WF22" s="65">
        <v>4110</v>
      </c>
      <c r="WG22" s="65">
        <v>4220</v>
      </c>
      <c r="WH22" s="65">
        <v>3965</v>
      </c>
      <c r="WI22" s="65">
        <v>4072</v>
      </c>
      <c r="WJ22" s="65">
        <v>4044</v>
      </c>
      <c r="WK22" s="65">
        <v>4142</v>
      </c>
      <c r="WL22" s="65">
        <v>4440</v>
      </c>
      <c r="WM22" s="65">
        <v>4187</v>
      </c>
      <c r="WN22" s="65">
        <v>5249</v>
      </c>
      <c r="WO22" s="65">
        <v>4998</v>
      </c>
      <c r="WP22" s="65">
        <v>5037</v>
      </c>
      <c r="WQ22" s="65">
        <v>4907</v>
      </c>
      <c r="WR22" s="65">
        <v>5620</v>
      </c>
      <c r="WS22" s="65">
        <v>5482</v>
      </c>
      <c r="WT22" s="65">
        <v>4977</v>
      </c>
      <c r="WU22" s="65">
        <v>5091</v>
      </c>
      <c r="WV22" s="65">
        <v>5661</v>
      </c>
      <c r="WW22" s="65">
        <v>5042</v>
      </c>
      <c r="WX22" s="65">
        <v>5384</v>
      </c>
      <c r="WY22" s="65">
        <v>5402</v>
      </c>
      <c r="WZ22" s="65">
        <v>5301</v>
      </c>
      <c r="XA22" s="65">
        <v>4817</v>
      </c>
      <c r="XB22" s="65">
        <v>4970</v>
      </c>
      <c r="XC22" s="65">
        <v>5265</v>
      </c>
      <c r="XD22" s="65">
        <v>5218</v>
      </c>
      <c r="XE22" s="65">
        <v>5583</v>
      </c>
      <c r="XF22" s="65">
        <v>5823</v>
      </c>
      <c r="XG22" s="65">
        <v>5835</v>
      </c>
      <c r="XH22" s="65">
        <v>5237</v>
      </c>
      <c r="XI22" s="65">
        <v>5103</v>
      </c>
      <c r="XJ22" s="65">
        <v>5319</v>
      </c>
      <c r="XK22" s="65">
        <v>5453</v>
      </c>
      <c r="XL22" s="65">
        <v>5679</v>
      </c>
      <c r="XM22" s="65">
        <v>6079</v>
      </c>
      <c r="XN22" s="65">
        <v>5848</v>
      </c>
      <c r="XO22" s="65">
        <v>5226</v>
      </c>
      <c r="XP22" s="65">
        <v>5447</v>
      </c>
      <c r="XQ22" s="65">
        <v>5586</v>
      </c>
      <c r="XR22" s="65">
        <v>6371</v>
      </c>
      <c r="XS22" s="65">
        <v>6204</v>
      </c>
      <c r="XT22" s="65">
        <v>6834</v>
      </c>
      <c r="XU22" s="65">
        <v>6464</v>
      </c>
      <c r="XV22" s="65">
        <v>5612</v>
      </c>
      <c r="XW22" s="65">
        <v>5703</v>
      </c>
      <c r="XX22" s="65">
        <v>5706</v>
      </c>
      <c r="XY22" s="65">
        <v>5536</v>
      </c>
      <c r="XZ22" s="65">
        <v>5888</v>
      </c>
      <c r="YA22" s="65">
        <v>6446</v>
      </c>
      <c r="YB22" s="65">
        <v>5952</v>
      </c>
      <c r="YC22" s="158">
        <v>5133</v>
      </c>
      <c r="YD22" s="158">
        <v>4952</v>
      </c>
      <c r="YE22" s="158">
        <v>5399</v>
      </c>
      <c r="YF22" s="158">
        <v>5777</v>
      </c>
      <c r="YG22" s="158">
        <v>6311</v>
      </c>
      <c r="YH22" s="158">
        <v>6778</v>
      </c>
      <c r="YI22" s="158">
        <v>6599</v>
      </c>
      <c r="YJ22" s="158">
        <v>5842</v>
      </c>
      <c r="YK22" s="158">
        <v>5801</v>
      </c>
      <c r="YL22" s="158">
        <v>5642</v>
      </c>
      <c r="YM22" s="158">
        <v>5626</v>
      </c>
    </row>
    <row r="23" spans="1:663" ht="15.75" customHeight="1" x14ac:dyDescent="0.2">
      <c r="A23" s="52"/>
      <c r="B23" s="53" t="s">
        <v>159</v>
      </c>
      <c r="C23" s="54">
        <f>C22/296-1</f>
        <v>-0.31081081081081086</v>
      </c>
      <c r="D23" s="54">
        <f t="shared" ref="D23:IX23" si="41">D22/C22-1</f>
        <v>-0.19117647058823528</v>
      </c>
      <c r="E23" s="54">
        <f t="shared" si="41"/>
        <v>0.24848484848484853</v>
      </c>
      <c r="F23" s="54">
        <f t="shared" si="41"/>
        <v>0.13106796116504849</v>
      </c>
      <c r="G23" s="54">
        <f t="shared" si="41"/>
        <v>-0.26609442060085842</v>
      </c>
      <c r="H23" s="54">
        <f t="shared" si="41"/>
        <v>-2.3391812865497075E-2</v>
      </c>
      <c r="I23" s="54">
        <f t="shared" si="41"/>
        <v>0.17365269461077837</v>
      </c>
      <c r="J23" s="54">
        <f t="shared" si="41"/>
        <v>1.0204081632652962E-2</v>
      </c>
      <c r="K23" s="54">
        <f t="shared" si="41"/>
        <v>-1.5151515151515138E-2</v>
      </c>
      <c r="L23" s="54">
        <f t="shared" si="41"/>
        <v>5.6410256410256432E-2</v>
      </c>
      <c r="M23" s="54">
        <f t="shared" si="41"/>
        <v>0.23300970873786397</v>
      </c>
      <c r="N23" s="54">
        <f t="shared" si="41"/>
        <v>-0.25590551181102361</v>
      </c>
      <c r="O23" s="54">
        <f t="shared" si="41"/>
        <v>-0.12169312169312174</v>
      </c>
      <c r="P23" s="54">
        <f t="shared" si="41"/>
        <v>0.29518072289156616</v>
      </c>
      <c r="Q23" s="54">
        <f t="shared" si="41"/>
        <v>0.49767441860465111</v>
      </c>
      <c r="R23" s="54">
        <f t="shared" si="41"/>
        <v>-0.1149068322981367</v>
      </c>
      <c r="S23" s="54">
        <f t="shared" si="41"/>
        <v>-0.1333333333333333</v>
      </c>
      <c r="T23" s="54">
        <f t="shared" si="41"/>
        <v>-2.8340080971659964E-2</v>
      </c>
      <c r="U23" s="54">
        <f t="shared" si="41"/>
        <v>-8.7500000000000022E-2</v>
      </c>
      <c r="V23" s="54">
        <f t="shared" si="41"/>
        <v>2.7397260273972712E-2</v>
      </c>
      <c r="W23" s="54">
        <f t="shared" si="41"/>
        <v>-8.8888888888888351E-3</v>
      </c>
      <c r="X23" s="54">
        <f t="shared" si="41"/>
        <v>8.0717488789237679E-2</v>
      </c>
      <c r="Y23" s="54">
        <f t="shared" si="41"/>
        <v>0.17427385892116187</v>
      </c>
      <c r="Z23" s="54">
        <f t="shared" si="41"/>
        <v>-6.360424028268552E-2</v>
      </c>
      <c r="AA23" s="54">
        <f t="shared" si="41"/>
        <v>7.547169811320753E-3</v>
      </c>
      <c r="AB23" s="54">
        <f t="shared" si="41"/>
        <v>-3.7453183520599231E-2</v>
      </c>
      <c r="AC23" s="54">
        <f t="shared" si="41"/>
        <v>-0.10116731517509725</v>
      </c>
      <c r="AD23" s="54">
        <f t="shared" si="41"/>
        <v>0.14285714285714279</v>
      </c>
      <c r="AE23" s="54">
        <f t="shared" si="41"/>
        <v>9.0909090909090828E-2</v>
      </c>
      <c r="AF23" s="54">
        <f t="shared" si="41"/>
        <v>-0.16319444444444442</v>
      </c>
      <c r="AG23" s="54">
        <f t="shared" si="41"/>
        <v>1.6597510373443924E-2</v>
      </c>
      <c r="AH23" s="54">
        <f t="shared" si="41"/>
        <v>0.33469387755102042</v>
      </c>
      <c r="AI23" s="54">
        <f t="shared" si="41"/>
        <v>-0.15902140672782872</v>
      </c>
      <c r="AJ23" s="54">
        <f t="shared" si="41"/>
        <v>-0.32727272727272727</v>
      </c>
      <c r="AK23" s="54">
        <f t="shared" si="41"/>
        <v>0.34594594594594597</v>
      </c>
      <c r="AL23" s="54">
        <f t="shared" si="41"/>
        <v>6.425702811244971E-2</v>
      </c>
      <c r="AM23" s="54">
        <f t="shared" si="41"/>
        <v>-3.7735849056603765E-3</v>
      </c>
      <c r="AN23" s="54">
        <f t="shared" si="41"/>
        <v>-1.5151515151515138E-2</v>
      </c>
      <c r="AO23" s="54">
        <f t="shared" si="41"/>
        <v>6.9230769230769207E-2</v>
      </c>
      <c r="AP23" s="54">
        <f t="shared" si="41"/>
        <v>-0.12949640287769781</v>
      </c>
      <c r="AQ23" s="54">
        <f t="shared" si="41"/>
        <v>-9.0909090909090939E-2</v>
      </c>
      <c r="AR23" s="54">
        <f t="shared" si="41"/>
        <v>0.29090909090909101</v>
      </c>
      <c r="AS23" s="54">
        <f t="shared" si="41"/>
        <v>-4.2253521126760618E-2</v>
      </c>
      <c r="AT23" s="54">
        <f t="shared" si="41"/>
        <v>2.9411764705882248E-2</v>
      </c>
      <c r="AU23" s="54">
        <f t="shared" si="41"/>
        <v>3.9285714285714368E-2</v>
      </c>
      <c r="AV23" s="54">
        <f t="shared" si="41"/>
        <v>0.19243986254295531</v>
      </c>
      <c r="AW23" s="54">
        <f t="shared" si="41"/>
        <v>-0.2305475504322767</v>
      </c>
      <c r="AX23" s="54">
        <f t="shared" si="41"/>
        <v>0.16104868913857673</v>
      </c>
      <c r="AY23" s="54">
        <f t="shared" si="41"/>
        <v>-0.1645161290322581</v>
      </c>
      <c r="AZ23" s="54">
        <f t="shared" si="41"/>
        <v>0.10810810810810811</v>
      </c>
      <c r="BA23" s="54">
        <f t="shared" si="41"/>
        <v>7.6655052264808399E-2</v>
      </c>
      <c r="BB23" s="54">
        <f t="shared" si="41"/>
        <v>-3.5598705501618144E-2</v>
      </c>
      <c r="BC23" s="54">
        <f t="shared" si="41"/>
        <v>6.3758389261745041E-2</v>
      </c>
      <c r="BD23" s="54">
        <f t="shared" si="41"/>
        <v>5.9936908517350229E-2</v>
      </c>
      <c r="BE23" s="54">
        <f t="shared" si="41"/>
        <v>-0.1160714285714286</v>
      </c>
      <c r="BF23" s="54">
        <f t="shared" si="41"/>
        <v>-5.3872053872053849E-2</v>
      </c>
      <c r="BG23" s="54">
        <f t="shared" si="41"/>
        <v>-9.252669039145911E-2</v>
      </c>
      <c r="BH23" s="54">
        <f t="shared" si="41"/>
        <v>0.30196078431372553</v>
      </c>
      <c r="BI23" s="54">
        <f t="shared" si="41"/>
        <v>-5.1204819277108404E-2</v>
      </c>
      <c r="BJ23" s="54">
        <f t="shared" si="41"/>
        <v>0.47301587301587311</v>
      </c>
      <c r="BK23" s="54">
        <f t="shared" si="41"/>
        <v>-0.18965517241379315</v>
      </c>
      <c r="BL23" s="54">
        <f t="shared" si="41"/>
        <v>-0.12765957446808507</v>
      </c>
      <c r="BM23" s="54">
        <f t="shared" si="41"/>
        <v>-3.6585365853658569E-2</v>
      </c>
      <c r="BN23" s="54">
        <f t="shared" si="41"/>
        <v>-0.14873417721518989</v>
      </c>
      <c r="BO23" s="54">
        <f t="shared" si="41"/>
        <v>0.16356877323420083</v>
      </c>
      <c r="BP23" s="54">
        <f t="shared" si="41"/>
        <v>3.514376996805102E-2</v>
      </c>
      <c r="BQ23" s="54">
        <f t="shared" si="41"/>
        <v>1.5432098765432167E-2</v>
      </c>
      <c r="BR23" s="54">
        <f t="shared" si="41"/>
        <v>-7.9027355623100259E-2</v>
      </c>
      <c r="BS23" s="54">
        <f t="shared" si="41"/>
        <v>-8.5808580858085848E-2</v>
      </c>
      <c r="BT23" s="54">
        <f t="shared" si="41"/>
        <v>-4.6931407942238268E-2</v>
      </c>
      <c r="BU23" s="54">
        <f t="shared" si="41"/>
        <v>3.4090909090909172E-2</v>
      </c>
      <c r="BV23" s="54">
        <f t="shared" si="41"/>
        <v>-1.46520146520146E-2</v>
      </c>
      <c r="BW23" s="54">
        <f t="shared" si="41"/>
        <v>0.48327137546468402</v>
      </c>
      <c r="BX23" s="54">
        <f t="shared" si="41"/>
        <v>0</v>
      </c>
      <c r="BY23" s="54">
        <f t="shared" si="41"/>
        <v>-0.17543859649122806</v>
      </c>
      <c r="BZ23" s="54">
        <f t="shared" si="41"/>
        <v>-0.15197568389057747</v>
      </c>
      <c r="CA23" s="54">
        <f t="shared" si="41"/>
        <v>0.13261648745519716</v>
      </c>
      <c r="CB23" s="54">
        <f t="shared" si="41"/>
        <v>0.13291139240506333</v>
      </c>
      <c r="CC23" s="54">
        <f t="shared" si="41"/>
        <v>-1.9553072625698276E-2</v>
      </c>
      <c r="CD23" s="54">
        <f t="shared" si="41"/>
        <v>0</v>
      </c>
      <c r="CE23" s="54">
        <f t="shared" si="41"/>
        <v>0.1766381766381766</v>
      </c>
      <c r="CF23" s="54">
        <f t="shared" si="41"/>
        <v>-0.17675544794188858</v>
      </c>
      <c r="CG23" s="54">
        <f t="shared" si="41"/>
        <v>-0.15588235294117647</v>
      </c>
      <c r="CH23" s="54">
        <f t="shared" si="41"/>
        <v>0.11149825783972123</v>
      </c>
      <c r="CI23" s="54">
        <f t="shared" si="41"/>
        <v>0.13793103448275867</v>
      </c>
      <c r="CJ23" s="54">
        <f t="shared" si="41"/>
        <v>-5.7851239669421517E-2</v>
      </c>
      <c r="CK23" s="54">
        <f t="shared" si="41"/>
        <v>0.17836257309941517</v>
      </c>
      <c r="CL23" s="54">
        <f t="shared" si="41"/>
        <v>5.9553349875930417E-2</v>
      </c>
      <c r="CM23" s="54">
        <f t="shared" si="41"/>
        <v>-0.18969555035128804</v>
      </c>
      <c r="CN23" s="54">
        <f t="shared" si="41"/>
        <v>7.225433526011571E-2</v>
      </c>
      <c r="CO23" s="54">
        <f t="shared" si="41"/>
        <v>-3.5040431266846306E-2</v>
      </c>
      <c r="CP23" s="54">
        <f t="shared" si="41"/>
        <v>0.15083798882681565</v>
      </c>
      <c r="CQ23" s="54">
        <f t="shared" si="41"/>
        <v>-5.3398058252427161E-2</v>
      </c>
      <c r="CR23" s="54">
        <f t="shared" si="41"/>
        <v>0.10256410256410264</v>
      </c>
      <c r="CS23" s="54">
        <f t="shared" si="41"/>
        <v>5.8139534883721034E-2</v>
      </c>
      <c r="CT23" s="54">
        <f t="shared" si="41"/>
        <v>-3.9560439560439531E-2</v>
      </c>
      <c r="CU23" s="54">
        <f t="shared" si="41"/>
        <v>-0.16704805491990848</v>
      </c>
      <c r="CV23" s="54">
        <f t="shared" si="41"/>
        <v>-3.8461538461538436E-2</v>
      </c>
      <c r="CW23" s="54">
        <f t="shared" si="41"/>
        <v>9.1428571428571415E-2</v>
      </c>
      <c r="CX23" s="54">
        <f t="shared" si="41"/>
        <v>0.21989528795811508</v>
      </c>
      <c r="CY23" s="54">
        <f t="shared" si="41"/>
        <v>-0.128755364806867</v>
      </c>
      <c r="CZ23" s="54">
        <f t="shared" si="41"/>
        <v>0.14778325123152714</v>
      </c>
      <c r="DA23" s="54">
        <f t="shared" si="41"/>
        <v>-0.11802575107296143</v>
      </c>
      <c r="DB23" s="54">
        <f t="shared" si="41"/>
        <v>-0.11678832116788318</v>
      </c>
      <c r="DC23" s="54">
        <f t="shared" si="41"/>
        <v>0.28374655647382929</v>
      </c>
      <c r="DD23" s="54">
        <f t="shared" si="41"/>
        <v>-1.5021459227467782E-2</v>
      </c>
      <c r="DE23" s="54">
        <f t="shared" si="41"/>
        <v>-0.11328976034858385</v>
      </c>
      <c r="DF23" s="54">
        <f t="shared" si="41"/>
        <v>-0.2039312039312039</v>
      </c>
      <c r="DG23" s="54">
        <f t="shared" si="41"/>
        <v>0.42283950617283961</v>
      </c>
      <c r="DH23" s="54">
        <f t="shared" si="41"/>
        <v>-6.5075921908893664E-2</v>
      </c>
      <c r="DI23" s="54">
        <f t="shared" si="41"/>
        <v>-6.9605568445475496E-3</v>
      </c>
      <c r="DJ23" s="54">
        <f t="shared" si="41"/>
        <v>5.1401869158878455E-2</v>
      </c>
      <c r="DK23" s="54">
        <f t="shared" si="41"/>
        <v>0.18666666666666676</v>
      </c>
      <c r="DL23" s="54">
        <f t="shared" si="41"/>
        <v>-0.1292134831460674</v>
      </c>
      <c r="DM23" s="54">
        <f t="shared" si="41"/>
        <v>-5.3763440860215006E-2</v>
      </c>
      <c r="DN23" s="54">
        <f t="shared" si="41"/>
        <v>0.17045454545454541</v>
      </c>
      <c r="DO23" s="54">
        <f t="shared" si="41"/>
        <v>-3.4951456310679641E-2</v>
      </c>
      <c r="DP23" s="54">
        <f t="shared" si="41"/>
        <v>-0.21730382293762573</v>
      </c>
      <c r="DQ23" s="54">
        <f t="shared" si="41"/>
        <v>-6.4267352185089943E-2</v>
      </c>
      <c r="DR23" s="54">
        <f t="shared" si="41"/>
        <v>0.25</v>
      </c>
      <c r="DS23" s="54">
        <f t="shared" si="41"/>
        <v>7.2527472527472492E-2</v>
      </c>
      <c r="DT23" s="54">
        <f t="shared" si="41"/>
        <v>-9.0163934426229497E-2</v>
      </c>
      <c r="DU23" s="54">
        <f t="shared" si="41"/>
        <v>-3.6036036036036001E-2</v>
      </c>
      <c r="DV23" s="54">
        <f t="shared" si="41"/>
        <v>-7.2429906542056055E-2</v>
      </c>
      <c r="DW23" s="54">
        <f t="shared" si="41"/>
        <v>3.5264483627204024E-2</v>
      </c>
      <c r="DX23" s="54">
        <f t="shared" si="41"/>
        <v>-4.8661800486617945E-3</v>
      </c>
      <c r="DY23" s="54">
        <f t="shared" si="41"/>
        <v>0.17359413202933993</v>
      </c>
      <c r="DZ23" s="54">
        <f t="shared" si="41"/>
        <v>3.9583333333333304E-2</v>
      </c>
      <c r="EA23" s="54">
        <f t="shared" si="41"/>
        <v>-5.8116232464929807E-2</v>
      </c>
      <c r="EB23" s="54">
        <f t="shared" si="41"/>
        <v>4.2553191489361764E-2</v>
      </c>
      <c r="EC23" s="54">
        <f t="shared" si="41"/>
        <v>-6.3265306122448961E-2</v>
      </c>
      <c r="ED23" s="54">
        <f t="shared" si="41"/>
        <v>-0.10893246187363836</v>
      </c>
      <c r="EE23" s="54">
        <f t="shared" si="41"/>
        <v>-6.8459657701711474E-2</v>
      </c>
      <c r="EF23" s="54">
        <f t="shared" si="41"/>
        <v>0.15485564304461952</v>
      </c>
      <c r="EG23" s="54">
        <f t="shared" si="41"/>
        <v>0.21818181818181825</v>
      </c>
      <c r="EH23" s="54">
        <f t="shared" si="41"/>
        <v>1.8656716417910557E-2</v>
      </c>
      <c r="EI23" s="54">
        <f t="shared" si="41"/>
        <v>9.8901098901098994E-2</v>
      </c>
      <c r="EJ23" s="54">
        <f t="shared" si="41"/>
        <v>-0.14666666666666661</v>
      </c>
      <c r="EK23" s="54">
        <f t="shared" si="41"/>
        <v>3.7109375E-2</v>
      </c>
      <c r="EL23" s="54">
        <f t="shared" si="41"/>
        <v>9.0395480225988756E-2</v>
      </c>
      <c r="EM23" s="54">
        <f t="shared" si="41"/>
        <v>6.9084628670121884E-3</v>
      </c>
      <c r="EN23" s="54">
        <f t="shared" si="41"/>
        <v>4.116638078902235E-2</v>
      </c>
      <c r="EO23" s="54">
        <f t="shared" si="41"/>
        <v>0.19275123558484353</v>
      </c>
      <c r="EP23" s="54">
        <f t="shared" si="41"/>
        <v>-0.10359116022099446</v>
      </c>
      <c r="EQ23" s="54">
        <f t="shared" si="41"/>
        <v>-4.7765793528505407E-2</v>
      </c>
      <c r="ER23" s="54">
        <f t="shared" si="41"/>
        <v>-0.22815533980582525</v>
      </c>
      <c r="ES23" s="54">
        <f t="shared" si="41"/>
        <v>0.32285115303983236</v>
      </c>
      <c r="ET23" s="54">
        <f t="shared" si="41"/>
        <v>-0.17591125198098256</v>
      </c>
      <c r="EU23" s="54">
        <f t="shared" si="41"/>
        <v>6.7307692307692291E-2</v>
      </c>
      <c r="EV23" s="54">
        <f t="shared" si="41"/>
        <v>0.20180180180180174</v>
      </c>
      <c r="EW23" s="54">
        <f t="shared" si="41"/>
        <v>5.0974512743628075E-2</v>
      </c>
      <c r="EX23" s="54">
        <f t="shared" si="41"/>
        <v>-5.7061340941512162E-3</v>
      </c>
      <c r="EY23" s="54">
        <f t="shared" si="41"/>
        <v>-0.15351506456241037</v>
      </c>
      <c r="EZ23" s="54">
        <f t="shared" si="41"/>
        <v>5.5932203389830404E-2</v>
      </c>
      <c r="FA23" s="54">
        <f t="shared" si="41"/>
        <v>0.1043338683788122</v>
      </c>
      <c r="FB23" s="54">
        <f t="shared" si="41"/>
        <v>0.10319767441860472</v>
      </c>
      <c r="FC23" s="54">
        <f t="shared" si="41"/>
        <v>2.6350461133068936E-3</v>
      </c>
      <c r="FD23" s="54">
        <f t="shared" si="41"/>
        <v>-4.8620236530880434E-2</v>
      </c>
      <c r="FE23" s="54">
        <f t="shared" si="41"/>
        <v>5.1104972375690672E-2</v>
      </c>
      <c r="FF23" s="54">
        <f t="shared" si="41"/>
        <v>-0.21024967148488827</v>
      </c>
      <c r="FG23" s="54">
        <f t="shared" si="41"/>
        <v>-1.6638935108153063E-3</v>
      </c>
      <c r="FH23" s="54">
        <f t="shared" si="41"/>
        <v>0.12833333333333341</v>
      </c>
      <c r="FI23" s="54">
        <f t="shared" si="41"/>
        <v>-2.3633677991137358E-2</v>
      </c>
      <c r="FJ23" s="54">
        <f t="shared" si="41"/>
        <v>5.748865355521926E-2</v>
      </c>
      <c r="FK23" s="54">
        <f t="shared" si="41"/>
        <v>9.7281831187410628E-2</v>
      </c>
      <c r="FL23" s="54">
        <f t="shared" si="41"/>
        <v>-2.4771838331160367E-2</v>
      </c>
      <c r="FM23" s="54">
        <f t="shared" si="41"/>
        <v>-7.0855614973261982E-2</v>
      </c>
      <c r="FN23" s="54">
        <f t="shared" si="41"/>
        <v>9.6402877697841616E-2</v>
      </c>
      <c r="FO23" s="54">
        <f t="shared" si="41"/>
        <v>-0.10629921259842523</v>
      </c>
      <c r="FP23" s="54">
        <f t="shared" si="41"/>
        <v>0.17767988252569755</v>
      </c>
      <c r="FQ23" s="54">
        <f t="shared" si="41"/>
        <v>-4.9875311720698479E-3</v>
      </c>
      <c r="FR23" s="54">
        <f t="shared" si="41"/>
        <v>-6.6416040100250595E-2</v>
      </c>
      <c r="FS23" s="54">
        <f t="shared" si="41"/>
        <v>0.11812080536912761</v>
      </c>
      <c r="FT23" s="54">
        <f t="shared" si="41"/>
        <v>-1.3205282112845107E-2</v>
      </c>
      <c r="FU23" s="54">
        <f t="shared" si="41"/>
        <v>-0.10462287104622869</v>
      </c>
      <c r="FV23" s="54">
        <f t="shared" si="41"/>
        <v>0.15081521739130443</v>
      </c>
      <c r="FW23" s="54">
        <f t="shared" si="41"/>
        <v>-0.10389610389610393</v>
      </c>
      <c r="FX23" s="54">
        <f t="shared" si="41"/>
        <v>1.0540184453228019E-2</v>
      </c>
      <c r="FY23" s="54">
        <f t="shared" si="41"/>
        <v>0.17601043024771834</v>
      </c>
      <c r="FZ23" s="54">
        <f t="shared" si="41"/>
        <v>-3.9911308203991136E-2</v>
      </c>
      <c r="GA23" s="54">
        <f t="shared" si="41"/>
        <v>-4.2725173210161671E-2</v>
      </c>
      <c r="GB23" s="54">
        <f t="shared" si="41"/>
        <v>-7.1170084439083237E-2</v>
      </c>
      <c r="GC23" s="54">
        <f t="shared" si="41"/>
        <v>5.8441558441558517E-2</v>
      </c>
      <c r="GD23" s="54">
        <f t="shared" si="41"/>
        <v>2.5766871165644245E-2</v>
      </c>
      <c r="GE23" s="54">
        <f t="shared" si="41"/>
        <v>1.1961722488038173E-2</v>
      </c>
      <c r="GF23" s="54">
        <f t="shared" si="41"/>
        <v>3.900709219858145E-2</v>
      </c>
      <c r="GG23" s="54">
        <f t="shared" si="41"/>
        <v>-7.1672354948805417E-2</v>
      </c>
      <c r="GH23" s="54">
        <f t="shared" si="41"/>
        <v>8.5784313725489891E-3</v>
      </c>
      <c r="GI23" s="54">
        <f t="shared" si="41"/>
        <v>-0.17010935601458077</v>
      </c>
      <c r="GJ23" s="54">
        <f t="shared" si="41"/>
        <v>7.3206442166910746E-2</v>
      </c>
      <c r="GK23" s="54">
        <f t="shared" si="41"/>
        <v>2.3192360163710735E-2</v>
      </c>
      <c r="GL23" s="54">
        <f t="shared" si="41"/>
        <v>0.21066666666666656</v>
      </c>
      <c r="GM23" s="54">
        <f t="shared" si="41"/>
        <v>-7.5991189427312755E-2</v>
      </c>
      <c r="GN23" s="54">
        <f t="shared" si="41"/>
        <v>8.4624553039332584E-2</v>
      </c>
      <c r="GO23" s="54">
        <f t="shared" si="41"/>
        <v>-0.10549450549450545</v>
      </c>
      <c r="GP23" s="54">
        <f t="shared" si="41"/>
        <v>4.6683046683046792E-2</v>
      </c>
      <c r="GQ23" s="54">
        <f t="shared" si="41"/>
        <v>4.3427230046948262E-2</v>
      </c>
      <c r="GR23" s="54">
        <f t="shared" si="41"/>
        <v>-1.7997750281214864E-2</v>
      </c>
      <c r="GS23" s="54">
        <f t="shared" si="41"/>
        <v>6.1855670103092786E-2</v>
      </c>
      <c r="GT23" s="54">
        <f t="shared" si="41"/>
        <v>-7.5512405609492461E-3</v>
      </c>
      <c r="GU23" s="54">
        <f t="shared" si="41"/>
        <v>5.6521739130434678E-2</v>
      </c>
      <c r="GV23" s="54">
        <f t="shared" si="41"/>
        <v>-0.23456790123456794</v>
      </c>
      <c r="GW23" s="54">
        <f t="shared" si="41"/>
        <v>5.7795698924731242E-2</v>
      </c>
      <c r="GX23" s="54">
        <f t="shared" si="41"/>
        <v>-4.5743329097839847E-2</v>
      </c>
      <c r="GY23" s="54">
        <f t="shared" si="41"/>
        <v>4.926764314247678E-2</v>
      </c>
      <c r="GZ23" s="54">
        <f t="shared" si="41"/>
        <v>0.14720812182741128</v>
      </c>
      <c r="HA23" s="54">
        <f t="shared" si="41"/>
        <v>9.6238938053097245E-2</v>
      </c>
      <c r="HB23" s="54">
        <f t="shared" si="41"/>
        <v>-8.678102926337028E-2</v>
      </c>
      <c r="HC23" s="54">
        <f t="shared" si="41"/>
        <v>-7.6243093922651939E-2</v>
      </c>
      <c r="HD23" s="54">
        <f t="shared" si="41"/>
        <v>-1.9138755980861233E-2</v>
      </c>
      <c r="HE23" s="54">
        <f t="shared" si="41"/>
        <v>0.1073170731707318</v>
      </c>
      <c r="HF23" s="54">
        <f t="shared" si="41"/>
        <v>-1.3215859030836996E-2</v>
      </c>
      <c r="HG23" s="54">
        <f t="shared" si="41"/>
        <v>0.1964285714285714</v>
      </c>
      <c r="HH23" s="54">
        <f t="shared" si="41"/>
        <v>5.2238805970149294E-2</v>
      </c>
      <c r="HI23" s="54">
        <f t="shared" si="41"/>
        <v>-4.3439716312056786E-2</v>
      </c>
      <c r="HJ23" s="54">
        <f t="shared" si="41"/>
        <v>-0.2103799814643188</v>
      </c>
      <c r="HK23" s="54">
        <f t="shared" si="41"/>
        <v>2.3474178403755763E-2</v>
      </c>
      <c r="HL23" s="54">
        <f t="shared" si="41"/>
        <v>4.8165137614678999E-2</v>
      </c>
      <c r="HM23" s="54">
        <f t="shared" si="41"/>
        <v>2.6258205689277947E-2</v>
      </c>
      <c r="HN23" s="54">
        <f t="shared" si="41"/>
        <v>3.4115138592750505E-2</v>
      </c>
      <c r="HO23" s="54">
        <f t="shared" si="41"/>
        <v>4.6391752577319645E-2</v>
      </c>
      <c r="HP23" s="54">
        <f t="shared" si="41"/>
        <v>-9.1625615763546775E-2</v>
      </c>
      <c r="HQ23" s="54">
        <f t="shared" si="41"/>
        <v>-0.15292841648590016</v>
      </c>
      <c r="HR23" s="54">
        <f t="shared" si="41"/>
        <v>-2.5608194622278591E-3</v>
      </c>
      <c r="HS23" s="54">
        <f t="shared" si="41"/>
        <v>6.4184852374840062E-3</v>
      </c>
      <c r="HT23" s="54">
        <f t="shared" si="41"/>
        <v>0.14668367346938771</v>
      </c>
      <c r="HU23" s="54">
        <f t="shared" si="41"/>
        <v>0.22803114571746375</v>
      </c>
      <c r="HV23" s="54">
        <f t="shared" si="41"/>
        <v>6.3405797101450112E-3</v>
      </c>
      <c r="HW23" s="54">
        <f t="shared" si="41"/>
        <v>1.6201620162016095E-2</v>
      </c>
      <c r="HX23" s="54">
        <f t="shared" si="41"/>
        <v>-8.3259521700620009E-2</v>
      </c>
      <c r="HY23" s="54">
        <f t="shared" si="41"/>
        <v>4.6376811594202927E-2</v>
      </c>
      <c r="HZ23" s="54">
        <f t="shared" si="41"/>
        <v>2.7700831024930483E-3</v>
      </c>
      <c r="IA23" s="54">
        <f t="shared" si="41"/>
        <v>7.9189686924493463E-2</v>
      </c>
      <c r="IB23" s="54">
        <f t="shared" si="41"/>
        <v>-2.7303754266211566E-2</v>
      </c>
      <c r="IC23" s="54">
        <f t="shared" si="41"/>
        <v>-5.6140350877192935E-2</v>
      </c>
      <c r="ID23" s="54">
        <f t="shared" si="41"/>
        <v>4.0892193308550207E-2</v>
      </c>
      <c r="IE23" s="54">
        <f t="shared" si="41"/>
        <v>-7.2321428571428537E-2</v>
      </c>
      <c r="IF23" s="54">
        <f t="shared" si="41"/>
        <v>-0.1029836381135707</v>
      </c>
      <c r="IG23" s="54">
        <f t="shared" si="41"/>
        <v>0.18025751072961382</v>
      </c>
      <c r="IH23" s="54">
        <f t="shared" si="41"/>
        <v>-6.4545454545454573E-2</v>
      </c>
      <c r="II23" s="54">
        <f t="shared" si="41"/>
        <v>0.1331389698736638</v>
      </c>
      <c r="IJ23" s="54">
        <f t="shared" si="41"/>
        <v>3.4305317324185181E-2</v>
      </c>
      <c r="IK23" s="54">
        <f t="shared" si="41"/>
        <v>6.7164179104477695E-2</v>
      </c>
      <c r="IL23" s="54">
        <f t="shared" si="41"/>
        <v>4.8174048174048245E-2</v>
      </c>
      <c r="IM23" s="54">
        <f t="shared" si="41"/>
        <v>-6.4492216456634499E-2</v>
      </c>
      <c r="IN23" s="54">
        <f t="shared" si="41"/>
        <v>-3.8034865293185449E-2</v>
      </c>
      <c r="IO23" s="54">
        <f t="shared" si="41"/>
        <v>7.5782537067545341E-2</v>
      </c>
      <c r="IP23" s="54">
        <f t="shared" si="41"/>
        <v>3.905053598774888E-2</v>
      </c>
      <c r="IQ23" s="54">
        <f t="shared" si="41"/>
        <v>0.12896094325718499</v>
      </c>
      <c r="IR23" s="54">
        <f t="shared" si="41"/>
        <v>-9.7911227154046987E-2</v>
      </c>
      <c r="IS23" s="54">
        <f t="shared" si="41"/>
        <v>-0.1085383502170767</v>
      </c>
      <c r="IT23" s="54">
        <f t="shared" si="41"/>
        <v>0.16071428571428581</v>
      </c>
      <c r="IU23" s="54">
        <f t="shared" si="41"/>
        <v>-0.14615384615384619</v>
      </c>
      <c r="IV23" s="54">
        <f t="shared" si="41"/>
        <v>-5.733005733005736E-2</v>
      </c>
      <c r="IW23" s="54">
        <f t="shared" si="41"/>
        <v>0.21112076455256301</v>
      </c>
      <c r="IX23" s="54">
        <f t="shared" si="41"/>
        <v>1.7934002869440357E-2</v>
      </c>
      <c r="IY23" s="54">
        <f t="shared" ref="IY23:SS23" si="42">IY22/IX22-1</f>
        <v>1.3389711064129672E-2</v>
      </c>
      <c r="IZ23" s="54">
        <f t="shared" si="42"/>
        <v>3.2684283727399066E-2</v>
      </c>
      <c r="JA23" s="54">
        <f t="shared" si="42"/>
        <v>-0.10976430976430973</v>
      </c>
      <c r="JB23" s="54">
        <f t="shared" si="42"/>
        <v>-3.0257186081694698E-3</v>
      </c>
      <c r="JC23" s="54">
        <f t="shared" si="42"/>
        <v>5.4628224582701002E-2</v>
      </c>
      <c r="JD23" s="54">
        <f t="shared" si="42"/>
        <v>-5.5395683453237421E-2</v>
      </c>
      <c r="JE23" s="54">
        <f t="shared" si="42"/>
        <v>0.10357958872810369</v>
      </c>
      <c r="JF23" s="54">
        <f t="shared" si="42"/>
        <v>-6.2111801242236142E-3</v>
      </c>
      <c r="JG23" s="54">
        <f t="shared" si="42"/>
        <v>-0.22847222222222219</v>
      </c>
      <c r="JH23" s="54">
        <f t="shared" si="42"/>
        <v>0.10981098109810983</v>
      </c>
      <c r="JI23" s="54">
        <f t="shared" si="42"/>
        <v>-4.6228710462287159E-2</v>
      </c>
      <c r="JJ23" s="54">
        <f t="shared" si="42"/>
        <v>0.11394557823129259</v>
      </c>
      <c r="JK23" s="54">
        <f t="shared" si="42"/>
        <v>-3.8167938931297218E-3</v>
      </c>
      <c r="JL23" s="54">
        <f t="shared" si="42"/>
        <v>0.11187739463601543</v>
      </c>
      <c r="JM23" s="54">
        <f t="shared" si="42"/>
        <v>-6.2026188835285989E-2</v>
      </c>
      <c r="JN23" s="54">
        <f t="shared" si="42"/>
        <v>-0.15429831006612782</v>
      </c>
      <c r="JO23" s="54">
        <f t="shared" si="42"/>
        <v>0.13814074717636848</v>
      </c>
      <c r="JP23" s="54">
        <f t="shared" si="42"/>
        <v>0.22290076335877873</v>
      </c>
      <c r="JQ23" s="54">
        <f t="shared" si="42"/>
        <v>-5.9925093632958837E-2</v>
      </c>
      <c r="JR23" s="54">
        <f t="shared" si="42"/>
        <v>-3.253652058432932E-2</v>
      </c>
      <c r="JS23" s="54">
        <f t="shared" si="42"/>
        <v>0.1207961564859299</v>
      </c>
      <c r="JT23" s="54">
        <f t="shared" si="42"/>
        <v>-3.2455603184323278E-2</v>
      </c>
      <c r="JU23" s="54">
        <f t="shared" si="42"/>
        <v>-0.12911392405063293</v>
      </c>
      <c r="JV23" s="54">
        <f t="shared" si="42"/>
        <v>-1.8168604651162767E-2</v>
      </c>
      <c r="JW23" s="54">
        <f t="shared" si="42"/>
        <v>3.9970392301998503E-2</v>
      </c>
      <c r="JX23" s="54">
        <f t="shared" si="42"/>
        <v>-5.8362989323843428E-2</v>
      </c>
      <c r="JY23" s="54">
        <f t="shared" si="42"/>
        <v>0.12925170068027203</v>
      </c>
      <c r="JZ23" s="54">
        <f t="shared" si="42"/>
        <v>4.8192771084337283E-2</v>
      </c>
      <c r="KA23" s="54">
        <f t="shared" si="42"/>
        <v>-0.1053639846743295</v>
      </c>
      <c r="KB23" s="54">
        <f t="shared" si="42"/>
        <v>-0.23625981441827271</v>
      </c>
      <c r="KC23" s="54">
        <f t="shared" si="42"/>
        <v>0.17663551401869149</v>
      </c>
      <c r="KD23" s="54">
        <f t="shared" si="42"/>
        <v>0.11437648927720412</v>
      </c>
      <c r="KE23" s="54">
        <f t="shared" si="42"/>
        <v>-2.7084818246614351E-2</v>
      </c>
      <c r="KF23" s="54">
        <f t="shared" si="42"/>
        <v>0.13699633699633695</v>
      </c>
      <c r="KG23" s="54">
        <f t="shared" si="42"/>
        <v>3.1572164948453718E-2</v>
      </c>
      <c r="KH23" s="54">
        <f t="shared" si="42"/>
        <v>-5.0593379138038741E-2</v>
      </c>
      <c r="KI23" s="54">
        <f t="shared" si="42"/>
        <v>-0.14868421052631575</v>
      </c>
      <c r="KJ23" s="54">
        <f t="shared" si="42"/>
        <v>7.8825347758887165E-2</v>
      </c>
      <c r="KK23" s="54">
        <f t="shared" si="42"/>
        <v>-5.5873925501432664E-2</v>
      </c>
      <c r="KL23" s="54">
        <f t="shared" si="42"/>
        <v>-2.6555386949924098E-2</v>
      </c>
      <c r="KM23" s="54">
        <f t="shared" si="42"/>
        <v>6.3133281371784866E-2</v>
      </c>
      <c r="KN23" s="54">
        <f t="shared" si="42"/>
        <v>7.2580645161290258E-2</v>
      </c>
      <c r="KO23" s="54">
        <f t="shared" si="42"/>
        <v>-5.1948051948051965E-2</v>
      </c>
      <c r="KP23" s="54">
        <f t="shared" si="42"/>
        <v>-0.10021629416005773</v>
      </c>
      <c r="KQ23" s="54">
        <f t="shared" si="42"/>
        <v>6.0897435897435903E-2</v>
      </c>
      <c r="KR23" s="54">
        <f t="shared" si="42"/>
        <v>-4.5317220543806824E-3</v>
      </c>
      <c r="KS23" s="54">
        <f t="shared" si="42"/>
        <v>-2.2761760242792084E-2</v>
      </c>
      <c r="KT23" s="54">
        <f t="shared" si="42"/>
        <v>0.1645962732919255</v>
      </c>
      <c r="KU23" s="54">
        <f t="shared" si="42"/>
        <v>-7.6666666666666661E-2</v>
      </c>
      <c r="KV23" s="54">
        <f t="shared" si="42"/>
        <v>0.14007220216606497</v>
      </c>
      <c r="KW23" s="54">
        <f t="shared" si="42"/>
        <v>-0.10069664344521845</v>
      </c>
      <c r="KX23" s="54">
        <f t="shared" si="42"/>
        <v>-4.7887323943662019E-2</v>
      </c>
      <c r="KY23" s="54">
        <f t="shared" si="42"/>
        <v>8.6538461538461453E-2</v>
      </c>
      <c r="KZ23" s="54">
        <f t="shared" si="42"/>
        <v>-0.11776718856364876</v>
      </c>
      <c r="LA23" s="54">
        <f t="shared" si="42"/>
        <v>0.33256172839506171</v>
      </c>
      <c r="LB23" s="54">
        <f t="shared" si="42"/>
        <v>5.3271569195135982E-2</v>
      </c>
      <c r="LC23" s="54">
        <f t="shared" si="42"/>
        <v>-0.22924683892248487</v>
      </c>
      <c r="LD23" s="54">
        <f t="shared" si="42"/>
        <v>4.0656205420827485E-2</v>
      </c>
      <c r="LE23" s="54">
        <f t="shared" si="42"/>
        <v>0.21247429746401636</v>
      </c>
      <c r="LF23" s="54">
        <f t="shared" si="42"/>
        <v>-0.14358394573205202</v>
      </c>
      <c r="LG23" s="54">
        <f t="shared" si="42"/>
        <v>3.1023102310230977E-2</v>
      </c>
      <c r="LH23" s="54">
        <f t="shared" si="42"/>
        <v>9.0268886043533891E-2</v>
      </c>
      <c r="LI23" s="54">
        <f t="shared" si="42"/>
        <v>0.11685261303581918</v>
      </c>
      <c r="LJ23" s="54">
        <f t="shared" si="42"/>
        <v>-5.0998948475289185E-2</v>
      </c>
      <c r="LK23" s="54">
        <f t="shared" si="42"/>
        <v>-0.19833795013850419</v>
      </c>
      <c r="LL23" s="54">
        <f t="shared" si="42"/>
        <v>0.56046993780234966</v>
      </c>
      <c r="LM23" s="54">
        <f t="shared" si="42"/>
        <v>-0.22232063773250665</v>
      </c>
      <c r="LN23" s="54">
        <f t="shared" si="42"/>
        <v>-4.3849658314350837E-2</v>
      </c>
      <c r="LO23" s="54">
        <f t="shared" si="42"/>
        <v>4.6456223942823005E-2</v>
      </c>
      <c r="LP23" s="54">
        <f t="shared" si="42"/>
        <v>5.1223676721684708E-2</v>
      </c>
      <c r="LQ23" s="54">
        <f t="shared" si="42"/>
        <v>-6.6594477531131568E-2</v>
      </c>
      <c r="LR23" s="54">
        <f t="shared" si="42"/>
        <v>-7.0765661252900181E-2</v>
      </c>
      <c r="LS23" s="54">
        <f t="shared" si="42"/>
        <v>0.14731585518102364</v>
      </c>
      <c r="LT23" s="54">
        <f t="shared" si="42"/>
        <v>5.7127312295973898E-2</v>
      </c>
      <c r="LU23" s="54">
        <f t="shared" si="42"/>
        <v>0.12094698919197122</v>
      </c>
      <c r="LV23" s="54">
        <f t="shared" si="42"/>
        <v>-2.7089072543618031E-2</v>
      </c>
      <c r="LW23" s="54">
        <f t="shared" si="42"/>
        <v>-2.6427560169891451E-2</v>
      </c>
      <c r="LX23" s="54">
        <f t="shared" si="42"/>
        <v>-8.1919534658264626E-2</v>
      </c>
      <c r="LY23" s="54">
        <f t="shared" si="42"/>
        <v>5.2798310454065467E-2</v>
      </c>
      <c r="LZ23" s="54">
        <f t="shared" si="42"/>
        <v>2.106318956870612E-2</v>
      </c>
      <c r="MA23" s="54">
        <f t="shared" si="42"/>
        <v>-0.14931237721021606</v>
      </c>
      <c r="MB23" s="54">
        <f t="shared" si="42"/>
        <v>4.2725173210161671E-2</v>
      </c>
      <c r="MC23" s="54">
        <f t="shared" si="42"/>
        <v>9.5791805094130655E-2</v>
      </c>
      <c r="MD23" s="54">
        <f t="shared" si="42"/>
        <v>4.4466902475998049E-2</v>
      </c>
      <c r="ME23" s="54">
        <f t="shared" si="42"/>
        <v>-3.0478955007256947E-2</v>
      </c>
      <c r="MF23" s="54">
        <f t="shared" si="42"/>
        <v>-0.11876247504990023</v>
      </c>
      <c r="MG23" s="54">
        <f t="shared" si="42"/>
        <v>-0.10928652321630805</v>
      </c>
      <c r="MH23" s="54">
        <f t="shared" si="42"/>
        <v>8.0737444373808032E-2</v>
      </c>
      <c r="MI23" s="54">
        <f t="shared" si="42"/>
        <v>-1.1764705882353343E-3</v>
      </c>
      <c r="MJ23" s="54">
        <f t="shared" si="42"/>
        <v>7.067137809187285E-2</v>
      </c>
      <c r="MK23" s="54">
        <f t="shared" si="42"/>
        <v>-1.5951595159515941E-2</v>
      </c>
      <c r="ML23" s="54">
        <f t="shared" si="42"/>
        <v>4.0245947456679643E-2</v>
      </c>
      <c r="MM23" s="54">
        <f t="shared" si="42"/>
        <v>-2.3643202579258449E-2</v>
      </c>
      <c r="MN23" s="54">
        <f t="shared" si="42"/>
        <v>-8.9157952669234986E-2</v>
      </c>
      <c r="MO23" s="54">
        <f t="shared" si="42"/>
        <v>5.2567975830815739E-2</v>
      </c>
      <c r="MP23" s="54">
        <f t="shared" si="42"/>
        <v>4.6498277841561464E-2</v>
      </c>
      <c r="MQ23" s="54">
        <f t="shared" si="42"/>
        <v>-2.5233132199670827E-2</v>
      </c>
      <c r="MR23" s="54">
        <f t="shared" si="42"/>
        <v>0.10241980866629152</v>
      </c>
      <c r="MS23" s="54">
        <f t="shared" si="42"/>
        <v>-2.9606942317508933E-2</v>
      </c>
      <c r="MT23" s="54">
        <f t="shared" si="42"/>
        <v>-8.9952656496580796E-2</v>
      </c>
      <c r="MU23" s="54">
        <f t="shared" si="42"/>
        <v>7.3988439306358345E-2</v>
      </c>
      <c r="MV23" s="54">
        <f t="shared" si="42"/>
        <v>-9.6878363832077485E-2</v>
      </c>
      <c r="MW23" s="54">
        <f t="shared" si="42"/>
        <v>-0.23361144219308705</v>
      </c>
      <c r="MX23" s="54">
        <f t="shared" si="42"/>
        <v>0.20451010886469678</v>
      </c>
      <c r="MY23" s="54">
        <f t="shared" si="42"/>
        <v>2.8405422853453821E-2</v>
      </c>
      <c r="MZ23" s="54">
        <f t="shared" si="42"/>
        <v>-3.6409290646578829E-2</v>
      </c>
      <c r="NA23" s="54">
        <f t="shared" si="42"/>
        <v>-9.1856677524429942E-2</v>
      </c>
      <c r="NB23" s="54">
        <f t="shared" si="42"/>
        <v>7.8909612625537973E-2</v>
      </c>
      <c r="NC23" s="54">
        <f t="shared" si="42"/>
        <v>1.3297872340425343E-3</v>
      </c>
      <c r="ND23" s="54">
        <f t="shared" si="42"/>
        <v>-7.5033200531208544E-2</v>
      </c>
      <c r="NE23" s="54">
        <f t="shared" si="42"/>
        <v>0.17300789662598715</v>
      </c>
      <c r="NF23" s="54">
        <f t="shared" si="42"/>
        <v>1.7747858017135965E-2</v>
      </c>
      <c r="NG23" s="54">
        <f t="shared" si="42"/>
        <v>-1.8039687312086605E-2</v>
      </c>
      <c r="NH23" s="54">
        <f t="shared" si="42"/>
        <v>-8.8793631353337399E-2</v>
      </c>
      <c r="NI23" s="54">
        <f t="shared" si="42"/>
        <v>-5.3763440860215006E-2</v>
      </c>
      <c r="NJ23" s="54">
        <f t="shared" si="42"/>
        <v>-7.1022727272727071E-3</v>
      </c>
      <c r="NK23" s="54">
        <f t="shared" si="42"/>
        <v>-5.8655221745350539E-2</v>
      </c>
      <c r="NL23" s="54">
        <f t="shared" si="42"/>
        <v>5.6231003039513672E-2</v>
      </c>
      <c r="NM23" s="54">
        <f t="shared" si="42"/>
        <v>9.9280575539568261E-2</v>
      </c>
      <c r="NN23" s="54">
        <f t="shared" si="42"/>
        <v>-0.1034031413612565</v>
      </c>
      <c r="NO23" s="54">
        <f t="shared" si="42"/>
        <v>-2.481751824817513E-2</v>
      </c>
      <c r="NP23" s="54">
        <f t="shared" si="42"/>
        <v>-3.7425149700598848E-2</v>
      </c>
      <c r="NQ23" s="54">
        <f t="shared" si="42"/>
        <v>-8.5536547433903154E-3</v>
      </c>
      <c r="NR23" s="54">
        <f t="shared" si="42"/>
        <v>0.17411764705882349</v>
      </c>
      <c r="NS23" s="54">
        <f t="shared" si="42"/>
        <v>5.4108216432865675E-2</v>
      </c>
      <c r="NT23" s="54">
        <f t="shared" si="42"/>
        <v>9.3155893536121637E-2</v>
      </c>
      <c r="NU23" s="54">
        <f t="shared" si="42"/>
        <v>-2.8405797101449304E-2</v>
      </c>
      <c r="NV23" s="54">
        <f t="shared" si="42"/>
        <v>-0.14260143198090691</v>
      </c>
      <c r="NW23" s="54">
        <f t="shared" si="42"/>
        <v>1.3917884481557952E-3</v>
      </c>
      <c r="NX23" s="54">
        <f t="shared" si="42"/>
        <v>5.2814454482279283E-2</v>
      </c>
      <c r="NY23" s="54">
        <f t="shared" si="42"/>
        <v>-0.11419141914191422</v>
      </c>
      <c r="NZ23" s="54">
        <f t="shared" si="42"/>
        <v>0.10432190760059612</v>
      </c>
      <c r="OA23" s="54">
        <f t="shared" si="42"/>
        <v>3.5087719298245723E-2</v>
      </c>
      <c r="OB23" s="54">
        <f t="shared" si="42"/>
        <v>1.1734028683181297E-2</v>
      </c>
      <c r="OC23" s="54">
        <f t="shared" si="42"/>
        <v>-8.3118556701030966E-2</v>
      </c>
      <c r="OD23" s="54">
        <f t="shared" si="42"/>
        <v>-5.4813773717498293E-2</v>
      </c>
      <c r="OE23" s="54">
        <f t="shared" si="42"/>
        <v>-1.4869888475836923E-3</v>
      </c>
      <c r="OF23" s="54">
        <f t="shared" si="42"/>
        <v>-3.0528667163067791E-2</v>
      </c>
      <c r="OG23" s="54">
        <f t="shared" si="42"/>
        <v>0.15284178187403996</v>
      </c>
      <c r="OH23" s="54">
        <f t="shared" si="42"/>
        <v>5.1965356429047205E-2</v>
      </c>
      <c r="OI23" s="54">
        <f t="shared" si="42"/>
        <v>0.26219126029132367</v>
      </c>
      <c r="OJ23" s="54">
        <f t="shared" si="42"/>
        <v>-0.12594079277471149</v>
      </c>
      <c r="OK23" s="54">
        <f t="shared" si="42"/>
        <v>-5.3960964408725554E-2</v>
      </c>
      <c r="OL23" s="54">
        <f t="shared" si="42"/>
        <v>-5.7038834951456341E-2</v>
      </c>
      <c r="OM23" s="54">
        <f t="shared" si="42"/>
        <v>-3.2175032175032481E-3</v>
      </c>
      <c r="ON23" s="54">
        <f t="shared" si="42"/>
        <v>3.2278889606197625E-2</v>
      </c>
      <c r="OO23" s="54">
        <f t="shared" si="42"/>
        <v>0.12883051907442145</v>
      </c>
      <c r="OP23" s="54">
        <f t="shared" si="42"/>
        <v>-0.10526315789473684</v>
      </c>
      <c r="OQ23" s="54">
        <f t="shared" si="42"/>
        <v>-0.10030959752321977</v>
      </c>
      <c r="OR23" s="54">
        <f t="shared" si="42"/>
        <v>5.5058499655884274E-2</v>
      </c>
      <c r="OS23" s="54">
        <f t="shared" si="42"/>
        <v>9.1324200913243114E-3</v>
      </c>
      <c r="OT23" s="54">
        <f t="shared" si="42"/>
        <v>9.0497737556560764E-3</v>
      </c>
      <c r="OU23" s="54">
        <f t="shared" si="42"/>
        <v>0.24343369634849465</v>
      </c>
      <c r="OV23" s="54">
        <f t="shared" si="42"/>
        <v>6.3884595569294156E-2</v>
      </c>
      <c r="OW23" s="54">
        <f t="shared" si="42"/>
        <v>-1.6949152542372836E-2</v>
      </c>
      <c r="OX23" s="54">
        <f t="shared" si="42"/>
        <v>-4.3842364532019729E-2</v>
      </c>
      <c r="OY23" s="54">
        <f t="shared" si="42"/>
        <v>-3.1427099433281813E-2</v>
      </c>
      <c r="OZ23" s="54">
        <f t="shared" si="42"/>
        <v>5.0000000000000044E-2</v>
      </c>
      <c r="PA23" s="54">
        <f t="shared" si="42"/>
        <v>-2.5835866261398222E-2</v>
      </c>
      <c r="PB23" s="54">
        <f t="shared" si="42"/>
        <v>1.1960478419136722E-2</v>
      </c>
      <c r="PC23" s="54">
        <f t="shared" si="42"/>
        <v>0.13617677286742036</v>
      </c>
      <c r="PD23" s="54">
        <f t="shared" si="42"/>
        <v>-9.7693351424694708E-2</v>
      </c>
      <c r="PE23" s="54">
        <f t="shared" si="42"/>
        <v>-2.5062656641604564E-3</v>
      </c>
      <c r="PF23" s="54">
        <f t="shared" si="42"/>
        <v>-0.11507537688442215</v>
      </c>
      <c r="PG23" s="54">
        <f t="shared" si="42"/>
        <v>4.5428733674048871E-2</v>
      </c>
      <c r="PH23" s="54">
        <f t="shared" si="42"/>
        <v>0.12710483432916897</v>
      </c>
      <c r="PI23" s="54">
        <f t="shared" si="42"/>
        <v>0.14265060240963856</v>
      </c>
      <c r="PJ23" s="54">
        <f t="shared" si="42"/>
        <v>7.5495571488823243E-2</v>
      </c>
      <c r="PK23" s="54">
        <f t="shared" si="42"/>
        <v>0.10823529411764699</v>
      </c>
      <c r="PL23" s="54">
        <f t="shared" si="42"/>
        <v>-0.16100495399858461</v>
      </c>
      <c r="PM23" s="54">
        <f t="shared" si="42"/>
        <v>7.9713201180936277E-2</v>
      </c>
      <c r="PN23" s="54">
        <f t="shared" si="42"/>
        <v>-0.142578125</v>
      </c>
      <c r="PO23" s="54">
        <f t="shared" si="42"/>
        <v>3.3712984054669715E-2</v>
      </c>
      <c r="PP23" s="54">
        <f t="shared" si="42"/>
        <v>3.5257822829439789E-3</v>
      </c>
      <c r="PQ23" s="54">
        <f t="shared" si="42"/>
        <v>1.8006148440931069E-2</v>
      </c>
      <c r="PR23" s="54">
        <f t="shared" si="42"/>
        <v>-2.8041415012942217E-2</v>
      </c>
      <c r="PS23" s="54">
        <f t="shared" si="42"/>
        <v>-0.18331114070128718</v>
      </c>
      <c r="PT23" s="54">
        <f t="shared" si="42"/>
        <v>-1.3586956521739135E-2</v>
      </c>
      <c r="PU23" s="54">
        <f t="shared" si="42"/>
        <v>-4.9586776859503745E-3</v>
      </c>
      <c r="PV23" s="54">
        <f t="shared" si="42"/>
        <v>5.8139534883721034E-2</v>
      </c>
      <c r="PW23" s="54">
        <f t="shared" si="42"/>
        <v>0.14704343275771836</v>
      </c>
      <c r="PX23" s="54">
        <f t="shared" si="42"/>
        <v>0.17472627737226287</v>
      </c>
      <c r="PY23" s="54">
        <f t="shared" si="42"/>
        <v>-8.1553398058252791E-3</v>
      </c>
      <c r="PZ23" s="54">
        <f t="shared" si="42"/>
        <v>-5.9122944400939681E-2</v>
      </c>
      <c r="QA23" s="54">
        <f t="shared" si="42"/>
        <v>-7.9067831876820094E-3</v>
      </c>
      <c r="QB23" s="54">
        <f t="shared" si="42"/>
        <v>5.3271812080536884E-2</v>
      </c>
      <c r="QC23" s="54">
        <f t="shared" si="42"/>
        <v>-1.3142174432496989E-2</v>
      </c>
      <c r="QD23" s="54">
        <f t="shared" si="42"/>
        <v>0.11702986279257455</v>
      </c>
      <c r="QE23" s="54">
        <f t="shared" si="42"/>
        <v>3.4320809248554962E-2</v>
      </c>
      <c r="QF23" s="54">
        <f t="shared" si="42"/>
        <v>-0.10338805448829902</v>
      </c>
      <c r="QG23" s="54">
        <f t="shared" si="42"/>
        <v>-6.6225165562913912E-2</v>
      </c>
      <c r="QH23" s="54">
        <f t="shared" si="42"/>
        <v>-4.1718815185648461E-3</v>
      </c>
      <c r="QI23" s="54">
        <f t="shared" si="42"/>
        <v>-1.6757436112274871E-2</v>
      </c>
      <c r="QJ23" s="54">
        <f t="shared" si="42"/>
        <v>-1.7043033659991491E-2</v>
      </c>
      <c r="QK23" s="54">
        <f t="shared" si="42"/>
        <v>0.14000866926744693</v>
      </c>
      <c r="QL23" s="54">
        <f t="shared" si="42"/>
        <v>0.14714828897338394</v>
      </c>
      <c r="QM23" s="54">
        <f t="shared" si="42"/>
        <v>-0.14782896917467681</v>
      </c>
      <c r="QN23" s="54">
        <f t="shared" si="42"/>
        <v>-5.7565149747180078E-2</v>
      </c>
      <c r="QO23" s="54">
        <f t="shared" si="42"/>
        <v>6.603384234420151E-2</v>
      </c>
      <c r="QP23" s="54">
        <f t="shared" si="42"/>
        <v>0.27487417731320174</v>
      </c>
      <c r="QQ23" s="54">
        <f t="shared" si="42"/>
        <v>-0.15730337078651691</v>
      </c>
      <c r="QR23" s="54">
        <f t="shared" si="42"/>
        <v>-0.12324324324324321</v>
      </c>
      <c r="QS23" s="54">
        <f t="shared" si="42"/>
        <v>0.46814632141389234</v>
      </c>
      <c r="QT23" s="54">
        <f t="shared" si="42"/>
        <v>3.9473684210526327E-2</v>
      </c>
      <c r="QU23" s="54">
        <f t="shared" si="42"/>
        <v>-0.22353891731753295</v>
      </c>
      <c r="QV23" s="54">
        <f t="shared" si="42"/>
        <v>2.844259451959763E-2</v>
      </c>
      <c r="QW23" s="54">
        <f t="shared" si="42"/>
        <v>3.9797639123102968E-2</v>
      </c>
      <c r="QX23" s="54">
        <f t="shared" si="42"/>
        <v>1.978592280246505E-2</v>
      </c>
      <c r="QY23" s="54">
        <f t="shared" si="42"/>
        <v>-9.6055979643765887E-2</v>
      </c>
      <c r="QZ23" s="54">
        <f t="shared" si="42"/>
        <v>2.4278676988036541E-2</v>
      </c>
      <c r="RA23" s="54">
        <f t="shared" si="42"/>
        <v>-1.7519752662315313E-2</v>
      </c>
      <c r="RB23" s="54">
        <f t="shared" si="42"/>
        <v>-2.5174825174825166E-2</v>
      </c>
      <c r="RC23" s="54">
        <f t="shared" si="42"/>
        <v>-6.4562410329985775E-3</v>
      </c>
      <c r="RD23" s="54">
        <f t="shared" si="42"/>
        <v>5.9927797833934981E-2</v>
      </c>
      <c r="RE23" s="54">
        <f t="shared" si="42"/>
        <v>0.11614441416893739</v>
      </c>
      <c r="RF23" s="54">
        <f t="shared" si="42"/>
        <v>-1.2206286237412267E-2</v>
      </c>
      <c r="RG23" s="54">
        <f t="shared" si="42"/>
        <v>9.4223046030274871E-2</v>
      </c>
      <c r="RH23" s="54">
        <f t="shared" si="42"/>
        <v>-7.1428571428571397E-2</v>
      </c>
      <c r="RI23" s="54">
        <f t="shared" si="42"/>
        <v>-0.11188811188811187</v>
      </c>
      <c r="RJ23" s="54">
        <f t="shared" si="42"/>
        <v>-4.0739472783293373E-2</v>
      </c>
      <c r="RK23" s="54">
        <f t="shared" si="42"/>
        <v>7.8515346181298185E-3</v>
      </c>
      <c r="RL23" s="54">
        <f t="shared" si="42"/>
        <v>-2.0538243626062269E-2</v>
      </c>
      <c r="RM23" s="54">
        <f t="shared" si="42"/>
        <v>0.10014461315979761</v>
      </c>
      <c r="RN23" s="54">
        <f t="shared" si="42"/>
        <v>5.2251068024975256E-2</v>
      </c>
      <c r="RO23" s="54">
        <f t="shared" si="42"/>
        <v>-4.1536539662710759E-2</v>
      </c>
      <c r="RP23" s="54">
        <f t="shared" si="42"/>
        <v>-0.15021179537308571</v>
      </c>
      <c r="RQ23" s="54">
        <f t="shared" si="42"/>
        <v>1.4570552147239235E-2</v>
      </c>
      <c r="RR23" s="54">
        <f t="shared" si="42"/>
        <v>1.0582010582010692E-2</v>
      </c>
      <c r="RS23" s="54">
        <f t="shared" si="42"/>
        <v>9.0501121914734473E-2</v>
      </c>
      <c r="RT23" s="54">
        <f t="shared" si="42"/>
        <v>0.18587105624142652</v>
      </c>
      <c r="RU23" s="54">
        <f t="shared" si="42"/>
        <v>-3.3834586466165439E-2</v>
      </c>
      <c r="RV23" s="54">
        <f t="shared" si="42"/>
        <v>-2.8434600419036227E-2</v>
      </c>
      <c r="RW23" s="54">
        <f t="shared" si="42"/>
        <v>-8.2871226124460851E-2</v>
      </c>
      <c r="RX23" s="54">
        <f t="shared" si="42"/>
        <v>7.2556264696002737E-2</v>
      </c>
      <c r="RY23" s="54">
        <f t="shared" si="42"/>
        <v>-5.5433761352959632E-2</v>
      </c>
      <c r="RZ23" s="54">
        <f t="shared" si="42"/>
        <v>-3.315649867373649E-4</v>
      </c>
      <c r="SA23" s="54">
        <f t="shared" si="42"/>
        <v>2.6533996683251182E-3</v>
      </c>
      <c r="SB23" s="54">
        <f t="shared" si="42"/>
        <v>5.3919947072444518E-2</v>
      </c>
      <c r="SC23" s="54">
        <f t="shared" si="42"/>
        <v>5.9008160703075907E-2</v>
      </c>
      <c r="SD23" s="54">
        <f t="shared" si="42"/>
        <v>-0.1194427978660344</v>
      </c>
      <c r="SE23" s="54">
        <f t="shared" si="42"/>
        <v>-0.11746886570178394</v>
      </c>
      <c r="SF23" s="54">
        <f t="shared" si="42"/>
        <v>8.0854309687261594E-2</v>
      </c>
      <c r="SG23" s="54">
        <f t="shared" si="42"/>
        <v>4.7635850388143997E-2</v>
      </c>
      <c r="SH23" s="54">
        <f t="shared" si="42"/>
        <v>0.14853486022229712</v>
      </c>
      <c r="SI23" s="54">
        <f t="shared" si="42"/>
        <v>6.7448680351906098E-2</v>
      </c>
      <c r="SJ23" s="54">
        <f t="shared" si="42"/>
        <v>8.2417582417582125E-4</v>
      </c>
      <c r="SK23" s="54">
        <f t="shared" si="42"/>
        <v>-3.239088663189682E-2</v>
      </c>
      <c r="SL23" s="54">
        <f t="shared" si="42"/>
        <v>-9.6453900709219886E-2</v>
      </c>
      <c r="SM23" s="54">
        <f t="shared" si="42"/>
        <v>1.6954474097331307E-2</v>
      </c>
      <c r="SN23" s="54">
        <f t="shared" si="42"/>
        <v>-2.469898116702729E-3</v>
      </c>
      <c r="SO23" s="54">
        <f t="shared" si="42"/>
        <v>6.3757350665428758E-2</v>
      </c>
      <c r="SP23" s="54">
        <f t="shared" si="42"/>
        <v>9.8341576956648247E-2</v>
      </c>
      <c r="SQ23" s="54">
        <f t="shared" si="42"/>
        <v>-7.2582781456953627E-2</v>
      </c>
      <c r="SR23" s="54">
        <f t="shared" si="42"/>
        <v>-0.1393887460725507</v>
      </c>
      <c r="SS23" s="54">
        <f t="shared" si="42"/>
        <v>2.655160969133763E-2</v>
      </c>
      <c r="ST23" s="54">
        <f t="shared" ref="ST23:VR23" si="43">ST22/SS22-1</f>
        <v>0.10475266731328814</v>
      </c>
      <c r="SU23" s="54">
        <f t="shared" si="43"/>
        <v>8.7796312554873079E-3</v>
      </c>
      <c r="SV23" s="54">
        <f t="shared" si="43"/>
        <v>-2.233826515810855E-2</v>
      </c>
      <c r="SW23" s="54">
        <f t="shared" si="43"/>
        <v>4.3323442136498524E-2</v>
      </c>
      <c r="SX23" s="54">
        <f t="shared" si="43"/>
        <v>-4.0102389078498279E-2</v>
      </c>
      <c r="SY23" s="54">
        <f t="shared" si="43"/>
        <v>0.23792592592592587</v>
      </c>
      <c r="SZ23" s="54">
        <f t="shared" si="43"/>
        <v>-0.11129727142173285</v>
      </c>
      <c r="TA23" s="54">
        <f t="shared" si="43"/>
        <v>-4.6054403447347125E-2</v>
      </c>
      <c r="TB23" s="54">
        <f t="shared" si="43"/>
        <v>-5.0254093732354566E-2</v>
      </c>
      <c r="TC23" s="54">
        <f t="shared" si="43"/>
        <v>0.10136741973840668</v>
      </c>
      <c r="TD23" s="54">
        <f t="shared" si="43"/>
        <v>0.16221322537112015</v>
      </c>
      <c r="TE23" s="54">
        <f t="shared" si="43"/>
        <v>-0.10775661867162101</v>
      </c>
      <c r="TF23" s="54">
        <f t="shared" si="43"/>
        <v>-0.15720978656949502</v>
      </c>
      <c r="TG23" s="54">
        <f t="shared" si="43"/>
        <v>4.1383570105003153E-2</v>
      </c>
      <c r="TH23" s="54">
        <f t="shared" si="43"/>
        <v>-7.4139976275207076E-3</v>
      </c>
      <c r="TI23" s="54">
        <f t="shared" si="43"/>
        <v>2.2109351658201382E-2</v>
      </c>
      <c r="TJ23" s="54">
        <f t="shared" si="43"/>
        <v>8.1555100847705342E-2</v>
      </c>
      <c r="TK23" s="54">
        <f t="shared" si="43"/>
        <v>-4.5945945945945477E-3</v>
      </c>
      <c r="TL23" s="54">
        <f t="shared" si="43"/>
        <v>2.715177844148764E-3</v>
      </c>
      <c r="TM23" s="54">
        <f t="shared" si="43"/>
        <v>-4.0617384240454912E-2</v>
      </c>
      <c r="TN23" s="54">
        <f t="shared" si="43"/>
        <v>1.3265594129268976E-2</v>
      </c>
      <c r="TO23" s="54">
        <f t="shared" si="43"/>
        <v>5.8774373259052881E-2</v>
      </c>
      <c r="TP23" s="54">
        <f t="shared" si="43"/>
        <v>-2.1310181531176031E-2</v>
      </c>
      <c r="TQ23" s="54">
        <f t="shared" si="43"/>
        <v>5.5913978494623651E-2</v>
      </c>
      <c r="TR23" s="54">
        <f t="shared" si="43"/>
        <v>4.913441955193476E-2</v>
      </c>
      <c r="TS23" s="54">
        <f t="shared" si="43"/>
        <v>-6.8915311817519975E-2</v>
      </c>
      <c r="TT23" s="54">
        <f t="shared" si="43"/>
        <v>-0.18504039614281986</v>
      </c>
      <c r="TU23" s="54">
        <f t="shared" si="43"/>
        <v>0.1480652382475216</v>
      </c>
      <c r="TV23" s="54">
        <f t="shared" si="43"/>
        <v>-5.6824512534818905E-2</v>
      </c>
      <c r="TW23" s="54">
        <f t="shared" si="43"/>
        <v>4.3709391612522186E-2</v>
      </c>
      <c r="TX23" s="54">
        <f t="shared" si="43"/>
        <v>1.8675721561969505E-2</v>
      </c>
      <c r="TY23" s="54">
        <f t="shared" si="43"/>
        <v>6.7499999999999893E-2</v>
      </c>
      <c r="TZ23" s="54">
        <f t="shared" si="43"/>
        <v>-4.1113713244860794E-2</v>
      </c>
      <c r="UA23" s="54">
        <f t="shared" si="43"/>
        <v>-0.11343283582089547</v>
      </c>
      <c r="UB23" s="54">
        <f t="shared" si="43"/>
        <v>8.9990817263544631E-2</v>
      </c>
      <c r="UC23" s="54">
        <f t="shared" si="43"/>
        <v>0.18786857624262843</v>
      </c>
      <c r="UD23" s="54">
        <f t="shared" si="43"/>
        <v>-9.3617021276595769E-2</v>
      </c>
      <c r="UE23" s="54">
        <f t="shared" si="43"/>
        <v>0.1298904538341159</v>
      </c>
      <c r="UF23" s="54">
        <f t="shared" si="43"/>
        <v>-2.4007386888273308E-2</v>
      </c>
      <c r="UG23" s="54">
        <f t="shared" si="43"/>
        <v>-1.9157994323557248E-2</v>
      </c>
      <c r="UH23" s="54">
        <f t="shared" si="43"/>
        <v>-0.1085121774776947</v>
      </c>
      <c r="UI23" s="54">
        <f t="shared" si="43"/>
        <v>4.9770083851771618E-2</v>
      </c>
      <c r="UJ23" s="54">
        <f t="shared" si="43"/>
        <v>-6.3385725328523601E-2</v>
      </c>
      <c r="UK23" s="54">
        <f t="shared" si="43"/>
        <v>-3.1911966987620333E-2</v>
      </c>
      <c r="UL23" s="54">
        <f t="shared" si="43"/>
        <v>1.2787723785166349E-2</v>
      </c>
      <c r="UM23" s="54">
        <f t="shared" si="43"/>
        <v>0.1290684624017957</v>
      </c>
      <c r="UN23" s="54">
        <f t="shared" si="43"/>
        <v>-5.0944333996023827E-2</v>
      </c>
      <c r="UO23" s="54">
        <f t="shared" si="43"/>
        <v>-9.0075936108929056E-2</v>
      </c>
      <c r="UP23" s="54">
        <f t="shared" si="43"/>
        <v>-4.4604316546762557E-2</v>
      </c>
      <c r="UQ23" s="54">
        <f t="shared" si="43"/>
        <v>0.17108433734939754</v>
      </c>
      <c r="UR23" s="54">
        <f t="shared" si="43"/>
        <v>-4.1152263374485409E-3</v>
      </c>
      <c r="US23" s="54">
        <f t="shared" si="43"/>
        <v>3.0475206611570327E-2</v>
      </c>
      <c r="UT23" s="54">
        <f t="shared" si="43"/>
        <v>3.5338345864661669E-2</v>
      </c>
      <c r="UU23" s="54">
        <f t="shared" si="43"/>
        <v>-1.9123698862260952E-2</v>
      </c>
      <c r="UV23" s="54">
        <f t="shared" si="43"/>
        <v>-0.12364264560710758</v>
      </c>
      <c r="UW23" s="54">
        <f t="shared" si="43"/>
        <v>-4.0270346381301003E-2</v>
      </c>
      <c r="UX23" s="54">
        <f t="shared" si="43"/>
        <v>2.6701877934272256E-2</v>
      </c>
      <c r="UY23" s="54">
        <f t="shared" si="43"/>
        <v>3.0865961703343769E-2</v>
      </c>
      <c r="UZ23" s="54">
        <f t="shared" si="43"/>
        <v>-1.4970889936235077E-2</v>
      </c>
      <c r="VA23" s="54">
        <f t="shared" si="43"/>
        <v>0.11286236982831399</v>
      </c>
      <c r="VB23" s="54">
        <f t="shared" si="43"/>
        <v>-6.8032372281234155E-2</v>
      </c>
      <c r="VC23" s="54">
        <f t="shared" si="43"/>
        <v>-8.4938941655359534E-2</v>
      </c>
      <c r="VD23" s="54">
        <f t="shared" si="43"/>
        <v>-4.3297746144721261E-2</v>
      </c>
      <c r="VE23" s="54">
        <f t="shared" si="43"/>
        <v>4.9287042777433454E-2</v>
      </c>
      <c r="VF23" s="54">
        <f t="shared" si="43"/>
        <v>0</v>
      </c>
      <c r="VG23" s="156">
        <f t="shared" si="43"/>
        <v>5.0516986706056199E-2</v>
      </c>
      <c r="VH23" s="156">
        <f t="shared" si="43"/>
        <v>3.0371203599550034E-2</v>
      </c>
      <c r="VI23" s="156">
        <f t="shared" si="43"/>
        <v>0.35316593886462888</v>
      </c>
      <c r="VJ23" s="156">
        <f t="shared" si="43"/>
        <v>-0.12323517547398144</v>
      </c>
      <c r="VK23" s="156">
        <f t="shared" si="43"/>
        <v>-0.10536001840349662</v>
      </c>
      <c r="VL23" s="156">
        <f t="shared" si="43"/>
        <v>-2.1085111853947014E-2</v>
      </c>
      <c r="VM23" s="156">
        <f t="shared" si="43"/>
        <v>-6.3567113212503301E-2</v>
      </c>
      <c r="VN23" s="156">
        <f t="shared" si="43"/>
        <v>-3.9270687237026314E-3</v>
      </c>
      <c r="VO23" s="156">
        <f t="shared" si="43"/>
        <v>0.13010419600112644</v>
      </c>
      <c r="VP23" s="156">
        <f t="shared" si="43"/>
        <v>4.3359082980313879E-2</v>
      </c>
      <c r="VQ23" s="156">
        <f t="shared" si="43"/>
        <v>-0.12514927155481248</v>
      </c>
      <c r="VR23" s="156">
        <f t="shared" si="43"/>
        <v>-0.11029211029211028</v>
      </c>
      <c r="VS23" s="156">
        <v>2.6388462718625272E-2</v>
      </c>
      <c r="VT23" s="156">
        <f t="shared" ref="VT23:WH23" si="44">VT22/VS22-1</f>
        <v>9.5665171898355883E-3</v>
      </c>
      <c r="VU23" s="156">
        <f t="shared" si="44"/>
        <v>3.7607343796268955E-2</v>
      </c>
      <c r="VV23" s="156">
        <f t="shared" si="44"/>
        <v>6.678082191780832E-2</v>
      </c>
      <c r="VW23" s="156">
        <f t="shared" si="44"/>
        <v>0.21749598715890861</v>
      </c>
      <c r="VX23" s="156">
        <f t="shared" si="44"/>
        <v>-6.6578773895847099E-2</v>
      </c>
      <c r="VY23" s="156">
        <f t="shared" si="44"/>
        <v>-0.14406779661016944</v>
      </c>
      <c r="VZ23" s="156">
        <f t="shared" si="44"/>
        <v>-8.4158415841584122E-2</v>
      </c>
      <c r="WA23" s="156">
        <f t="shared" si="44"/>
        <v>4.3843843843843766E-2</v>
      </c>
      <c r="WB23" s="156">
        <f t="shared" si="44"/>
        <v>0.21547756041426935</v>
      </c>
      <c r="WC23" s="156">
        <f t="shared" si="44"/>
        <v>0.11053254437869819</v>
      </c>
      <c r="WD23" s="156">
        <f t="shared" si="44"/>
        <v>6.3725490196078427E-2</v>
      </c>
      <c r="WE23" s="156">
        <f t="shared" si="44"/>
        <v>-4.7685834502103841E-2</v>
      </c>
      <c r="WF23" s="156">
        <f t="shared" si="44"/>
        <v>-0.13528297917104981</v>
      </c>
      <c r="WG23" s="156">
        <f t="shared" si="44"/>
        <v>2.6763990267639981E-2</v>
      </c>
      <c r="WH23" s="156">
        <f t="shared" si="44"/>
        <v>-6.0426540284360231E-2</v>
      </c>
      <c r="WI23" s="156">
        <v>2.6986128630000002E-2</v>
      </c>
      <c r="WJ23" s="156">
        <f t="shared" ref="WJ23:WO23" si="45">WJ22/WI22-1</f>
        <v>-6.8762278978389269E-3</v>
      </c>
      <c r="WK23" s="156">
        <f t="shared" si="45"/>
        <v>2.4233432245301723E-2</v>
      </c>
      <c r="WL23" s="156">
        <f t="shared" si="45"/>
        <v>7.1945919845485262E-2</v>
      </c>
      <c r="WM23" s="156">
        <f t="shared" si="45"/>
        <v>-5.6981981981982011E-2</v>
      </c>
      <c r="WN23" s="156">
        <f t="shared" si="45"/>
        <v>0.25364222593742536</v>
      </c>
      <c r="WO23" s="156">
        <f t="shared" si="45"/>
        <v>-4.7818632120403937E-2</v>
      </c>
      <c r="WP23" s="156">
        <v>7.8031212480000004E-3</v>
      </c>
      <c r="WQ23" s="156">
        <f t="shared" ref="WQ23:YB23" si="46">WQ22/WP22-1</f>
        <v>-2.5809013301568373E-2</v>
      </c>
      <c r="WR23" s="156">
        <f t="shared" si="46"/>
        <v>0.14530262889749346</v>
      </c>
      <c r="WS23" s="156">
        <f t="shared" si="46"/>
        <v>-2.4555160142348709E-2</v>
      </c>
      <c r="WT23" s="156">
        <f t="shared" si="46"/>
        <v>-9.2119664356074438E-2</v>
      </c>
      <c r="WU23" s="156">
        <f t="shared" si="46"/>
        <v>2.2905364677516582E-2</v>
      </c>
      <c r="WV23" s="156">
        <f t="shared" si="46"/>
        <v>0.11196228638774297</v>
      </c>
      <c r="WW23" s="156">
        <f t="shared" si="46"/>
        <v>-0.10934463875640343</v>
      </c>
      <c r="WX23" s="156">
        <f t="shared" si="46"/>
        <v>6.7830226100753732E-2</v>
      </c>
      <c r="WY23" s="156">
        <f t="shared" si="46"/>
        <v>3.3432392273402556E-3</v>
      </c>
      <c r="WZ23" s="156">
        <f t="shared" si="46"/>
        <v>-1.8696778970751615E-2</v>
      </c>
      <c r="XA23" s="156">
        <f t="shared" si="46"/>
        <v>-9.1303527636295012E-2</v>
      </c>
      <c r="XB23" s="156">
        <f t="shared" si="46"/>
        <v>3.1762507784928395E-2</v>
      </c>
      <c r="XC23" s="156">
        <f t="shared" si="46"/>
        <v>5.9356136820925443E-2</v>
      </c>
      <c r="XD23" s="156">
        <f t="shared" si="46"/>
        <v>-8.9268755935422162E-3</v>
      </c>
      <c r="XE23" s="156">
        <f t="shared" si="46"/>
        <v>6.9950172479877448E-2</v>
      </c>
      <c r="XF23" s="156">
        <f t="shared" si="46"/>
        <v>4.2987641053197301E-2</v>
      </c>
      <c r="XG23" s="156">
        <f t="shared" si="46"/>
        <v>2.0607934054610588E-3</v>
      </c>
      <c r="XH23" s="156">
        <f t="shared" si="46"/>
        <v>-0.10248500428449014</v>
      </c>
      <c r="XI23" s="156">
        <f t="shared" si="46"/>
        <v>-2.5587168226083645E-2</v>
      </c>
      <c r="XJ23" s="156">
        <f t="shared" si="46"/>
        <v>4.2328042328042326E-2</v>
      </c>
      <c r="XK23" s="156">
        <f t="shared" si="46"/>
        <v>2.5192705395751025E-2</v>
      </c>
      <c r="XL23" s="156">
        <f t="shared" si="46"/>
        <v>4.1445076104896339E-2</v>
      </c>
      <c r="XM23" s="156">
        <f t="shared" si="46"/>
        <v>7.0434935728121095E-2</v>
      </c>
      <c r="XN23" s="156">
        <f t="shared" si="46"/>
        <v>-3.799967099851953E-2</v>
      </c>
      <c r="XO23" s="156">
        <f t="shared" si="46"/>
        <v>-0.10636114911080707</v>
      </c>
      <c r="XP23" s="156">
        <f t="shared" si="46"/>
        <v>4.2288557213930433E-2</v>
      </c>
      <c r="XQ23" s="156">
        <f t="shared" si="46"/>
        <v>2.5518634110519578E-2</v>
      </c>
      <c r="XR23" s="156">
        <f t="shared" si="46"/>
        <v>0.14052989616899381</v>
      </c>
      <c r="XS23" s="156">
        <f t="shared" si="46"/>
        <v>-2.6212525506200013E-2</v>
      </c>
      <c r="XT23" s="156">
        <f t="shared" si="46"/>
        <v>0.10154738878143132</v>
      </c>
      <c r="XU23" s="156">
        <f t="shared" si="46"/>
        <v>-5.4141059408838177E-2</v>
      </c>
      <c r="XV23" s="156">
        <f t="shared" si="46"/>
        <v>-0.13180693069306926</v>
      </c>
      <c r="XW23" s="156">
        <f t="shared" si="46"/>
        <v>1.6215253029222998E-2</v>
      </c>
      <c r="XX23" s="156">
        <f t="shared" si="46"/>
        <v>5.2603892688063425E-4</v>
      </c>
      <c r="XY23" s="156">
        <f t="shared" si="46"/>
        <v>-2.9793200140203258E-2</v>
      </c>
      <c r="XZ23" s="156">
        <f t="shared" si="46"/>
        <v>6.3583815028901647E-2</v>
      </c>
      <c r="YA23" s="156">
        <f t="shared" si="46"/>
        <v>9.4769021739130377E-2</v>
      </c>
      <c r="YB23" s="156">
        <f t="shared" si="46"/>
        <v>-7.6636673906298469E-2</v>
      </c>
      <c r="YC23" s="157">
        <v>-0.14000000000000001</v>
      </c>
      <c r="YD23" s="157">
        <f t="shared" ref="YD23:YF23" si="47">YD22/YC22-1</f>
        <v>-3.5262030001948164E-2</v>
      </c>
      <c r="YE23" s="157">
        <f t="shared" si="47"/>
        <v>9.0266558966074273E-2</v>
      </c>
      <c r="YF23" s="157">
        <f t="shared" si="47"/>
        <v>7.0012965363956292E-2</v>
      </c>
      <c r="YG23" s="157">
        <f t="shared" ref="YG23:YL23" si="48">YG22/YF22-1</f>
        <v>9.2435520166176177E-2</v>
      </c>
      <c r="YH23" s="157">
        <f t="shared" si="48"/>
        <v>7.3997781651085504E-2</v>
      </c>
      <c r="YI23" s="157">
        <f t="shared" si="48"/>
        <v>-2.6408970197698389E-2</v>
      </c>
      <c r="YJ23" s="157">
        <f t="shared" si="48"/>
        <v>-0.11471435065919078</v>
      </c>
      <c r="YK23" s="157">
        <f t="shared" si="48"/>
        <v>-7.0181444710715191E-3</v>
      </c>
      <c r="YL23" s="157">
        <f t="shared" si="48"/>
        <v>-2.7409067402172083E-2</v>
      </c>
      <c r="YM23" s="157">
        <f>YM22/YL22-1</f>
        <v>-2.8358738036157183E-3</v>
      </c>
    </row>
    <row r="24" spans="1:663" ht="15.75" customHeight="1" x14ac:dyDescent="0.2">
      <c r="B24" s="8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0"/>
      <c r="MI24" s="30"/>
      <c r="MJ24" s="30"/>
      <c r="MK24" s="30"/>
      <c r="ML24" s="30"/>
      <c r="MM24" s="30"/>
      <c r="MN24" s="30"/>
      <c r="MO24" s="30"/>
      <c r="MP24" s="30"/>
      <c r="MQ24" s="30"/>
      <c r="MR24" s="30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  <c r="ND24" s="30"/>
      <c r="NE24" s="30"/>
      <c r="NF24" s="30"/>
      <c r="NG24" s="30"/>
      <c r="NH24" s="30"/>
      <c r="NI24" s="30"/>
      <c r="NJ24" s="30"/>
      <c r="NK24" s="30"/>
      <c r="NL24" s="30"/>
      <c r="NM24" s="30"/>
      <c r="NN24" s="30"/>
      <c r="NO24" s="30"/>
      <c r="NP24" s="30"/>
      <c r="NQ24" s="30"/>
      <c r="NR24" s="30"/>
      <c r="NS24" s="30"/>
      <c r="NT24" s="30"/>
      <c r="NU24" s="30"/>
      <c r="NV24" s="30"/>
      <c r="NW24" s="30"/>
      <c r="NX24" s="30"/>
      <c r="NY24" s="30"/>
      <c r="NZ24" s="30"/>
      <c r="OA24" s="30"/>
      <c r="OB24" s="30"/>
      <c r="OC24" s="30"/>
      <c r="OD24" s="30"/>
      <c r="OE24" s="30"/>
      <c r="OF24" s="30"/>
      <c r="OG24" s="30"/>
      <c r="OH24" s="30"/>
      <c r="OI24" s="30"/>
      <c r="OJ24" s="30"/>
      <c r="OK24" s="30"/>
      <c r="OL24" s="30"/>
      <c r="OM24" s="30"/>
      <c r="ON24" s="30"/>
      <c r="OO24" s="30"/>
      <c r="OP24" s="30"/>
      <c r="OQ24" s="30"/>
      <c r="OR24" s="30"/>
      <c r="OS24" s="30"/>
      <c r="OT24" s="30"/>
      <c r="OU24" s="30"/>
      <c r="OV24" s="30"/>
      <c r="OW24" s="30"/>
      <c r="OX24" s="30"/>
      <c r="OY24" s="30"/>
      <c r="OZ24" s="30"/>
      <c r="PA24" s="30"/>
      <c r="PB24" s="30"/>
      <c r="PC24" s="30"/>
      <c r="PD24" s="30"/>
      <c r="PE24" s="30"/>
      <c r="PF24" s="30"/>
      <c r="PG24" s="30"/>
      <c r="PH24" s="30"/>
      <c r="PI24" s="30"/>
      <c r="PJ24" s="30"/>
      <c r="PK24" s="30"/>
      <c r="PL24" s="30"/>
      <c r="PM24" s="30"/>
      <c r="PN24" s="30"/>
      <c r="PO24" s="30"/>
      <c r="PP24" s="30"/>
      <c r="PQ24" s="30"/>
      <c r="PR24" s="30"/>
      <c r="PS24" s="30"/>
      <c r="PT24" s="30"/>
      <c r="PU24" s="30"/>
      <c r="PV24" s="30"/>
      <c r="PW24" s="30"/>
      <c r="PX24" s="30"/>
      <c r="PY24" s="30"/>
      <c r="PZ24" s="30"/>
      <c r="QA24" s="30"/>
      <c r="QB24" s="30"/>
      <c r="QC24" s="30"/>
      <c r="QD24" s="30"/>
      <c r="QE24" s="30"/>
      <c r="QF24" s="30"/>
      <c r="QG24" s="30"/>
      <c r="QH24" s="30"/>
      <c r="QI24" s="30"/>
      <c r="QJ24" s="30"/>
      <c r="QK24" s="30"/>
      <c r="QL24" s="30"/>
      <c r="QM24" s="30"/>
      <c r="QN24" s="30"/>
      <c r="QO24" s="30"/>
      <c r="QP24" s="30"/>
      <c r="QQ24" s="30"/>
      <c r="QR24" s="30"/>
      <c r="QS24" s="30"/>
      <c r="QT24" s="30"/>
      <c r="QU24" s="30"/>
      <c r="QV24" s="30"/>
      <c r="QW24" s="30"/>
      <c r="QX24" s="30"/>
      <c r="QY24" s="30"/>
      <c r="QZ24" s="30"/>
      <c r="RA24" s="30"/>
      <c r="RB24" s="30"/>
      <c r="RC24" s="30"/>
      <c r="RD24" s="30"/>
      <c r="RE24" s="30"/>
      <c r="RF24" s="30"/>
      <c r="RG24" s="30"/>
      <c r="RH24" s="30"/>
      <c r="RI24" s="30"/>
      <c r="RJ24" s="30"/>
      <c r="RK24" s="30"/>
      <c r="RL24" s="30"/>
      <c r="RM24" s="30"/>
      <c r="RN24" s="30"/>
      <c r="RO24" s="30"/>
      <c r="RP24" s="30"/>
      <c r="RQ24" s="30"/>
      <c r="RR24" s="30"/>
      <c r="RS24" s="30"/>
      <c r="RT24" s="30"/>
      <c r="RU24" s="30"/>
      <c r="RV24" s="30"/>
      <c r="RW24" s="30"/>
      <c r="RX24" s="30"/>
      <c r="RY24" s="30"/>
      <c r="RZ24" s="30"/>
      <c r="SA24" s="30"/>
      <c r="SB24" s="30"/>
      <c r="SC24" s="30"/>
      <c r="SD24" s="30"/>
      <c r="SE24" s="30"/>
      <c r="SF24" s="30"/>
      <c r="SG24" s="30"/>
      <c r="SH24" s="30"/>
      <c r="SI24" s="30"/>
      <c r="SJ24" s="30"/>
      <c r="SK24" s="30"/>
      <c r="SL24" s="30"/>
      <c r="SM24" s="30"/>
      <c r="SN24" s="30"/>
      <c r="SO24" s="30"/>
      <c r="SP24" s="30"/>
      <c r="SQ24" s="30"/>
      <c r="SR24" s="30"/>
      <c r="SS24" s="30"/>
      <c r="ST24" s="30"/>
      <c r="SU24" s="30"/>
      <c r="SV24" s="30"/>
      <c r="SW24" s="30"/>
      <c r="SX24" s="30"/>
      <c r="SY24" s="30"/>
      <c r="SZ24" s="30"/>
      <c r="TA24" s="30"/>
      <c r="TB24" s="30"/>
      <c r="TC24" s="30"/>
      <c r="TD24" s="30"/>
      <c r="TE24" s="30"/>
      <c r="TF24" s="30"/>
      <c r="TG24" s="30"/>
      <c r="TH24" s="30"/>
      <c r="TI24" s="30"/>
      <c r="TJ24" s="30"/>
      <c r="TK24" s="30"/>
      <c r="TL24" s="30"/>
      <c r="TM24" s="30"/>
      <c r="TN24" s="30"/>
      <c r="TO24" s="30"/>
      <c r="TP24" s="30"/>
      <c r="TQ24" s="30"/>
      <c r="TR24" s="30"/>
      <c r="TS24" s="30"/>
      <c r="TT24" s="30"/>
      <c r="TU24" s="30"/>
      <c r="TV24" s="30"/>
      <c r="TW24" s="30"/>
      <c r="TX24" s="30"/>
      <c r="TY24" s="30"/>
      <c r="TZ24" s="30"/>
      <c r="UA24" s="30"/>
      <c r="UB24" s="30"/>
      <c r="UC24" s="30"/>
      <c r="UD24" s="30"/>
      <c r="UE24" s="30"/>
      <c r="UF24" s="30"/>
      <c r="UG24" s="30"/>
      <c r="UH24" s="30"/>
      <c r="UI24" s="30"/>
      <c r="UJ24" s="30"/>
      <c r="UK24" s="30"/>
      <c r="UL24" s="30"/>
      <c r="UM24" s="30"/>
      <c r="UN24" s="30"/>
      <c r="UO24" s="30"/>
      <c r="UP24" s="30"/>
      <c r="UQ24" s="30"/>
      <c r="UR24" s="30"/>
      <c r="US24" s="30"/>
      <c r="UT24" s="30"/>
      <c r="UU24" s="30"/>
      <c r="UV24" s="30"/>
      <c r="UW24" s="30"/>
      <c r="UX24" s="30"/>
      <c r="UY24" s="30"/>
      <c r="UZ24" s="30"/>
      <c r="VA24" s="30"/>
      <c r="VB24" s="30"/>
      <c r="VC24" s="30"/>
      <c r="VD24" s="30"/>
      <c r="VE24" s="30"/>
      <c r="VF24" s="30"/>
      <c r="VG24" s="149"/>
      <c r="VH24" s="149"/>
      <c r="VI24" s="149"/>
      <c r="VJ24" s="149"/>
      <c r="VK24" s="149"/>
      <c r="VL24" s="149"/>
      <c r="VM24" s="149"/>
      <c r="VN24" s="149"/>
      <c r="VO24" s="149"/>
      <c r="VP24" s="149"/>
      <c r="VQ24" s="149"/>
      <c r="VR24" s="149"/>
      <c r="VS24" s="149"/>
      <c r="VT24" s="149"/>
      <c r="VU24" s="149"/>
      <c r="VV24" s="149"/>
      <c r="VW24" s="149"/>
      <c r="VX24" s="149"/>
      <c r="VY24" s="149"/>
      <c r="VZ24" s="149"/>
      <c r="WA24" s="149"/>
      <c r="WB24" s="149"/>
      <c r="WC24" s="149"/>
      <c r="WD24" s="149"/>
      <c r="WE24" s="149"/>
      <c r="WF24" s="149"/>
      <c r="WG24" s="149"/>
      <c r="WH24" s="149"/>
      <c r="WI24" s="149"/>
      <c r="WJ24" s="149"/>
      <c r="WK24" s="149"/>
      <c r="WL24" s="149"/>
      <c r="WM24" s="149"/>
      <c r="WN24" s="149"/>
      <c r="WO24" s="149"/>
      <c r="WP24" s="149"/>
      <c r="WQ24" s="149"/>
      <c r="WR24" s="149"/>
      <c r="WS24" s="149"/>
      <c r="WT24" s="149"/>
      <c r="WU24" s="149"/>
      <c r="WV24" s="149"/>
      <c r="WW24" s="149"/>
      <c r="WX24" s="149"/>
      <c r="WY24" s="149"/>
      <c r="WZ24" s="149"/>
      <c r="XA24" s="149"/>
      <c r="XB24" s="149"/>
      <c r="XC24" s="149"/>
      <c r="XD24" s="149"/>
      <c r="XE24" s="149"/>
      <c r="XF24" s="149"/>
      <c r="XG24" s="149"/>
      <c r="XH24" s="149"/>
      <c r="XI24" s="149"/>
      <c r="XJ24" s="149"/>
      <c r="XK24" s="149"/>
      <c r="XL24" s="149"/>
      <c r="XM24" s="149"/>
      <c r="XN24" s="149"/>
      <c r="XO24" s="149"/>
      <c r="XP24" s="149"/>
      <c r="XQ24" s="149"/>
      <c r="XR24" s="149"/>
      <c r="XS24" s="149"/>
      <c r="XT24" s="149"/>
      <c r="XU24" s="149"/>
      <c r="XV24" s="149"/>
      <c r="XW24" s="149"/>
      <c r="XX24" s="149"/>
      <c r="XY24" s="149"/>
      <c r="XZ24" s="149"/>
      <c r="YA24" s="149"/>
      <c r="YB24" s="149"/>
      <c r="YC24" s="150"/>
      <c r="YD24" s="150"/>
      <c r="YE24" s="150"/>
      <c r="YF24" s="150"/>
      <c r="YG24" s="150"/>
      <c r="YH24" s="150"/>
      <c r="YI24" s="150"/>
      <c r="YJ24" s="150"/>
      <c r="YK24" s="150"/>
      <c r="YL24" s="150"/>
      <c r="YM24" s="150"/>
    </row>
    <row r="25" spans="1:663" ht="15.75" customHeight="1" x14ac:dyDescent="0.2">
      <c r="B25" s="30" t="s">
        <v>133</v>
      </c>
      <c r="C25" s="44">
        <f t="shared" ref="C25:IW25" si="49">C19/C22</f>
        <v>2387.0849509803925</v>
      </c>
      <c r="D25" s="44">
        <f t="shared" si="49"/>
        <v>4477.9974545454561</v>
      </c>
      <c r="E25" s="44">
        <f t="shared" si="49"/>
        <v>1812.4496116504849</v>
      </c>
      <c r="F25" s="44">
        <f t="shared" si="49"/>
        <v>1901.3111158798288</v>
      </c>
      <c r="G25" s="44">
        <f t="shared" si="49"/>
        <v>1290.8184210526317</v>
      </c>
      <c r="H25" s="44">
        <f t="shared" si="49"/>
        <v>2197.6477844311385</v>
      </c>
      <c r="I25" s="44">
        <f t="shared" si="49"/>
        <v>3518.6203061224492</v>
      </c>
      <c r="J25" s="44">
        <f t="shared" si="49"/>
        <v>1526.3508585858585</v>
      </c>
      <c r="K25" s="44">
        <f t="shared" si="49"/>
        <v>1880.4577435897434</v>
      </c>
      <c r="L25" s="44">
        <f t="shared" si="49"/>
        <v>1680.2060679611654</v>
      </c>
      <c r="M25" s="44">
        <f t="shared" si="49"/>
        <v>1814.2044488188978</v>
      </c>
      <c r="N25" s="44">
        <f t="shared" si="49"/>
        <v>1728.8255026455026</v>
      </c>
      <c r="O25" s="44">
        <f t="shared" si="49"/>
        <v>1902.6643373493978</v>
      </c>
      <c r="P25" s="44">
        <f t="shared" si="49"/>
        <v>1097.9820465116279</v>
      </c>
      <c r="Q25" s="44">
        <f t="shared" si="49"/>
        <v>2964.1317080745348</v>
      </c>
      <c r="R25" s="44">
        <f t="shared" si="49"/>
        <v>2880.6904912280693</v>
      </c>
      <c r="S25" s="44">
        <f t="shared" si="49"/>
        <v>3222.0138866396774</v>
      </c>
      <c r="T25" s="44">
        <f t="shared" si="49"/>
        <v>2917.8169166666662</v>
      </c>
      <c r="U25" s="44">
        <f t="shared" si="49"/>
        <v>1554.5661187214612</v>
      </c>
      <c r="V25" s="44">
        <f t="shared" si="49"/>
        <v>2101.8435555555552</v>
      </c>
      <c r="W25" s="44">
        <f t="shared" si="49"/>
        <v>2044.3194618834086</v>
      </c>
      <c r="X25" s="44">
        <f t="shared" si="49"/>
        <v>1377.4985062240664</v>
      </c>
      <c r="Y25" s="44">
        <f t="shared" si="49"/>
        <v>1604.4253710247349</v>
      </c>
      <c r="Z25" s="44">
        <f t="shared" si="49"/>
        <v>1681.7596981132078</v>
      </c>
      <c r="AA25" s="44">
        <f t="shared" si="49"/>
        <v>1699.8914981273406</v>
      </c>
      <c r="AB25" s="44">
        <f t="shared" si="49"/>
        <v>1467.1826848249018</v>
      </c>
      <c r="AC25" s="44">
        <f t="shared" si="49"/>
        <v>1251.2691341991342</v>
      </c>
      <c r="AD25" s="44">
        <f t="shared" si="49"/>
        <v>1328.2805303030304</v>
      </c>
      <c r="AE25" s="44">
        <f t="shared" si="49"/>
        <v>1420.811909722222</v>
      </c>
      <c r="AF25" s="44">
        <f t="shared" si="49"/>
        <v>1628.7821991701244</v>
      </c>
      <c r="AG25" s="44">
        <f t="shared" si="49"/>
        <v>2230.2900408163264</v>
      </c>
      <c r="AH25" s="44">
        <f t="shared" si="49"/>
        <v>1671.5633027522933</v>
      </c>
      <c r="AI25" s="44">
        <f t="shared" si="49"/>
        <v>3213.038363636364</v>
      </c>
      <c r="AJ25" s="44">
        <f t="shared" si="49"/>
        <v>2184.5169729729732</v>
      </c>
      <c r="AK25" s="44">
        <f t="shared" si="49"/>
        <v>1601.5918072289155</v>
      </c>
      <c r="AL25" s="44">
        <f t="shared" si="49"/>
        <v>2191.6967169811323</v>
      </c>
      <c r="AM25" s="44">
        <f t="shared" si="49"/>
        <v>1664.2079924242425</v>
      </c>
      <c r="AN25" s="44">
        <f t="shared" si="49"/>
        <v>1440.5633461538462</v>
      </c>
      <c r="AO25" s="44">
        <f t="shared" si="49"/>
        <v>1253.6203597122305</v>
      </c>
      <c r="AP25" s="44">
        <f t="shared" si="49"/>
        <v>2068.6354545454537</v>
      </c>
      <c r="AQ25" s="44">
        <f t="shared" si="49"/>
        <v>1723.2197272727271</v>
      </c>
      <c r="AR25" s="44">
        <f t="shared" si="49"/>
        <v>1410.0842253521125</v>
      </c>
      <c r="AS25" s="44">
        <f t="shared" si="49"/>
        <v>1752.2850367647061</v>
      </c>
      <c r="AT25" s="44">
        <f t="shared" si="49"/>
        <v>3590.1207857142867</v>
      </c>
      <c r="AU25" s="44">
        <f t="shared" si="49"/>
        <v>3472.3822680412372</v>
      </c>
      <c r="AV25" s="44">
        <f t="shared" si="49"/>
        <v>2183.0486743515849</v>
      </c>
      <c r="AW25" s="44">
        <f t="shared" si="49"/>
        <v>1503.6272659176029</v>
      </c>
      <c r="AX25" s="44">
        <f t="shared" si="49"/>
        <v>2255.3416774193552</v>
      </c>
      <c r="AY25" s="44">
        <f t="shared" si="49"/>
        <v>1934.6456370656369</v>
      </c>
      <c r="AZ25" s="44">
        <f t="shared" si="49"/>
        <v>1536.7259581881533</v>
      </c>
      <c r="BA25" s="44">
        <f t="shared" si="49"/>
        <v>1913.5343365695796</v>
      </c>
      <c r="BB25" s="44">
        <f t="shared" si="49"/>
        <v>1084.6551006711413</v>
      </c>
      <c r="BC25" s="44">
        <f t="shared" si="49"/>
        <v>2625.3860252365926</v>
      </c>
      <c r="BD25" s="44">
        <f t="shared" si="49"/>
        <v>1294.2754761904757</v>
      </c>
      <c r="BE25" s="44">
        <f t="shared" si="49"/>
        <v>1317.3372053872054</v>
      </c>
      <c r="BF25" s="44">
        <f t="shared" si="49"/>
        <v>1243.7495017793594</v>
      </c>
      <c r="BG25" s="44">
        <f t="shared" si="49"/>
        <v>1300.001137254902</v>
      </c>
      <c r="BH25" s="44">
        <f t="shared" si="49"/>
        <v>1954.1597891566271</v>
      </c>
      <c r="BI25" s="44">
        <f t="shared" si="49"/>
        <v>2977.5620952380946</v>
      </c>
      <c r="BJ25" s="44">
        <f t="shared" si="49"/>
        <v>1944.3404094827586</v>
      </c>
      <c r="BK25" s="44">
        <f t="shared" si="49"/>
        <v>2114.1758776595739</v>
      </c>
      <c r="BL25" s="44">
        <f t="shared" si="49"/>
        <v>1941.4417378048784</v>
      </c>
      <c r="BM25" s="44">
        <f t="shared" si="49"/>
        <v>1563.4437658227848</v>
      </c>
      <c r="BN25" s="44">
        <f t="shared" si="49"/>
        <v>1140.618252788104</v>
      </c>
      <c r="BO25" s="44">
        <f t="shared" si="49"/>
        <v>2281.5335782747602</v>
      </c>
      <c r="BP25" s="44">
        <f t="shared" si="49"/>
        <v>1702.0372530864197</v>
      </c>
      <c r="BQ25" s="44">
        <f t="shared" si="49"/>
        <v>1755.7174468085111</v>
      </c>
      <c r="BR25" s="44">
        <f t="shared" si="49"/>
        <v>1930.0963036303629</v>
      </c>
      <c r="BS25" s="44">
        <f t="shared" si="49"/>
        <v>1978.6230685920577</v>
      </c>
      <c r="BT25" s="44">
        <f t="shared" si="49"/>
        <v>1536.8982575757575</v>
      </c>
      <c r="BU25" s="44">
        <f t="shared" si="49"/>
        <v>1374.403553113553</v>
      </c>
      <c r="BV25" s="44">
        <f t="shared" si="49"/>
        <v>2015.2101858736062</v>
      </c>
      <c r="BW25" s="44">
        <f t="shared" si="49"/>
        <v>1740.5770676691729</v>
      </c>
      <c r="BX25" s="44">
        <f t="shared" si="49"/>
        <v>2361.4756892230585</v>
      </c>
      <c r="BY25" s="44">
        <f t="shared" si="49"/>
        <v>1342.5813373860183</v>
      </c>
      <c r="BZ25" s="44">
        <f t="shared" si="49"/>
        <v>1787.8190322580642</v>
      </c>
      <c r="CA25" s="44">
        <f t="shared" si="49"/>
        <v>1277.9167721518986</v>
      </c>
      <c r="CB25" s="44">
        <f t="shared" si="49"/>
        <v>1461.6078212290504</v>
      </c>
      <c r="CC25" s="44">
        <f t="shared" si="49"/>
        <v>2749.3932193732203</v>
      </c>
      <c r="CD25" s="44">
        <f t="shared" si="49"/>
        <v>1512.602022792023</v>
      </c>
      <c r="CE25" s="44">
        <f t="shared" si="49"/>
        <v>1769.0631719128326</v>
      </c>
      <c r="CF25" s="44">
        <f t="shared" si="49"/>
        <v>1827.3546176470591</v>
      </c>
      <c r="CG25" s="44">
        <f t="shared" si="49"/>
        <v>1485.7676306620208</v>
      </c>
      <c r="CH25" s="44">
        <f t="shared" si="49"/>
        <v>2190.1126018808777</v>
      </c>
      <c r="CI25" s="44">
        <f t="shared" si="49"/>
        <v>1808.0710743801651</v>
      </c>
      <c r="CJ25" s="44">
        <f t="shared" si="49"/>
        <v>1132.4702339181288</v>
      </c>
      <c r="CK25" s="44">
        <f t="shared" si="49"/>
        <v>1440.2052853598013</v>
      </c>
      <c r="CL25" s="44">
        <f t="shared" si="49"/>
        <v>1596.2200936768149</v>
      </c>
      <c r="CM25" s="44">
        <f t="shared" si="49"/>
        <v>1419.3684682080921</v>
      </c>
      <c r="CN25" s="44">
        <f t="shared" si="49"/>
        <v>1895.9373854447438</v>
      </c>
      <c r="CO25" s="44">
        <f t="shared" si="49"/>
        <v>1718.9582402234632</v>
      </c>
      <c r="CP25" s="44">
        <f t="shared" si="49"/>
        <v>2523.2648543689315</v>
      </c>
      <c r="CQ25" s="44">
        <f t="shared" si="49"/>
        <v>1737.7719487179488</v>
      </c>
      <c r="CR25" s="44">
        <f t="shared" si="49"/>
        <v>1207.9147209302325</v>
      </c>
      <c r="CS25" s="44">
        <f t="shared" si="49"/>
        <v>1604.4292307692303</v>
      </c>
      <c r="CT25" s="44">
        <f t="shared" si="49"/>
        <v>1931.8270251716256</v>
      </c>
      <c r="CU25" s="44">
        <f t="shared" si="49"/>
        <v>1978.0375824175826</v>
      </c>
      <c r="CV25" s="44">
        <f t="shared" si="49"/>
        <v>1919.0784857142853</v>
      </c>
      <c r="CW25" s="44">
        <f t="shared" si="49"/>
        <v>2250.1921989528796</v>
      </c>
      <c r="CX25" s="44">
        <f t="shared" si="49"/>
        <v>1530.8331330472101</v>
      </c>
      <c r="CY25" s="44">
        <f t="shared" si="49"/>
        <v>2646.6245566502457</v>
      </c>
      <c r="CZ25" s="44">
        <f t="shared" si="49"/>
        <v>1908.1216094420599</v>
      </c>
      <c r="DA25" s="44">
        <f t="shared" si="49"/>
        <v>1351.5845742092454</v>
      </c>
      <c r="DB25" s="44">
        <f t="shared" si="49"/>
        <v>1749.4980165289264</v>
      </c>
      <c r="DC25" s="44">
        <f t="shared" si="49"/>
        <v>2074.1505579399141</v>
      </c>
      <c r="DD25" s="44">
        <f t="shared" si="49"/>
        <v>1445.8116775599131</v>
      </c>
      <c r="DE25" s="44">
        <f t="shared" si="49"/>
        <v>1604.7076904176899</v>
      </c>
      <c r="DF25" s="44">
        <f t="shared" si="49"/>
        <v>2264.368209876543</v>
      </c>
      <c r="DG25" s="44">
        <f t="shared" si="49"/>
        <v>1510.0470065075931</v>
      </c>
      <c r="DH25" s="44">
        <f t="shared" si="49"/>
        <v>1790.9543851508122</v>
      </c>
      <c r="DI25" s="44">
        <f t="shared" si="49"/>
        <v>1584.9073364485982</v>
      </c>
      <c r="DJ25" s="44">
        <f t="shared" si="49"/>
        <v>1537.6938222222223</v>
      </c>
      <c r="DK25" s="44">
        <f t="shared" si="49"/>
        <v>1958.1049625468179</v>
      </c>
      <c r="DL25" s="44">
        <f t="shared" si="49"/>
        <v>1466.82888172043</v>
      </c>
      <c r="DM25" s="44">
        <f t="shared" si="49"/>
        <v>1364.6245227272727</v>
      </c>
      <c r="DN25" s="44">
        <f t="shared" si="49"/>
        <v>1421.4027766990291</v>
      </c>
      <c r="DO25" s="44">
        <f t="shared" si="49"/>
        <v>1487.9625352112676</v>
      </c>
      <c r="DP25" s="44">
        <f t="shared" si="49"/>
        <v>1241.1434447300771</v>
      </c>
      <c r="DQ25" s="44">
        <f t="shared" si="49"/>
        <v>1634.9248626373626</v>
      </c>
      <c r="DR25" s="44">
        <f t="shared" si="49"/>
        <v>1733.2890769230769</v>
      </c>
      <c r="DS25" s="44">
        <f t="shared" si="49"/>
        <v>2047.9635450819671</v>
      </c>
      <c r="DT25" s="44">
        <f t="shared" si="49"/>
        <v>3515.4557882882873</v>
      </c>
      <c r="DU25" s="44">
        <f t="shared" si="49"/>
        <v>1710.1626168224302</v>
      </c>
      <c r="DV25" s="44">
        <f t="shared" si="49"/>
        <v>1697.7013350125949</v>
      </c>
      <c r="DW25" s="44">
        <f t="shared" si="49"/>
        <v>1412.8614355231146</v>
      </c>
      <c r="DX25" s="44">
        <f t="shared" si="49"/>
        <v>1573.6156479217605</v>
      </c>
      <c r="DY25" s="44">
        <f t="shared" si="49"/>
        <v>1426.0221875</v>
      </c>
      <c r="DZ25" s="44">
        <f t="shared" si="49"/>
        <v>1288.8682965931862</v>
      </c>
      <c r="EA25" s="44">
        <f t="shared" si="49"/>
        <v>2070.1607446808516</v>
      </c>
      <c r="EB25" s="44">
        <f t="shared" si="49"/>
        <v>1603.9656122448982</v>
      </c>
      <c r="EC25" s="44">
        <f t="shared" si="49"/>
        <v>2006.186122004357</v>
      </c>
      <c r="ED25" s="44">
        <f t="shared" si="49"/>
        <v>1396.7811491442542</v>
      </c>
      <c r="EE25" s="44">
        <f t="shared" si="49"/>
        <v>1016.3569028871391</v>
      </c>
      <c r="EF25" s="44">
        <f t="shared" si="49"/>
        <v>1614.92</v>
      </c>
      <c r="EG25" s="44">
        <f t="shared" si="49"/>
        <v>1799.5745335820891</v>
      </c>
      <c r="EH25" s="44">
        <f t="shared" si="49"/>
        <v>1714.1469597069581</v>
      </c>
      <c r="EI25" s="44">
        <f t="shared" si="49"/>
        <v>1929.6258833333341</v>
      </c>
      <c r="EJ25" s="44">
        <f t="shared" si="49"/>
        <v>1354.6834570312501</v>
      </c>
      <c r="EK25" s="44">
        <f t="shared" si="49"/>
        <v>1493.5615065913375</v>
      </c>
      <c r="EL25" s="44">
        <f t="shared" si="49"/>
        <v>1188.3553886010363</v>
      </c>
      <c r="EM25" s="44">
        <f t="shared" si="49"/>
        <v>1578.7227787307036</v>
      </c>
      <c r="EN25" s="44">
        <f t="shared" si="49"/>
        <v>1436.2740032948934</v>
      </c>
      <c r="EO25" s="44">
        <f t="shared" si="49"/>
        <v>1688.1614502762436</v>
      </c>
      <c r="EP25" s="44">
        <f t="shared" si="49"/>
        <v>1321.3058089368258</v>
      </c>
      <c r="EQ25" s="44">
        <f t="shared" si="49"/>
        <v>1425.4053236245961</v>
      </c>
      <c r="ER25" s="44">
        <f t="shared" si="49"/>
        <v>1349.9658280922426</v>
      </c>
      <c r="ES25" s="44">
        <f t="shared" si="49"/>
        <v>1648.8308557844687</v>
      </c>
      <c r="ET25" s="44">
        <f t="shared" si="49"/>
        <v>1067.0344615384613</v>
      </c>
      <c r="EU25" s="44">
        <f t="shared" si="49"/>
        <v>1349.8363783783782</v>
      </c>
      <c r="EV25" s="44">
        <f t="shared" si="49"/>
        <v>1576.8566416791602</v>
      </c>
      <c r="EW25" s="44">
        <f t="shared" si="49"/>
        <v>1337.5276176890154</v>
      </c>
      <c r="EX25" s="44">
        <f t="shared" si="49"/>
        <v>2136.1022094691539</v>
      </c>
      <c r="EY25" s="44">
        <f t="shared" si="49"/>
        <v>2119.4176949152538</v>
      </c>
      <c r="EZ25" s="44">
        <f t="shared" si="49"/>
        <v>1416.1174638844302</v>
      </c>
      <c r="FA25" s="44">
        <f t="shared" si="49"/>
        <v>1623.8353052325583</v>
      </c>
      <c r="FB25" s="44">
        <f t="shared" si="49"/>
        <v>1541.0756653491433</v>
      </c>
      <c r="FC25" s="44">
        <f t="shared" si="49"/>
        <v>1373.8975558475693</v>
      </c>
      <c r="FD25" s="44">
        <f t="shared" si="49"/>
        <v>1709.1474861878462</v>
      </c>
      <c r="FE25" s="44">
        <f t="shared" si="49"/>
        <v>1292.7923258869901</v>
      </c>
      <c r="FF25" s="44">
        <f t="shared" si="49"/>
        <v>1490.3402995008321</v>
      </c>
      <c r="FG25" s="44">
        <f t="shared" si="49"/>
        <v>1471.1410500000002</v>
      </c>
      <c r="FH25" s="44">
        <f t="shared" si="49"/>
        <v>1184.9845051698671</v>
      </c>
      <c r="FI25" s="44">
        <f t="shared" si="49"/>
        <v>1241.3917246596061</v>
      </c>
      <c r="FJ25" s="44">
        <f t="shared" si="49"/>
        <v>1508.3633190271819</v>
      </c>
      <c r="FK25" s="44">
        <f t="shared" si="49"/>
        <v>1879.030117340287</v>
      </c>
      <c r="FL25" s="44">
        <f t="shared" si="49"/>
        <v>1527.9615106951871</v>
      </c>
      <c r="FM25" s="44">
        <f t="shared" si="49"/>
        <v>1400.1326330935253</v>
      </c>
      <c r="FN25" s="44">
        <f t="shared" si="49"/>
        <v>1265.9008792650916</v>
      </c>
      <c r="FO25" s="44">
        <f t="shared" si="49"/>
        <v>1155.1023641703378</v>
      </c>
      <c r="FP25" s="44">
        <f t="shared" si="49"/>
        <v>1524.6472693266828</v>
      </c>
      <c r="FQ25" s="44">
        <f t="shared" si="49"/>
        <v>1488.5296867167917</v>
      </c>
      <c r="FR25" s="44">
        <f t="shared" si="49"/>
        <v>1065.9760671140939</v>
      </c>
      <c r="FS25" s="44">
        <f t="shared" si="49"/>
        <v>1178.0394957983194</v>
      </c>
      <c r="FT25" s="44">
        <f t="shared" si="49"/>
        <v>1418.0575669099758</v>
      </c>
      <c r="FU25" s="44">
        <f t="shared" si="49"/>
        <v>1732.1152445652174</v>
      </c>
      <c r="FV25" s="44">
        <f t="shared" si="49"/>
        <v>1896.5088429752068</v>
      </c>
      <c r="FW25" s="44">
        <f t="shared" si="49"/>
        <v>1886.4171014492754</v>
      </c>
      <c r="FX25" s="44">
        <f t="shared" si="49"/>
        <v>1224.0023598435464</v>
      </c>
      <c r="FY25" s="44">
        <f t="shared" si="49"/>
        <v>1357.0901884700661</v>
      </c>
      <c r="FZ25" s="44">
        <f t="shared" si="49"/>
        <v>1321.2363972286373</v>
      </c>
      <c r="GA25" s="44">
        <f t="shared" si="49"/>
        <v>1618.1360554885403</v>
      </c>
      <c r="GB25" s="44">
        <f t="shared" si="49"/>
        <v>2119.840246753246</v>
      </c>
      <c r="GC25" s="44">
        <f t="shared" si="49"/>
        <v>2114.2593128834351</v>
      </c>
      <c r="GD25" s="44">
        <f t="shared" si="49"/>
        <v>1355.9114354066985</v>
      </c>
      <c r="GE25" s="44">
        <f t="shared" si="49"/>
        <v>1302.402222222222</v>
      </c>
      <c r="GF25" s="44">
        <f t="shared" si="49"/>
        <v>1594.8139704209336</v>
      </c>
      <c r="GG25" s="44">
        <f t="shared" si="49"/>
        <v>1352.862536764706</v>
      </c>
      <c r="GH25" s="44">
        <f t="shared" si="49"/>
        <v>1749.3725516403397</v>
      </c>
      <c r="GI25" s="44">
        <f t="shared" si="49"/>
        <v>1113.8115959004388</v>
      </c>
      <c r="GJ25" s="44">
        <f t="shared" si="49"/>
        <v>1694.3218690313784</v>
      </c>
      <c r="GK25" s="44">
        <f t="shared" si="49"/>
        <v>1268.55188</v>
      </c>
      <c r="GL25" s="44">
        <f t="shared" si="49"/>
        <v>1229.2578524229073</v>
      </c>
      <c r="GM25" s="44">
        <f t="shared" si="49"/>
        <v>1184.705363528009</v>
      </c>
      <c r="GN25" s="44">
        <f t="shared" si="49"/>
        <v>1292.8931428571432</v>
      </c>
      <c r="GO25" s="44">
        <f t="shared" si="49"/>
        <v>1422.1004545454546</v>
      </c>
      <c r="GP25" s="44">
        <f t="shared" si="49"/>
        <v>1508.9410915492958</v>
      </c>
      <c r="GQ25" s="44">
        <f t="shared" si="49"/>
        <v>1512.8816422947132</v>
      </c>
      <c r="GR25" s="44">
        <f t="shared" si="49"/>
        <v>1412.264730813288</v>
      </c>
      <c r="GS25" s="44">
        <f t="shared" si="49"/>
        <v>1652.2012405609487</v>
      </c>
      <c r="GT25" s="44">
        <f t="shared" si="49"/>
        <v>1833.4111304347823</v>
      </c>
      <c r="GU25" s="44">
        <f t="shared" si="49"/>
        <v>1535.8638065843616</v>
      </c>
      <c r="GV25" s="44">
        <f t="shared" si="49"/>
        <v>1989.9891129032262</v>
      </c>
      <c r="GW25" s="44">
        <f t="shared" si="49"/>
        <v>2540.1337229987289</v>
      </c>
      <c r="GX25" s="44">
        <f t="shared" si="49"/>
        <v>2174.0149267643146</v>
      </c>
      <c r="GY25" s="44">
        <f t="shared" si="49"/>
        <v>1419.4645050761424</v>
      </c>
      <c r="GZ25" s="44">
        <f t="shared" si="49"/>
        <v>1691.8507522123898</v>
      </c>
      <c r="HA25" s="44">
        <f t="shared" si="49"/>
        <v>1439.6545913218972</v>
      </c>
      <c r="HB25" s="44">
        <f t="shared" si="49"/>
        <v>1203.7484088397789</v>
      </c>
      <c r="HC25" s="44">
        <f t="shared" si="49"/>
        <v>1292.346985645933</v>
      </c>
      <c r="HD25" s="44">
        <f t="shared" si="49"/>
        <v>1279.1918902439029</v>
      </c>
      <c r="HE25" s="44">
        <f t="shared" si="49"/>
        <v>1309.4482709251099</v>
      </c>
      <c r="HF25" s="44">
        <f t="shared" si="49"/>
        <v>1637.5274665178574</v>
      </c>
      <c r="HG25" s="44">
        <f t="shared" si="49"/>
        <v>1616.6189272388058</v>
      </c>
      <c r="HH25" s="44">
        <f t="shared" si="49"/>
        <v>1828.8524556737591</v>
      </c>
      <c r="HI25" s="44">
        <f t="shared" si="49"/>
        <v>1253.574328081557</v>
      </c>
      <c r="HJ25" s="44">
        <f t="shared" si="49"/>
        <v>1409.6814671361494</v>
      </c>
      <c r="HK25" s="44">
        <f t="shared" si="49"/>
        <v>1551.0300229357795</v>
      </c>
      <c r="HL25" s="44">
        <f t="shared" si="49"/>
        <v>1384.3239168490159</v>
      </c>
      <c r="HM25" s="44">
        <f t="shared" si="49"/>
        <v>2090.2865351812361</v>
      </c>
      <c r="HN25" s="44">
        <f t="shared" si="49"/>
        <v>1768.6723195876291</v>
      </c>
      <c r="HO25" s="44">
        <f t="shared" si="49"/>
        <v>1235.1175172413798</v>
      </c>
      <c r="HP25" s="44">
        <f t="shared" si="49"/>
        <v>1227.3388828633406</v>
      </c>
      <c r="HQ25" s="44">
        <f t="shared" si="49"/>
        <v>1663.6024967989761</v>
      </c>
      <c r="HR25" s="44">
        <f t="shared" si="49"/>
        <v>1523.8603465982035</v>
      </c>
      <c r="HS25" s="44">
        <f t="shared" si="49"/>
        <v>1483.4611989795917</v>
      </c>
      <c r="HT25" s="44">
        <f t="shared" si="49"/>
        <v>1460.4139933259175</v>
      </c>
      <c r="HU25" s="44">
        <f t="shared" si="49"/>
        <v>1877.0628713768106</v>
      </c>
      <c r="HV25" s="44">
        <f t="shared" si="49"/>
        <v>1461.1997839783983</v>
      </c>
      <c r="HW25" s="44">
        <f t="shared" si="49"/>
        <v>1195.4441806908774</v>
      </c>
      <c r="HX25" s="44">
        <f t="shared" si="49"/>
        <v>1513.7392367149755</v>
      </c>
      <c r="HY25" s="44">
        <f t="shared" si="49"/>
        <v>1703.6146445060031</v>
      </c>
      <c r="HZ25" s="44">
        <f t="shared" si="49"/>
        <v>1158.8449723756908</v>
      </c>
      <c r="IA25" s="44">
        <f t="shared" si="49"/>
        <v>1260.4918941979518</v>
      </c>
      <c r="IB25" s="44">
        <f t="shared" si="49"/>
        <v>1495.7919210526309</v>
      </c>
      <c r="IC25" s="44">
        <f t="shared" si="49"/>
        <v>1289.2788011152418</v>
      </c>
      <c r="ID25" s="44">
        <f t="shared" si="49"/>
        <v>1025.4048214285713</v>
      </c>
      <c r="IE25" s="44">
        <f t="shared" si="49"/>
        <v>1214.0544754571704</v>
      </c>
      <c r="IF25" s="44">
        <f t="shared" si="49"/>
        <v>1857.0235300429183</v>
      </c>
      <c r="IG25" s="44">
        <f t="shared" si="49"/>
        <v>1354.5642</v>
      </c>
      <c r="IH25" s="44">
        <f t="shared" si="49"/>
        <v>1524.1966180758016</v>
      </c>
      <c r="II25" s="44">
        <f t="shared" si="49"/>
        <v>1385.2224528301895</v>
      </c>
      <c r="IJ25" s="44">
        <f t="shared" si="49"/>
        <v>1405.6385074626867</v>
      </c>
      <c r="IK25" s="44">
        <f t="shared" si="49"/>
        <v>1511.4155866355868</v>
      </c>
      <c r="IL25" s="44">
        <f t="shared" si="49"/>
        <v>2162.9007561156404</v>
      </c>
      <c r="IM25" s="44">
        <f t="shared" si="49"/>
        <v>1968.2724564183841</v>
      </c>
      <c r="IN25" s="44">
        <f t="shared" si="49"/>
        <v>1527.0053953871502</v>
      </c>
      <c r="IO25" s="44">
        <f t="shared" si="49"/>
        <v>1204.2066309341499</v>
      </c>
      <c r="IP25" s="44">
        <f t="shared" si="49"/>
        <v>1278.329218865144</v>
      </c>
      <c r="IQ25" s="44">
        <f t="shared" si="49"/>
        <v>1302.293687989556</v>
      </c>
      <c r="IR25" s="44">
        <f t="shared" si="49"/>
        <v>1369.7495947901589</v>
      </c>
      <c r="IS25" s="44">
        <f t="shared" si="49"/>
        <v>1098.6733360389612</v>
      </c>
      <c r="IT25" s="44">
        <f t="shared" si="49"/>
        <v>1276.1705244755244</v>
      </c>
      <c r="IU25" s="44">
        <f t="shared" si="49"/>
        <v>1210.620556920557</v>
      </c>
      <c r="IV25" s="44">
        <f t="shared" si="49"/>
        <v>1185.3280451781061</v>
      </c>
      <c r="IW25" s="44">
        <f t="shared" si="49"/>
        <v>1531.0392682926827</v>
      </c>
      <c r="IX25" s="44">
        <f t="shared" ref="IX25:SR25" si="50">IX19/IX22</f>
        <v>1742.0284425651857</v>
      </c>
      <c r="IY25" s="44">
        <f t="shared" si="50"/>
        <v>1631.8261474269818</v>
      </c>
      <c r="IZ25" s="44">
        <f t="shared" si="50"/>
        <v>1568.9962693602693</v>
      </c>
      <c r="JA25" s="44">
        <f t="shared" si="50"/>
        <v>1307.1150983358552</v>
      </c>
      <c r="JB25" s="44">
        <f t="shared" si="50"/>
        <v>1211.8016691957512</v>
      </c>
      <c r="JC25" s="44">
        <f t="shared" si="50"/>
        <v>1963.3903741007189</v>
      </c>
      <c r="JD25" s="44">
        <f t="shared" si="50"/>
        <v>1291.2220944402129</v>
      </c>
      <c r="JE25" s="44">
        <f t="shared" si="50"/>
        <v>1381.1210489993107</v>
      </c>
      <c r="JF25" s="44">
        <f t="shared" si="50"/>
        <v>1267.3485000000003</v>
      </c>
      <c r="JG25" s="44">
        <f t="shared" si="50"/>
        <v>1436.0451935193516</v>
      </c>
      <c r="JH25" s="44">
        <f t="shared" si="50"/>
        <v>1348.4739902676397</v>
      </c>
      <c r="JI25" s="44">
        <f t="shared" si="50"/>
        <v>1404.0846683673471</v>
      </c>
      <c r="JJ25" s="44">
        <f t="shared" si="50"/>
        <v>1559.2415648854965</v>
      </c>
      <c r="JK25" s="44">
        <f t="shared" si="50"/>
        <v>1501.5469885057478</v>
      </c>
      <c r="JL25" s="44">
        <f t="shared" si="50"/>
        <v>1363.4285182632659</v>
      </c>
      <c r="JM25" s="44">
        <f t="shared" si="50"/>
        <v>1377.8533284349746</v>
      </c>
      <c r="JN25" s="44">
        <f t="shared" si="50"/>
        <v>1388.4103735881845</v>
      </c>
      <c r="JO25" s="44">
        <f t="shared" si="50"/>
        <v>1591.504366412214</v>
      </c>
      <c r="JP25" s="44">
        <f t="shared" si="50"/>
        <v>1762.906810237203</v>
      </c>
      <c r="JQ25" s="44">
        <f t="shared" si="50"/>
        <v>1818.0765073041173</v>
      </c>
      <c r="JR25" s="44">
        <f t="shared" si="50"/>
        <v>1587.2029718599865</v>
      </c>
      <c r="JS25" s="44">
        <f t="shared" si="50"/>
        <v>1668.9560930802206</v>
      </c>
      <c r="JT25" s="44">
        <f t="shared" si="50"/>
        <v>1452.3672721518985</v>
      </c>
      <c r="JU25" s="44">
        <f t="shared" si="50"/>
        <v>1434.4661700581396</v>
      </c>
      <c r="JV25" s="44">
        <f t="shared" si="50"/>
        <v>1564.4365655070324</v>
      </c>
      <c r="JW25" s="44">
        <f t="shared" si="50"/>
        <v>1203.4323772241994</v>
      </c>
      <c r="JX25" s="44">
        <f t="shared" si="50"/>
        <v>1748.7444671201815</v>
      </c>
      <c r="JY25" s="44">
        <f t="shared" si="50"/>
        <v>1542.2927576974571</v>
      </c>
      <c r="JZ25" s="44">
        <f t="shared" si="50"/>
        <v>1373.0183014048532</v>
      </c>
      <c r="KA25" s="44">
        <f t="shared" si="50"/>
        <v>1311.3897715917203</v>
      </c>
      <c r="KB25" s="44">
        <f t="shared" si="50"/>
        <v>1429.502616822429</v>
      </c>
      <c r="KC25" s="44">
        <f t="shared" si="50"/>
        <v>1696.8537807783957</v>
      </c>
      <c r="KD25" s="44">
        <f t="shared" si="50"/>
        <v>2026.5336065573767</v>
      </c>
      <c r="KE25" s="44">
        <f t="shared" si="50"/>
        <v>1540.3591355311351</v>
      </c>
      <c r="KF25" s="44">
        <f t="shared" si="50"/>
        <v>1577.1535695876296</v>
      </c>
      <c r="KG25" s="44">
        <f t="shared" si="50"/>
        <v>1528.8570580886942</v>
      </c>
      <c r="KH25" s="44">
        <f t="shared" si="50"/>
        <v>1155.4454605263161</v>
      </c>
      <c r="KI25" s="44">
        <f t="shared" si="50"/>
        <v>1553.6160896445137</v>
      </c>
      <c r="KJ25" s="44">
        <f t="shared" si="50"/>
        <v>1379.130845272206</v>
      </c>
      <c r="KK25" s="44">
        <f t="shared" si="50"/>
        <v>1403.5067754172983</v>
      </c>
      <c r="KL25" s="44">
        <f t="shared" si="50"/>
        <v>1122.5422915042868</v>
      </c>
      <c r="KM25" s="44">
        <f t="shared" si="50"/>
        <v>1236.3464442815252</v>
      </c>
      <c r="KN25" s="44">
        <f t="shared" si="50"/>
        <v>1364.8204716336299</v>
      </c>
      <c r="KO25" s="44">
        <f t="shared" si="50"/>
        <v>1309.3279091564534</v>
      </c>
      <c r="KP25" s="44">
        <f t="shared" si="50"/>
        <v>1179.2524839743587</v>
      </c>
      <c r="KQ25" s="44">
        <f t="shared" si="50"/>
        <v>1446.1254456193346</v>
      </c>
      <c r="KR25" s="44">
        <f t="shared" si="50"/>
        <v>1482.0402883156305</v>
      </c>
      <c r="KS25" s="44">
        <f t="shared" si="50"/>
        <v>1489.5703804347825</v>
      </c>
      <c r="KT25" s="44">
        <f t="shared" si="50"/>
        <v>1661.8801600000008</v>
      </c>
      <c r="KU25" s="44">
        <f t="shared" si="50"/>
        <v>1547.2595812274369</v>
      </c>
      <c r="KV25" s="44">
        <f t="shared" si="50"/>
        <v>1913.879043698543</v>
      </c>
      <c r="KW25" s="44">
        <f t="shared" si="50"/>
        <v>2236.1785915492951</v>
      </c>
      <c r="KX25" s="44">
        <f t="shared" si="50"/>
        <v>1425.477536982248</v>
      </c>
      <c r="KY25" s="44">
        <f t="shared" si="50"/>
        <v>1438.9380803267529</v>
      </c>
      <c r="KZ25" s="44">
        <f t="shared" si="50"/>
        <v>1495.680625</v>
      </c>
      <c r="LA25" s="44">
        <f t="shared" si="50"/>
        <v>1594.6850492182978</v>
      </c>
      <c r="LB25" s="44">
        <f t="shared" si="50"/>
        <v>1440.1382352941182</v>
      </c>
      <c r="LC25" s="44">
        <f t="shared" si="50"/>
        <v>1471.9899500713268</v>
      </c>
      <c r="LD25" s="44">
        <f t="shared" si="50"/>
        <v>1424.6669842357783</v>
      </c>
      <c r="LE25" s="44">
        <f t="shared" si="50"/>
        <v>1279.8728999434713</v>
      </c>
      <c r="LF25" s="44">
        <f t="shared" si="50"/>
        <v>1391.6572343234322</v>
      </c>
      <c r="LG25" s="44">
        <f t="shared" si="50"/>
        <v>1053.4475800256077</v>
      </c>
      <c r="LH25" s="44">
        <f t="shared" si="50"/>
        <v>1256.7842513211979</v>
      </c>
      <c r="LI25" s="44">
        <f t="shared" si="50"/>
        <v>1317.3046161934815</v>
      </c>
      <c r="LJ25" s="44">
        <f t="shared" si="50"/>
        <v>1731.4943379501387</v>
      </c>
      <c r="LK25" s="44">
        <f t="shared" si="50"/>
        <v>1258.8638838977192</v>
      </c>
      <c r="LL25" s="44">
        <f t="shared" si="50"/>
        <v>969.57845438441097</v>
      </c>
      <c r="LM25" s="44">
        <f t="shared" si="50"/>
        <v>1137.7135990888389</v>
      </c>
      <c r="LN25" s="44">
        <f t="shared" si="50"/>
        <v>1271.4756343061345</v>
      </c>
      <c r="LO25" s="44">
        <f t="shared" si="50"/>
        <v>1270.2835344336931</v>
      </c>
      <c r="LP25" s="44">
        <f t="shared" si="50"/>
        <v>1367.8164970221974</v>
      </c>
      <c r="LQ25" s="44">
        <f t="shared" si="50"/>
        <v>1324.7726856148495</v>
      </c>
      <c r="LR25" s="44">
        <f t="shared" si="50"/>
        <v>1331.9890199750309</v>
      </c>
      <c r="LS25" s="44">
        <f t="shared" si="50"/>
        <v>873.02841675734476</v>
      </c>
      <c r="LT25" s="44">
        <f t="shared" si="50"/>
        <v>1160.9224601132257</v>
      </c>
      <c r="LU25" s="44">
        <f t="shared" si="50"/>
        <v>1106.7414646464647</v>
      </c>
      <c r="LV25" s="44">
        <f t="shared" si="50"/>
        <v>1215.0476592732414</v>
      </c>
      <c r="LW25" s="44">
        <f t="shared" si="50"/>
        <v>1296.9131216674739</v>
      </c>
      <c r="LX25" s="44">
        <f t="shared" si="50"/>
        <v>1210.6577771911304</v>
      </c>
      <c r="LY25" s="44">
        <f t="shared" si="50"/>
        <v>1564.7008224674012</v>
      </c>
      <c r="LZ25" s="44">
        <f t="shared" si="50"/>
        <v>1478.1743320235755</v>
      </c>
      <c r="MA25" s="44">
        <f t="shared" si="50"/>
        <v>1124.0761200923794</v>
      </c>
      <c r="MB25" s="44">
        <f t="shared" si="50"/>
        <v>1210.0390088593579</v>
      </c>
      <c r="MC25" s="44">
        <f t="shared" si="50"/>
        <v>1475.5025113693778</v>
      </c>
      <c r="MD25" s="44">
        <f t="shared" si="50"/>
        <v>1366.5869811320758</v>
      </c>
      <c r="ME25" s="44">
        <f t="shared" si="50"/>
        <v>1226.2477844311379</v>
      </c>
      <c r="MF25" s="44">
        <f t="shared" si="50"/>
        <v>1569.038674971687</v>
      </c>
      <c r="MG25" s="44">
        <f t="shared" si="50"/>
        <v>1110.8118944691673</v>
      </c>
      <c r="MH25" s="44">
        <f t="shared" si="50"/>
        <v>1124.6413000000005</v>
      </c>
      <c r="MI25" s="44">
        <f t="shared" si="50"/>
        <v>1045.2218786808012</v>
      </c>
      <c r="MJ25" s="44">
        <f t="shared" si="50"/>
        <v>1456.1176732673268</v>
      </c>
      <c r="MK25" s="44">
        <f t="shared" si="50"/>
        <v>1272.7717887087754</v>
      </c>
      <c r="ML25" s="44">
        <f t="shared" si="50"/>
        <v>1210.4855991402471</v>
      </c>
      <c r="MM25" s="44">
        <f t="shared" si="50"/>
        <v>1430.2244964226741</v>
      </c>
      <c r="MN25" s="44">
        <f t="shared" si="50"/>
        <v>1147.8910755287011</v>
      </c>
      <c r="MO25" s="44">
        <f t="shared" si="50"/>
        <v>1149.4992996555679</v>
      </c>
      <c r="MP25" s="44">
        <f t="shared" si="50"/>
        <v>1629.4949040043884</v>
      </c>
      <c r="MQ25" s="44">
        <f t="shared" si="50"/>
        <v>1131.9797242543614</v>
      </c>
      <c r="MR25" s="44">
        <f t="shared" si="50"/>
        <v>1251.9216130678919</v>
      </c>
      <c r="MS25" s="44">
        <f t="shared" si="50"/>
        <v>1279.062325092056</v>
      </c>
      <c r="MT25" s="44">
        <f t="shared" si="50"/>
        <v>1310.4032601156073</v>
      </c>
      <c r="MU25" s="44">
        <f t="shared" si="50"/>
        <v>1573.2902691065658</v>
      </c>
      <c r="MV25" s="44">
        <f t="shared" si="50"/>
        <v>1239.1160011918946</v>
      </c>
      <c r="MW25" s="44">
        <f t="shared" si="50"/>
        <v>1176.5927216174175</v>
      </c>
      <c r="MX25" s="44">
        <f t="shared" si="50"/>
        <v>1466.8976113621693</v>
      </c>
      <c r="MY25" s="44">
        <f t="shared" si="50"/>
        <v>1350.3320778405518</v>
      </c>
      <c r="MZ25" s="44">
        <f t="shared" si="50"/>
        <v>1194.8189641693807</v>
      </c>
      <c r="NA25" s="44">
        <f t="shared" si="50"/>
        <v>1761.890810616929</v>
      </c>
      <c r="NB25" s="44">
        <f t="shared" si="50"/>
        <v>1555.765877659574</v>
      </c>
      <c r="NC25" s="44">
        <f t="shared" si="50"/>
        <v>1600.6530146082328</v>
      </c>
      <c r="ND25" s="44">
        <f t="shared" si="50"/>
        <v>1402.8408542713564</v>
      </c>
      <c r="NE25" s="44">
        <f t="shared" si="50"/>
        <v>1631.3209424724596</v>
      </c>
      <c r="NF25" s="44">
        <f t="shared" si="50"/>
        <v>1513.4819362597709</v>
      </c>
      <c r="NG25" s="44">
        <f t="shared" si="50"/>
        <v>1382.9512982241281</v>
      </c>
      <c r="NH25" s="44">
        <f t="shared" si="50"/>
        <v>1176.855443548387</v>
      </c>
      <c r="NI25" s="44">
        <f t="shared" si="50"/>
        <v>1361.3936576704543</v>
      </c>
      <c r="NJ25" s="44">
        <f t="shared" si="50"/>
        <v>1120.4191630901289</v>
      </c>
      <c r="NK25" s="44">
        <f t="shared" si="50"/>
        <v>1265.3152963525838</v>
      </c>
      <c r="NL25" s="44">
        <f t="shared" si="50"/>
        <v>1526.9080863309364</v>
      </c>
      <c r="NM25" s="44">
        <f t="shared" si="50"/>
        <v>1281.3521204188487</v>
      </c>
      <c r="NN25" s="44">
        <f t="shared" si="50"/>
        <v>1246.9486277372264</v>
      </c>
      <c r="NO25" s="44">
        <f t="shared" si="50"/>
        <v>1176.9005389221556</v>
      </c>
      <c r="NP25" s="44">
        <f t="shared" si="50"/>
        <v>1574.0759720062201</v>
      </c>
      <c r="NQ25" s="44">
        <f t="shared" si="50"/>
        <v>1531.6823058823541</v>
      </c>
      <c r="NR25" s="44">
        <f t="shared" si="50"/>
        <v>1425.5259786239149</v>
      </c>
      <c r="NS25" s="44">
        <f t="shared" si="50"/>
        <v>1231.1720912547526</v>
      </c>
      <c r="NT25" s="44">
        <f t="shared" si="50"/>
        <v>1171.1305449275364</v>
      </c>
      <c r="NU25" s="44">
        <f t="shared" si="50"/>
        <v>1374.7697434367547</v>
      </c>
      <c r="NV25" s="44">
        <f t="shared" si="50"/>
        <v>1658.6045998608206</v>
      </c>
      <c r="NW25" s="44">
        <f t="shared" si="50"/>
        <v>1317.1402640722722</v>
      </c>
      <c r="NX25" s="44">
        <f t="shared" si="50"/>
        <v>1373.989452145215</v>
      </c>
      <c r="NY25" s="44">
        <f t="shared" si="50"/>
        <v>1334.1095678092402</v>
      </c>
      <c r="NZ25" s="44">
        <f t="shared" si="50"/>
        <v>1761.6220040485821</v>
      </c>
      <c r="OA25" s="44">
        <f t="shared" si="50"/>
        <v>1361.9246610169494</v>
      </c>
      <c r="OB25" s="44">
        <f t="shared" si="50"/>
        <v>1276.7220167525775</v>
      </c>
      <c r="OC25" s="44">
        <f t="shared" si="50"/>
        <v>1100.486837666901</v>
      </c>
      <c r="OD25" s="44">
        <f t="shared" si="50"/>
        <v>1444.2948252788099</v>
      </c>
      <c r="OE25" s="44">
        <f t="shared" si="50"/>
        <v>1255.5271109456439</v>
      </c>
      <c r="OF25" s="44">
        <f t="shared" si="50"/>
        <v>1148.4244623655911</v>
      </c>
      <c r="OG25" s="44">
        <f t="shared" si="50"/>
        <v>1488.3228447701538</v>
      </c>
      <c r="OH25" s="44">
        <f t="shared" si="50"/>
        <v>1583.0958074730841</v>
      </c>
      <c r="OI25" s="44">
        <f t="shared" si="50"/>
        <v>1560.457526342198</v>
      </c>
      <c r="OJ25" s="44">
        <f t="shared" si="50"/>
        <v>1825.9475832376579</v>
      </c>
      <c r="OK25" s="44">
        <f t="shared" si="50"/>
        <v>1196.6260012135917</v>
      </c>
      <c r="OL25" s="44">
        <f t="shared" si="50"/>
        <v>1624.5188223938219</v>
      </c>
      <c r="OM25" s="44">
        <f t="shared" si="50"/>
        <v>1357.8110974822466</v>
      </c>
      <c r="ON25" s="44">
        <f t="shared" si="50"/>
        <v>1262.7599687304571</v>
      </c>
      <c r="OO25" s="44">
        <f t="shared" si="50"/>
        <v>1140.9840000000002</v>
      </c>
      <c r="OP25" s="44">
        <f t="shared" si="50"/>
        <v>1086.8878018575849</v>
      </c>
      <c r="OQ25" s="44">
        <f t="shared" si="50"/>
        <v>1108.8575567790781</v>
      </c>
      <c r="OR25" s="44">
        <f t="shared" si="50"/>
        <v>1200.740352250489</v>
      </c>
      <c r="OS25" s="44">
        <f t="shared" si="50"/>
        <v>976.15423400129293</v>
      </c>
      <c r="OT25" s="44">
        <f t="shared" si="50"/>
        <v>1135.8795003203077</v>
      </c>
      <c r="OU25" s="44">
        <f t="shared" si="50"/>
        <v>1212.7775012879963</v>
      </c>
      <c r="OV25" s="44">
        <f t="shared" si="50"/>
        <v>1623.9940435835351</v>
      </c>
      <c r="OW25" s="44">
        <f t="shared" si="50"/>
        <v>1413.7776600985221</v>
      </c>
      <c r="OX25" s="44">
        <f t="shared" si="50"/>
        <v>1384.5274858320456</v>
      </c>
      <c r="OY25" s="44">
        <f t="shared" si="50"/>
        <v>1442.0647180851063</v>
      </c>
      <c r="OZ25" s="44">
        <f t="shared" si="50"/>
        <v>1271.0926899696049</v>
      </c>
      <c r="PA25" s="44">
        <f t="shared" si="50"/>
        <v>1123.6195111804477</v>
      </c>
      <c r="PB25" s="44">
        <f t="shared" si="50"/>
        <v>1119.8466289825283</v>
      </c>
      <c r="PC25" s="44">
        <f t="shared" si="50"/>
        <v>985.62710990502035</v>
      </c>
      <c r="PD25" s="44">
        <f t="shared" si="50"/>
        <v>1237.6546416040103</v>
      </c>
      <c r="PE25" s="44">
        <f t="shared" si="50"/>
        <v>1263.5327688442212</v>
      </c>
      <c r="PF25" s="44">
        <f t="shared" si="50"/>
        <v>1292.0276433844408</v>
      </c>
      <c r="PG25" s="44">
        <f t="shared" si="50"/>
        <v>1155.8486909288433</v>
      </c>
      <c r="PH25" s="44">
        <f t="shared" si="50"/>
        <v>1025.9776192771083</v>
      </c>
      <c r="PI25" s="44">
        <f t="shared" si="50"/>
        <v>1240.1320328975114</v>
      </c>
      <c r="PJ25" s="44">
        <f t="shared" si="50"/>
        <v>1174.8463098039215</v>
      </c>
      <c r="PK25" s="44">
        <f t="shared" si="50"/>
        <v>1499.4709518754416</v>
      </c>
      <c r="PL25" s="44">
        <f t="shared" si="50"/>
        <v>1840.0025010544089</v>
      </c>
      <c r="PM25" s="44">
        <f t="shared" si="50"/>
        <v>1456.2322109374998</v>
      </c>
      <c r="PN25" s="44">
        <f t="shared" si="50"/>
        <v>1070.8941776765375</v>
      </c>
      <c r="PO25" s="44">
        <f t="shared" si="50"/>
        <v>1433.7487703834286</v>
      </c>
      <c r="PP25" s="44">
        <f t="shared" si="50"/>
        <v>1328.8678524374172</v>
      </c>
      <c r="PQ25" s="44">
        <f t="shared" si="50"/>
        <v>1286.3434469370152</v>
      </c>
      <c r="PR25" s="44">
        <f t="shared" si="50"/>
        <v>1202.4356058588558</v>
      </c>
      <c r="PS25" s="44">
        <f t="shared" si="50"/>
        <v>1128.2016576086965</v>
      </c>
      <c r="PT25" s="44">
        <f t="shared" si="50"/>
        <v>1486.900815426998</v>
      </c>
      <c r="PU25" s="44">
        <f t="shared" si="50"/>
        <v>1123.4680509413058</v>
      </c>
      <c r="PV25" s="44">
        <f t="shared" si="50"/>
        <v>1176.8472684458393</v>
      </c>
      <c r="PW25" s="44">
        <f t="shared" si="50"/>
        <v>1350.4233987226273</v>
      </c>
      <c r="PX25" s="44">
        <f t="shared" si="50"/>
        <v>1307.9814097087371</v>
      </c>
      <c r="PY25" s="44">
        <f t="shared" si="50"/>
        <v>1399.785736100233</v>
      </c>
      <c r="PZ25" s="44">
        <f t="shared" si="50"/>
        <v>3041.8304119850195</v>
      </c>
      <c r="QA25" s="44">
        <f t="shared" si="50"/>
        <v>1472.5467533557051</v>
      </c>
      <c r="QB25" s="44">
        <f t="shared" si="50"/>
        <v>1445.6237156511359</v>
      </c>
      <c r="QC25" s="44">
        <f t="shared" si="50"/>
        <v>1484.6360936238912</v>
      </c>
      <c r="QD25" s="44">
        <f t="shared" si="50"/>
        <v>1318.1375867052016</v>
      </c>
      <c r="QE25" s="44">
        <f t="shared" si="50"/>
        <v>1246.2956584002784</v>
      </c>
      <c r="QF25" s="44">
        <f t="shared" si="50"/>
        <v>1331.8864394234511</v>
      </c>
      <c r="QG25" s="44">
        <f t="shared" si="50"/>
        <v>1054.5308969545247</v>
      </c>
      <c r="QH25" s="44">
        <f t="shared" si="50"/>
        <v>1308.606753246753</v>
      </c>
      <c r="QI25" s="44">
        <f t="shared" si="50"/>
        <v>1306.6084022155951</v>
      </c>
      <c r="QJ25" s="44">
        <f t="shared" si="50"/>
        <v>1340.0754356306888</v>
      </c>
      <c r="QK25" s="44">
        <f t="shared" si="50"/>
        <v>1282.7572547528514</v>
      </c>
      <c r="QL25" s="44">
        <f t="shared" si="50"/>
        <v>1223.8719025522057</v>
      </c>
      <c r="QM25" s="44">
        <f t="shared" si="50"/>
        <v>1491.8943757292895</v>
      </c>
      <c r="QN25" s="44">
        <f t="shared" si="50"/>
        <v>1418.6423730912095</v>
      </c>
      <c r="QO25" s="44">
        <f t="shared" si="50"/>
        <v>1455.1914324428951</v>
      </c>
      <c r="QP25" s="44">
        <f t="shared" si="50"/>
        <v>1431.8241967810513</v>
      </c>
      <c r="QQ25" s="44">
        <f t="shared" si="50"/>
        <v>1679.3837369369367</v>
      </c>
      <c r="QR25" s="44">
        <f t="shared" si="50"/>
        <v>1425.1769543773105</v>
      </c>
      <c r="QS25" s="44">
        <f t="shared" si="50"/>
        <v>1389.8249776035768</v>
      </c>
      <c r="QT25" s="44">
        <f t="shared" si="50"/>
        <v>1218.9299569081602</v>
      </c>
      <c r="QU25" s="44">
        <f t="shared" si="50"/>
        <v>1382.4901560874071</v>
      </c>
      <c r="QV25" s="44">
        <f t="shared" si="50"/>
        <v>1313.0622967959534</v>
      </c>
      <c r="QW25" s="44">
        <f t="shared" si="50"/>
        <v>1221.4550308141431</v>
      </c>
      <c r="QX25" s="44">
        <f t="shared" si="50"/>
        <v>1153.7022455470742</v>
      </c>
      <c r="QY25" s="44">
        <f t="shared" si="50"/>
        <v>1455.6426143560861</v>
      </c>
      <c r="QZ25" s="44">
        <f t="shared" si="50"/>
        <v>1166.4522294744061</v>
      </c>
      <c r="RA25" s="44">
        <f t="shared" si="50"/>
        <v>1115.3069300699294</v>
      </c>
      <c r="RB25" s="44">
        <f t="shared" si="50"/>
        <v>1205.7073995695844</v>
      </c>
      <c r="RC25" s="44">
        <f t="shared" si="50"/>
        <v>1496.8446425992788</v>
      </c>
      <c r="RD25" s="44">
        <f t="shared" si="50"/>
        <v>1313.225919618528</v>
      </c>
      <c r="RE25" s="44">
        <f t="shared" si="50"/>
        <v>1419.2007079646016</v>
      </c>
      <c r="RF25" s="44">
        <f t="shared" si="50"/>
        <v>1521.9289928946541</v>
      </c>
      <c r="RG25" s="44">
        <f t="shared" si="50"/>
        <v>1284.7040429136075</v>
      </c>
      <c r="RH25" s="44">
        <f t="shared" si="50"/>
        <v>1192.7783703253258</v>
      </c>
      <c r="RI25" s="44">
        <f t="shared" si="50"/>
        <v>1239.8482369051694</v>
      </c>
      <c r="RJ25" s="44">
        <f t="shared" si="50"/>
        <v>1225.4432476802283</v>
      </c>
      <c r="RK25" s="44">
        <f t="shared" si="50"/>
        <v>1148.7860516997173</v>
      </c>
      <c r="RL25" s="44">
        <f t="shared" si="50"/>
        <v>1126.4136370209701</v>
      </c>
      <c r="RM25" s="44">
        <f t="shared" si="50"/>
        <v>1121.1617515609591</v>
      </c>
      <c r="RN25" s="44">
        <f t="shared" si="50"/>
        <v>1276.5113116801988</v>
      </c>
      <c r="RO25" s="44">
        <f t="shared" si="50"/>
        <v>1231.3312577386771</v>
      </c>
      <c r="RP25" s="44">
        <f t="shared" si="50"/>
        <v>1024.8161694785276</v>
      </c>
      <c r="RQ25" s="44">
        <f t="shared" si="50"/>
        <v>1196.8998034769461</v>
      </c>
      <c r="RR25" s="44">
        <f t="shared" si="50"/>
        <v>1325.8881413612571</v>
      </c>
      <c r="RS25" s="44">
        <f t="shared" si="50"/>
        <v>1145.3423731138548</v>
      </c>
      <c r="RT25" s="44">
        <f t="shared" si="50"/>
        <v>1549.6875882012735</v>
      </c>
      <c r="RU25" s="44">
        <f t="shared" si="50"/>
        <v>1793.3608290930863</v>
      </c>
      <c r="RV25" s="44">
        <f t="shared" si="50"/>
        <v>1309.1774768946386</v>
      </c>
      <c r="RW25" s="44">
        <f t="shared" si="50"/>
        <v>1275.1896506550222</v>
      </c>
      <c r="RX25" s="44">
        <f t="shared" si="50"/>
        <v>1292.1163670529293</v>
      </c>
      <c r="RY25" s="44">
        <f t="shared" si="50"/>
        <v>1219.4714489389919</v>
      </c>
      <c r="RZ25" s="44">
        <f t="shared" si="50"/>
        <v>1179.3666401326705</v>
      </c>
      <c r="SA25" s="44">
        <f t="shared" si="50"/>
        <v>1424.427856434005</v>
      </c>
      <c r="SB25" s="44">
        <f t="shared" si="50"/>
        <v>1216.6222002510988</v>
      </c>
      <c r="SC25" s="44">
        <f t="shared" si="50"/>
        <v>1158.8020302311795</v>
      </c>
      <c r="SD25" s="44">
        <f t="shared" si="50"/>
        <v>1144.4027027936718</v>
      </c>
      <c r="SE25" s="44">
        <f t="shared" si="50"/>
        <v>1125.1127002288331</v>
      </c>
      <c r="SF25" s="44">
        <f t="shared" si="50"/>
        <v>1199.9152822865208</v>
      </c>
      <c r="SG25" s="44">
        <f t="shared" si="50"/>
        <v>1242.090690468171</v>
      </c>
      <c r="SH25" s="44">
        <f t="shared" si="50"/>
        <v>1440.6795718475073</v>
      </c>
      <c r="SI25" s="44">
        <f t="shared" si="50"/>
        <v>1238.0026538461539</v>
      </c>
      <c r="SJ25" s="44">
        <f t="shared" si="50"/>
        <v>1353.8304748833384</v>
      </c>
      <c r="SK25" s="44">
        <f t="shared" si="50"/>
        <v>1358.3838269503556</v>
      </c>
      <c r="SL25" s="44">
        <f t="shared" si="50"/>
        <v>1208.5781978021976</v>
      </c>
      <c r="SM25" s="44">
        <f t="shared" si="50"/>
        <v>1384.037178141401</v>
      </c>
      <c r="SN25" s="44">
        <f t="shared" si="50"/>
        <v>1156.4780563293098</v>
      </c>
      <c r="SO25" s="44">
        <f t="shared" si="50"/>
        <v>1094.4648181553678</v>
      </c>
      <c r="SP25" s="44">
        <f t="shared" si="50"/>
        <v>1334.5126304635758</v>
      </c>
      <c r="SQ25" s="44">
        <f t="shared" si="50"/>
        <v>1290.181776635246</v>
      </c>
      <c r="SR25" s="44">
        <f t="shared" si="50"/>
        <v>1499.1458347162286</v>
      </c>
      <c r="SS25" s="44">
        <f t="shared" ref="SS25:WH25" si="51">SS19/SS22</f>
        <v>1163.7828289686388</v>
      </c>
      <c r="ST25" s="44">
        <f t="shared" si="51"/>
        <v>1189.3297453906941</v>
      </c>
      <c r="SU25" s="44">
        <f t="shared" si="51"/>
        <v>1105.7925123295622</v>
      </c>
      <c r="SV25" s="44">
        <f t="shared" si="51"/>
        <v>1305.3285875370923</v>
      </c>
      <c r="SW25" s="44">
        <f t="shared" si="51"/>
        <v>1337.7017263936284</v>
      </c>
      <c r="SX25" s="44">
        <f t="shared" si="51"/>
        <v>1257.7013422222224</v>
      </c>
      <c r="SY25" s="44">
        <f t="shared" si="51"/>
        <v>1427.251182383917</v>
      </c>
      <c r="SZ25" s="44">
        <f t="shared" si="51"/>
        <v>1739.8667384863998</v>
      </c>
      <c r="TA25" s="44">
        <f t="shared" si="51"/>
        <v>1321.7594325239977</v>
      </c>
      <c r="TB25" s="44">
        <f t="shared" si="51"/>
        <v>1309.8179131985728</v>
      </c>
      <c r="TC25" s="44">
        <f t="shared" si="51"/>
        <v>1666.6934655870457</v>
      </c>
      <c r="TD25" s="44">
        <f t="shared" si="51"/>
        <v>1447.0998072457028</v>
      </c>
      <c r="TE25" s="44">
        <f t="shared" si="51"/>
        <v>1394.0726678813126</v>
      </c>
      <c r="TF25" s="44">
        <f t="shared" si="51"/>
        <v>1408.837992588017</v>
      </c>
      <c r="TG25" s="44">
        <f t="shared" si="51"/>
        <v>1362.5251215895603</v>
      </c>
      <c r="TH25" s="44">
        <f t="shared" si="51"/>
        <v>1196.1287989244088</v>
      </c>
      <c r="TI25" s="44">
        <f t="shared" si="51"/>
        <v>1161.6987839812925</v>
      </c>
      <c r="TJ25" s="44">
        <f t="shared" si="51"/>
        <v>1263.4119756756759</v>
      </c>
      <c r="TK25" s="44">
        <f t="shared" si="51"/>
        <v>1102.4435758892212</v>
      </c>
      <c r="TL25" s="44">
        <f t="shared" si="51"/>
        <v>1260.5641510966698</v>
      </c>
      <c r="TM25" s="44">
        <f t="shared" si="51"/>
        <v>1295.7986875529202</v>
      </c>
      <c r="TN25" s="44">
        <f t="shared" si="51"/>
        <v>1370.7591114206134</v>
      </c>
      <c r="TO25" s="44">
        <f t="shared" si="51"/>
        <v>1294.413375427519</v>
      </c>
      <c r="TP25" s="44">
        <f t="shared" si="51"/>
        <v>1185.6815107526888</v>
      </c>
      <c r="TQ25" s="44">
        <f t="shared" si="51"/>
        <v>1212.7065936863548</v>
      </c>
      <c r="TR25" s="44">
        <f t="shared" si="51"/>
        <v>1282.0870953652036</v>
      </c>
      <c r="TS25" s="44">
        <f t="shared" si="51"/>
        <v>1176.9224524368003</v>
      </c>
      <c r="TT25" s="44">
        <f t="shared" si="51"/>
        <v>1393.5751966741275</v>
      </c>
      <c r="TU25" s="44">
        <f t="shared" si="51"/>
        <v>1179.7872646239557</v>
      </c>
      <c r="TV25" s="44">
        <f t="shared" si="51"/>
        <v>1170.0646426461894</v>
      </c>
      <c r="TW25" s="44">
        <f t="shared" si="51"/>
        <v>1199.293019241652</v>
      </c>
      <c r="TX25" s="44">
        <f t="shared" si="51"/>
        <v>1218.3250833333329</v>
      </c>
      <c r="TY25" s="44">
        <f t="shared" si="51"/>
        <v>1218.3338537600816</v>
      </c>
      <c r="TZ25" s="44">
        <f t="shared" si="51"/>
        <v>1057.6598480325645</v>
      </c>
      <c r="UA25" s="44">
        <f t="shared" si="51"/>
        <v>1148.9129048056316</v>
      </c>
      <c r="UB25" s="44">
        <f t="shared" si="51"/>
        <v>1165.0022606009554</v>
      </c>
      <c r="UC25" s="44">
        <f t="shared" si="51"/>
        <v>1336.4817328605207</v>
      </c>
      <c r="UD25" s="44">
        <f t="shared" si="51"/>
        <v>1366.762190923318</v>
      </c>
      <c r="UE25" s="44">
        <f t="shared" si="51"/>
        <v>1236.3116458910422</v>
      </c>
      <c r="UF25" s="44">
        <f t="shared" si="51"/>
        <v>1306.1905936613057</v>
      </c>
      <c r="UG25" s="44">
        <f t="shared" si="51"/>
        <v>1210.3001157463225</v>
      </c>
      <c r="UH25" s="44">
        <f t="shared" si="51"/>
        <v>1543.1855666756817</v>
      </c>
      <c r="UI25" s="44">
        <f t="shared" si="51"/>
        <v>1299.2333599587739</v>
      </c>
      <c r="UJ25" s="44">
        <f t="shared" si="51"/>
        <v>1137.0037111416789</v>
      </c>
      <c r="UK25" s="44">
        <f t="shared" si="51"/>
        <v>1134.624421710713</v>
      </c>
      <c r="UL25" s="44">
        <f t="shared" si="51"/>
        <v>1358.4836588103251</v>
      </c>
      <c r="UM25" s="44">
        <f t="shared" si="51"/>
        <v>1201.0877186878724</v>
      </c>
      <c r="UN25" s="44">
        <f t="shared" si="51"/>
        <v>1153.6957161560606</v>
      </c>
      <c r="UO25" s="44">
        <f t="shared" si="51"/>
        <v>989.43298992805717</v>
      </c>
      <c r="UP25" s="44">
        <f t="shared" si="51"/>
        <v>1208.4191957831329</v>
      </c>
      <c r="UQ25" s="44">
        <f t="shared" si="51"/>
        <v>1354.0873765432113</v>
      </c>
      <c r="UR25" s="44">
        <f t="shared" si="51"/>
        <v>1454.4823863636359</v>
      </c>
      <c r="US25" s="44">
        <f t="shared" si="51"/>
        <v>1265.8902957393489</v>
      </c>
      <c r="UT25" s="44">
        <f t="shared" si="51"/>
        <v>1251.8275042362625</v>
      </c>
      <c r="UU25" s="44">
        <f t="shared" si="51"/>
        <v>1222.316305528135</v>
      </c>
      <c r="UV25" s="44">
        <f t="shared" si="51"/>
        <v>1107.8166938890461</v>
      </c>
      <c r="UW25" s="44">
        <f t="shared" si="51"/>
        <v>1267.2051848591559</v>
      </c>
      <c r="UX25" s="44">
        <f t="shared" si="51"/>
        <v>1123.7998885395825</v>
      </c>
      <c r="UY25" s="44">
        <f t="shared" si="51"/>
        <v>984.79876906016125</v>
      </c>
      <c r="UZ25" s="44">
        <f t="shared" si="51"/>
        <v>1121.6176301716851</v>
      </c>
      <c r="VA25" s="44">
        <f t="shared" si="51"/>
        <v>1270.180680323723</v>
      </c>
      <c r="VB25" s="44">
        <f t="shared" si="51"/>
        <v>1100.8588738127551</v>
      </c>
      <c r="VC25" s="44">
        <f t="shared" si="51"/>
        <v>1156.7548724792412</v>
      </c>
      <c r="VD25" s="44">
        <f t="shared" si="51"/>
        <v>1173.6627495350278</v>
      </c>
      <c r="VE25" s="44">
        <f t="shared" si="51"/>
        <v>1020.546747415067</v>
      </c>
      <c r="VF25" s="44">
        <f t="shared" si="51"/>
        <v>1020.546747415067</v>
      </c>
      <c r="VG25" s="166">
        <f t="shared" si="51"/>
        <v>1147.1191141732284</v>
      </c>
      <c r="VH25" s="166">
        <f t="shared" si="51"/>
        <v>1099.8366320960699</v>
      </c>
      <c r="VI25" s="166">
        <f t="shared" si="51"/>
        <v>1527.4497196450181</v>
      </c>
      <c r="VJ25" s="166">
        <f t="shared" si="51"/>
        <v>1418.8034046468829</v>
      </c>
      <c r="VK25" s="166">
        <f t="shared" si="51"/>
        <v>1346.4052609925429</v>
      </c>
      <c r="VL25" s="166">
        <f t="shared" si="51"/>
        <v>1181.0778749671656</v>
      </c>
      <c r="VM25" s="166">
        <f t="shared" si="51"/>
        <v>1254.4072454417953</v>
      </c>
      <c r="VN25" s="166">
        <f t="shared" si="51"/>
        <v>1298.6089693044214</v>
      </c>
      <c r="VO25" s="166">
        <f t="shared" si="51"/>
        <v>1203.6971243458759</v>
      </c>
      <c r="VP25" s="166">
        <f t="shared" si="51"/>
        <v>1378.6259875806065</v>
      </c>
      <c r="VQ25" s="166">
        <f t="shared" si="51"/>
        <v>1141.5958285558286</v>
      </c>
      <c r="VR25" s="166">
        <f t="shared" si="51"/>
        <v>1190.4727094200675</v>
      </c>
      <c r="VS25" s="166">
        <f t="shared" si="51"/>
        <v>1212.1604454409567</v>
      </c>
      <c r="VT25" s="166">
        <f t="shared" si="51"/>
        <v>1036.1762451880368</v>
      </c>
      <c r="VU25" s="166">
        <f t="shared" si="51"/>
        <v>1092.820556506849</v>
      </c>
      <c r="VV25" s="166">
        <f t="shared" si="51"/>
        <v>1163.303913857678</v>
      </c>
      <c r="VW25" s="166">
        <f t="shared" si="51"/>
        <v>1305.5878202592837</v>
      </c>
      <c r="VX25" s="166">
        <f t="shared" si="51"/>
        <v>1258.5496257062146</v>
      </c>
      <c r="VY25" s="166">
        <f t="shared" si="51"/>
        <v>1070.1229840484048</v>
      </c>
      <c r="VZ25" s="166">
        <f t="shared" si="51"/>
        <v>1355.1852582582583</v>
      </c>
      <c r="WA25" s="166">
        <f t="shared" si="51"/>
        <v>1471.247756041427</v>
      </c>
      <c r="WB25" s="166">
        <f t="shared" si="51"/>
        <v>1230.0231763313609</v>
      </c>
      <c r="WC25" s="166">
        <f t="shared" si="51"/>
        <v>1187.4489450127878</v>
      </c>
      <c r="WD25" s="166">
        <f t="shared" si="51"/>
        <v>1136.7200621118013</v>
      </c>
      <c r="WE25" s="166">
        <f t="shared" si="51"/>
        <v>1195.5205428150641</v>
      </c>
      <c r="WF25" s="166">
        <f t="shared" si="51"/>
        <v>1204.8018832116788</v>
      </c>
      <c r="WG25" s="166">
        <f t="shared" si="51"/>
        <v>1192.2946445497632</v>
      </c>
      <c r="WH25" s="166">
        <f t="shared" si="51"/>
        <v>1131.7167061790669</v>
      </c>
      <c r="WI25" s="166">
        <v>1245.1457929999999</v>
      </c>
      <c r="WJ25" s="166">
        <f t="shared" ref="WJ25:WO25" si="52">WJ19/WJ22</f>
        <v>1129.6632096933729</v>
      </c>
      <c r="WK25" s="166">
        <f t="shared" si="52"/>
        <v>1440.9630540801545</v>
      </c>
      <c r="WL25" s="166">
        <f t="shared" si="52"/>
        <v>1409.256677927928</v>
      </c>
      <c r="WM25" s="166">
        <f t="shared" si="52"/>
        <v>1299.5740673513255</v>
      </c>
      <c r="WN25" s="166">
        <f t="shared" si="52"/>
        <v>1337.9084892360449</v>
      </c>
      <c r="WO25" s="166">
        <f t="shared" si="52"/>
        <v>1144.0674369747899</v>
      </c>
      <c r="WP25" s="166">
        <v>1214.1608699999999</v>
      </c>
      <c r="WQ25" s="166">
        <f t="shared" ref="WQ25:YB25" si="53">WQ19/WQ22</f>
        <v>1247.0039046260445</v>
      </c>
      <c r="WR25" s="166">
        <f t="shared" si="53"/>
        <v>1179.7461530249111</v>
      </c>
      <c r="WS25" s="166">
        <f t="shared" si="53"/>
        <v>1232.6925738781467</v>
      </c>
      <c r="WT25" s="166">
        <f t="shared" si="53"/>
        <v>1196.7217219208358</v>
      </c>
      <c r="WU25" s="166">
        <f t="shared" si="53"/>
        <v>1353.1773521901396</v>
      </c>
      <c r="WV25" s="166">
        <f t="shared" si="53"/>
        <v>1153.169501854796</v>
      </c>
      <c r="WW25" s="166">
        <f t="shared" si="53"/>
        <v>1062.7232328441096</v>
      </c>
      <c r="WX25" s="166">
        <f t="shared" si="53"/>
        <v>1299.0817143387817</v>
      </c>
      <c r="WY25" s="166">
        <f t="shared" si="53"/>
        <v>1196.3443854128102</v>
      </c>
      <c r="WZ25" s="166">
        <f t="shared" si="53"/>
        <v>1218.8692378796454</v>
      </c>
      <c r="XA25" s="166">
        <f t="shared" si="53"/>
        <v>1272.7333236454224</v>
      </c>
      <c r="XB25" s="166">
        <f t="shared" si="53"/>
        <v>1121.2407867203219</v>
      </c>
      <c r="XC25" s="166">
        <f t="shared" si="53"/>
        <v>1292.2270427350427</v>
      </c>
      <c r="XD25" s="166">
        <f t="shared" si="53"/>
        <v>1239.4305442698353</v>
      </c>
      <c r="XE25" s="166">
        <f t="shared" si="53"/>
        <v>1316.7735894680279</v>
      </c>
      <c r="XF25" s="166">
        <f t="shared" si="53"/>
        <v>1143.0524454748411</v>
      </c>
      <c r="XG25" s="166">
        <f t="shared" si="53"/>
        <v>1216.5069511568122</v>
      </c>
      <c r="XH25" s="166">
        <f t="shared" si="53"/>
        <v>1227.8175558525875</v>
      </c>
      <c r="XI25" s="166">
        <f t="shared" si="53"/>
        <v>1172.9352831667647</v>
      </c>
      <c r="XJ25" s="166">
        <f t="shared" si="53"/>
        <v>1157.947775897725</v>
      </c>
      <c r="XK25" s="166">
        <f t="shared" si="53"/>
        <v>1259.1131065468549</v>
      </c>
      <c r="XL25" s="166">
        <f t="shared" si="53"/>
        <v>1243.0741873569289</v>
      </c>
      <c r="XM25" s="166">
        <f t="shared" si="53"/>
        <v>1145.0752097384438</v>
      </c>
      <c r="XN25" s="166">
        <f t="shared" si="53"/>
        <v>1150.1034456224349</v>
      </c>
      <c r="XO25" s="166">
        <f t="shared" si="53"/>
        <v>1110.5559644087255</v>
      </c>
      <c r="XP25" s="166">
        <f t="shared" si="53"/>
        <v>1150.0602772168165</v>
      </c>
      <c r="XQ25" s="166">
        <f t="shared" si="53"/>
        <v>1151.5796634443252</v>
      </c>
      <c r="XR25" s="166">
        <f t="shared" si="53"/>
        <v>1318.9065390048659</v>
      </c>
      <c r="XS25" s="166">
        <f t="shared" si="53"/>
        <v>1240.3173098001289</v>
      </c>
      <c r="XT25" s="166">
        <f t="shared" si="53"/>
        <v>1183.4329206906643</v>
      </c>
      <c r="XU25" s="166">
        <f t="shared" si="53"/>
        <v>1197.435083539604</v>
      </c>
      <c r="XV25" s="166">
        <f t="shared" si="53"/>
        <v>1258.9564059158945</v>
      </c>
      <c r="XW25" s="166">
        <f t="shared" si="53"/>
        <v>1161.3483815535683</v>
      </c>
      <c r="XX25" s="166">
        <f t="shared" si="53"/>
        <v>1137.5465509989485</v>
      </c>
      <c r="XY25" s="166">
        <f t="shared" si="53"/>
        <v>1360.7284916907513</v>
      </c>
      <c r="XZ25" s="166">
        <f t="shared" si="53"/>
        <v>1330.2868936820653</v>
      </c>
      <c r="YA25" s="166">
        <f t="shared" si="53"/>
        <v>1219.9058935774124</v>
      </c>
      <c r="YB25" s="166">
        <f t="shared" si="53"/>
        <v>1258.6297362231182</v>
      </c>
      <c r="YC25" s="167">
        <v>1184</v>
      </c>
      <c r="YD25" s="167">
        <f t="shared" ref="YD25:YF25" si="54">YD19/YD22</f>
        <v>1324.9276777059774</v>
      </c>
      <c r="YE25" s="167">
        <f t="shared" si="54"/>
        <v>1058.3171346545657</v>
      </c>
      <c r="YF25" s="167">
        <f t="shared" si="54"/>
        <v>1268.6135260515839</v>
      </c>
      <c r="YG25" s="167">
        <f t="shared" ref="YG25:YL25" si="55">YG19/YG22</f>
        <v>1301.440210743147</v>
      </c>
      <c r="YH25" s="167">
        <f t="shared" si="55"/>
        <v>1172.9486426674537</v>
      </c>
      <c r="YI25" s="167">
        <f t="shared" si="55"/>
        <v>1155.5268677072283</v>
      </c>
      <c r="YJ25" s="167">
        <f t="shared" si="55"/>
        <v>1246.1774152687435</v>
      </c>
      <c r="YK25" s="167">
        <f t="shared" si="55"/>
        <v>1177.5471918634719</v>
      </c>
      <c r="YL25" s="167">
        <f t="shared" si="55"/>
        <v>1116.0564835164835</v>
      </c>
      <c r="YM25" s="167">
        <f>YM19/YM22</f>
        <v>1024.7707536437965</v>
      </c>
    </row>
    <row r="26" spans="1:663" ht="15.75" customHeight="1" x14ac:dyDescent="0.2">
      <c r="B26" s="30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  <c r="IX26" s="44"/>
      <c r="IY26" s="44"/>
      <c r="IZ26" s="44"/>
      <c r="JA26" s="44"/>
      <c r="JB26" s="44"/>
      <c r="JC26" s="44"/>
      <c r="JD26" s="44"/>
      <c r="JE26" s="44"/>
      <c r="JF26" s="44"/>
      <c r="JG26" s="44"/>
      <c r="JH26" s="44"/>
      <c r="JI26" s="44"/>
      <c r="JJ26" s="44"/>
      <c r="JK26" s="44"/>
      <c r="JL26" s="44"/>
      <c r="JM26" s="44"/>
      <c r="JN26" s="44"/>
      <c r="JO26" s="44"/>
      <c r="JP26" s="44"/>
      <c r="JQ26" s="44"/>
      <c r="JR26" s="44"/>
      <c r="JS26" s="44"/>
      <c r="JT26" s="44"/>
      <c r="JU26" s="44"/>
      <c r="JV26" s="44"/>
      <c r="JW26" s="44"/>
      <c r="JX26" s="44"/>
      <c r="JY26" s="44"/>
      <c r="JZ26" s="44"/>
      <c r="KA26" s="44"/>
      <c r="KB26" s="44"/>
      <c r="KC26" s="44"/>
      <c r="KD26" s="44"/>
      <c r="KE26" s="44"/>
      <c r="KF26" s="44"/>
      <c r="KG26" s="44"/>
      <c r="KH26" s="44"/>
      <c r="KI26" s="44"/>
      <c r="KJ26" s="44"/>
      <c r="KK26" s="44"/>
      <c r="KL26" s="44"/>
      <c r="KM26" s="44"/>
      <c r="KN26" s="44"/>
      <c r="KO26" s="44"/>
      <c r="KP26" s="44"/>
      <c r="KQ26" s="44"/>
      <c r="KR26" s="44"/>
      <c r="KS26" s="44"/>
      <c r="KT26" s="44"/>
      <c r="KU26" s="44"/>
      <c r="KV26" s="44"/>
      <c r="KW26" s="44"/>
      <c r="KX26" s="44"/>
      <c r="KY26" s="44"/>
      <c r="KZ26" s="44"/>
      <c r="LA26" s="44"/>
      <c r="LB26" s="44"/>
      <c r="LC26" s="44"/>
      <c r="LD26" s="44"/>
      <c r="LE26" s="44"/>
      <c r="LF26" s="44"/>
      <c r="LG26" s="44"/>
      <c r="LH26" s="44"/>
      <c r="LI26" s="44"/>
      <c r="LJ26" s="44"/>
      <c r="LK26" s="44"/>
      <c r="LL26" s="44"/>
      <c r="LM26" s="44"/>
      <c r="LN26" s="44"/>
      <c r="LO26" s="44"/>
      <c r="LP26" s="44"/>
      <c r="LQ26" s="44"/>
      <c r="LR26" s="44"/>
      <c r="LS26" s="44"/>
      <c r="LT26" s="44"/>
      <c r="LU26" s="44"/>
      <c r="LV26" s="44"/>
      <c r="LW26" s="44"/>
      <c r="LX26" s="44"/>
      <c r="LY26" s="44"/>
      <c r="LZ26" s="44"/>
      <c r="MA26" s="44"/>
      <c r="MB26" s="44"/>
      <c r="MC26" s="44"/>
      <c r="MD26" s="44"/>
      <c r="ME26" s="44"/>
      <c r="MF26" s="44"/>
      <c r="MG26" s="44"/>
      <c r="MH26" s="44"/>
      <c r="MI26" s="44"/>
      <c r="MJ26" s="44"/>
      <c r="MK26" s="44"/>
      <c r="ML26" s="44"/>
      <c r="MM26" s="44"/>
      <c r="MN26" s="44"/>
      <c r="MO26" s="44"/>
      <c r="MP26" s="44"/>
      <c r="MQ26" s="44"/>
      <c r="MR26" s="44"/>
      <c r="MS26" s="44"/>
      <c r="MT26" s="44"/>
      <c r="MU26" s="44"/>
      <c r="MV26" s="44"/>
      <c r="MW26" s="168"/>
      <c r="MX26" s="44"/>
      <c r="MY26" s="44"/>
      <c r="MZ26" s="44"/>
      <c r="NA26" s="44"/>
      <c r="NB26" s="44"/>
      <c r="NC26" s="44"/>
      <c r="ND26" s="44"/>
      <c r="NE26" s="44"/>
      <c r="NF26" s="44"/>
      <c r="NG26" s="44"/>
      <c r="NH26" s="44"/>
      <c r="NI26" s="44"/>
      <c r="NJ26" s="44"/>
      <c r="NK26" s="44"/>
      <c r="NL26" s="44"/>
      <c r="NM26" s="44"/>
      <c r="NN26" s="44"/>
      <c r="NO26" s="44"/>
      <c r="NP26" s="44"/>
      <c r="NQ26" s="44"/>
      <c r="NR26" s="44"/>
      <c r="NS26" s="44"/>
      <c r="NT26" s="44"/>
      <c r="NU26" s="44"/>
      <c r="NV26" s="44"/>
      <c r="NW26" s="44"/>
      <c r="NX26" s="44"/>
      <c r="NY26" s="44"/>
      <c r="NZ26" s="44"/>
      <c r="OA26" s="44"/>
      <c r="OB26" s="44"/>
      <c r="OC26" s="44"/>
      <c r="OD26" s="44"/>
      <c r="OE26" s="44"/>
      <c r="OF26" s="44"/>
      <c r="OG26" s="44"/>
      <c r="OH26" s="44"/>
      <c r="OI26" s="44"/>
      <c r="OJ26" s="44"/>
      <c r="OK26" s="44"/>
      <c r="OL26" s="44"/>
      <c r="OM26" s="44"/>
      <c r="ON26" s="44"/>
      <c r="OO26" s="44"/>
      <c r="OP26" s="44"/>
      <c r="OQ26" s="44"/>
      <c r="OR26" s="44"/>
      <c r="OS26" s="44"/>
      <c r="OT26" s="44"/>
      <c r="OU26" s="44"/>
      <c r="OV26" s="44"/>
      <c r="OW26" s="44"/>
      <c r="OX26" s="44"/>
      <c r="OY26" s="44"/>
      <c r="OZ26" s="44"/>
      <c r="PA26" s="44"/>
      <c r="PB26" s="44"/>
      <c r="PC26" s="44"/>
      <c r="PD26" s="44"/>
      <c r="PE26" s="44"/>
      <c r="PF26" s="44"/>
      <c r="PG26" s="44"/>
      <c r="PH26" s="44"/>
      <c r="PI26" s="44"/>
      <c r="PJ26" s="44"/>
      <c r="PK26" s="44"/>
      <c r="PL26" s="44"/>
      <c r="PM26" s="44"/>
      <c r="PN26" s="44"/>
      <c r="PO26" s="44"/>
      <c r="PP26" s="44"/>
      <c r="PQ26" s="44"/>
      <c r="PR26" s="44"/>
      <c r="PS26" s="44"/>
      <c r="PT26" s="44"/>
      <c r="PU26" s="44"/>
      <c r="PV26" s="44"/>
      <c r="PW26" s="44"/>
      <c r="PX26" s="44"/>
      <c r="PY26" s="44"/>
      <c r="PZ26" s="44"/>
      <c r="QA26" s="44"/>
      <c r="QB26" s="44"/>
      <c r="QC26" s="44"/>
      <c r="QD26" s="44"/>
      <c r="QE26" s="44"/>
      <c r="QF26" s="44"/>
      <c r="QG26" s="44"/>
      <c r="QH26" s="44"/>
      <c r="QI26" s="44"/>
      <c r="QJ26" s="44"/>
      <c r="QK26" s="44"/>
      <c r="QL26" s="44"/>
      <c r="QM26" s="44"/>
      <c r="QN26" s="44"/>
      <c r="QO26" s="44"/>
      <c r="QP26" s="44"/>
      <c r="QQ26" s="44"/>
      <c r="QR26" s="44"/>
      <c r="QS26" s="44"/>
      <c r="QT26" s="44"/>
      <c r="QU26" s="44"/>
      <c r="QV26" s="44"/>
      <c r="QW26" s="44"/>
      <c r="QX26" s="44"/>
      <c r="QY26" s="44"/>
      <c r="QZ26" s="44"/>
      <c r="RA26" s="44"/>
      <c r="RB26" s="44"/>
      <c r="RC26" s="44"/>
      <c r="RD26" s="44"/>
      <c r="RE26" s="44"/>
      <c r="RF26" s="44"/>
      <c r="RG26" s="44"/>
      <c r="RH26" s="44"/>
      <c r="RI26" s="44"/>
      <c r="RJ26" s="44"/>
      <c r="RK26" s="44"/>
      <c r="RL26" s="44"/>
      <c r="RM26" s="44"/>
      <c r="RN26" s="44"/>
      <c r="RO26" s="44"/>
      <c r="RP26" s="44"/>
      <c r="RQ26" s="44"/>
      <c r="RR26" s="44"/>
      <c r="RS26" s="44"/>
      <c r="RT26" s="44"/>
      <c r="RU26" s="44"/>
      <c r="RV26" s="44"/>
      <c r="RW26" s="44"/>
      <c r="RX26" s="44"/>
      <c r="RY26" s="44"/>
      <c r="RZ26" s="44"/>
      <c r="SA26" s="44"/>
      <c r="SB26" s="44"/>
      <c r="SC26" s="44"/>
      <c r="SD26" s="44"/>
      <c r="SE26" s="44"/>
      <c r="SF26" s="44"/>
      <c r="SG26" s="44"/>
      <c r="SH26" s="44"/>
      <c r="SI26" s="44"/>
      <c r="SJ26" s="44"/>
      <c r="SK26" s="44"/>
      <c r="SL26" s="44"/>
      <c r="SM26" s="44"/>
      <c r="SN26" s="44"/>
      <c r="SO26" s="44"/>
      <c r="SP26" s="44"/>
      <c r="SQ26" s="44"/>
      <c r="SR26" s="44"/>
      <c r="SS26" s="44"/>
      <c r="ST26" s="44"/>
      <c r="SU26" s="44"/>
      <c r="SV26" s="44"/>
      <c r="SW26" s="44"/>
      <c r="SX26" s="44"/>
      <c r="SY26" s="44"/>
      <c r="SZ26" s="44"/>
      <c r="TA26" s="44"/>
      <c r="TB26" s="44"/>
      <c r="TC26" s="44"/>
      <c r="TD26" s="44"/>
      <c r="TE26" s="44"/>
      <c r="TF26" s="44"/>
      <c r="TG26" s="44"/>
      <c r="TH26" s="44"/>
      <c r="TI26" s="44"/>
      <c r="TJ26" s="44"/>
      <c r="TK26" s="44"/>
      <c r="TL26" s="44"/>
      <c r="TM26" s="44"/>
      <c r="TN26" s="44"/>
      <c r="TO26" s="44"/>
      <c r="TP26" s="44"/>
      <c r="TQ26" s="44"/>
      <c r="TR26" s="44"/>
      <c r="TS26" s="44"/>
      <c r="TT26" s="44"/>
      <c r="TU26" s="44"/>
      <c r="TV26" s="44"/>
      <c r="TW26" s="44"/>
      <c r="TX26" s="44"/>
      <c r="TY26" s="44"/>
      <c r="TZ26" s="44"/>
      <c r="UA26" s="44"/>
      <c r="UB26" s="44"/>
      <c r="UC26" s="44"/>
      <c r="UD26" s="44"/>
      <c r="UE26" s="44"/>
      <c r="UF26" s="44"/>
      <c r="UG26" s="44"/>
      <c r="UH26" s="44"/>
      <c r="UI26" s="44"/>
      <c r="UJ26" s="44"/>
      <c r="UK26" s="44"/>
      <c r="UL26" s="44"/>
      <c r="UM26" s="44"/>
      <c r="UN26" s="44"/>
      <c r="UO26" s="44"/>
      <c r="UP26" s="44"/>
      <c r="UQ26" s="44"/>
      <c r="UR26" s="44"/>
      <c r="US26" s="44"/>
      <c r="UT26" s="44"/>
      <c r="UU26" s="44"/>
      <c r="UV26" s="44"/>
      <c r="UW26" s="44"/>
      <c r="UX26" s="44"/>
      <c r="UY26" s="44"/>
      <c r="UZ26" s="44"/>
      <c r="VA26" s="44"/>
      <c r="VB26" s="44"/>
      <c r="VD26" s="44"/>
      <c r="VE26" s="44"/>
      <c r="VF26" s="44"/>
      <c r="VG26" s="166"/>
      <c r="VH26" s="166"/>
      <c r="VI26" s="166"/>
      <c r="VJ26" s="166"/>
      <c r="VK26" s="166"/>
      <c r="VL26" s="166"/>
      <c r="VM26" s="166"/>
      <c r="VN26" s="166"/>
      <c r="VO26" s="166"/>
      <c r="VP26" s="166"/>
      <c r="VQ26" s="166"/>
      <c r="VR26" s="166"/>
      <c r="VS26" s="166"/>
      <c r="VT26" s="166"/>
      <c r="VU26" s="166"/>
      <c r="VV26" s="166"/>
      <c r="VW26" s="166"/>
      <c r="VX26" s="166"/>
      <c r="VY26" s="166"/>
      <c r="VZ26" s="166"/>
      <c r="WA26" s="166"/>
      <c r="WB26" s="166"/>
      <c r="WC26" s="166"/>
      <c r="WD26" s="166"/>
      <c r="WE26" s="166"/>
      <c r="WF26" s="166"/>
      <c r="WG26" s="166"/>
      <c r="WH26" s="166"/>
      <c r="WI26" s="166"/>
      <c r="WJ26" s="166"/>
      <c r="WK26" s="166"/>
      <c r="WL26" s="166"/>
      <c r="WM26" s="166"/>
      <c r="WN26" s="166"/>
      <c r="WO26" s="166"/>
      <c r="WP26" s="166"/>
      <c r="WQ26" s="166"/>
      <c r="WR26" s="166"/>
      <c r="WS26" s="166"/>
      <c r="WT26" s="166"/>
      <c r="WU26" s="166"/>
      <c r="WV26" s="166"/>
      <c r="WW26" s="166"/>
      <c r="WX26" s="166"/>
      <c r="WY26" s="166"/>
      <c r="WZ26" s="166"/>
      <c r="XA26" s="166"/>
      <c r="XB26" s="166"/>
      <c r="XC26" s="166"/>
      <c r="XD26" s="166"/>
      <c r="XE26" s="166"/>
      <c r="XF26" s="166"/>
      <c r="XG26" s="166"/>
      <c r="XH26" s="166"/>
      <c r="XI26" s="166"/>
      <c r="XJ26" s="166"/>
      <c r="XK26" s="166"/>
      <c r="XL26" s="166"/>
      <c r="XM26" s="166"/>
      <c r="XN26" s="166"/>
      <c r="XO26" s="166"/>
      <c r="XP26" s="166"/>
      <c r="XQ26" s="166"/>
      <c r="XR26" s="166"/>
      <c r="XS26" s="166"/>
      <c r="XT26" s="166"/>
      <c r="XU26" s="166"/>
      <c r="XV26" s="166"/>
      <c r="XW26" s="166"/>
      <c r="XX26" s="166"/>
      <c r="XY26" s="166"/>
      <c r="XZ26" s="166"/>
      <c r="YA26" s="166"/>
      <c r="YB26" s="166"/>
      <c r="YC26" s="167"/>
      <c r="YD26" s="167"/>
      <c r="YE26" s="167"/>
      <c r="YF26" s="167"/>
      <c r="YG26" s="167"/>
      <c r="YH26" s="167"/>
      <c r="YI26" s="167"/>
      <c r="YJ26" s="167"/>
      <c r="YK26" s="167"/>
      <c r="YL26" s="167"/>
      <c r="YM26" s="167"/>
    </row>
    <row r="27" spans="1:663" ht="15.75" customHeight="1" x14ac:dyDescent="0.2">
      <c r="B27" s="30" t="s">
        <v>165</v>
      </c>
      <c r="C27" s="44">
        <v>6856615.3600000003</v>
      </c>
      <c r="D27" s="44">
        <v>6968637.5499999998</v>
      </c>
      <c r="E27" s="44">
        <v>7054135.1699999999</v>
      </c>
      <c r="F27" s="44">
        <v>6942359.75</v>
      </c>
      <c r="G27" s="44">
        <v>6756230.6699999999</v>
      </c>
      <c r="H27" s="44">
        <v>6597207.3700000001</v>
      </c>
      <c r="I27" s="44">
        <v>6470978.4199999999</v>
      </c>
      <c r="J27" s="44">
        <v>6076780.8600000003</v>
      </c>
      <c r="K27" s="44">
        <v>6109304.5899999999</v>
      </c>
      <c r="L27" s="44">
        <v>6228747.3099999996</v>
      </c>
      <c r="M27" s="44">
        <v>6556329.0899999999</v>
      </c>
      <c r="N27" s="44">
        <v>6709521.6900000004</v>
      </c>
      <c r="O27" s="44">
        <v>6938883.0800000001</v>
      </c>
      <c r="P27" s="44">
        <v>6843594.8600000003</v>
      </c>
      <c r="Q27" s="44">
        <v>6411031.8499999996</v>
      </c>
      <c r="R27" s="44">
        <v>6279936.5899999999</v>
      </c>
      <c r="S27" s="44">
        <v>6518327.3099999996</v>
      </c>
      <c r="T27" s="44">
        <v>6577508.2300000004</v>
      </c>
      <c r="U27" s="44">
        <v>7334156.3600000003</v>
      </c>
      <c r="V27" s="44">
        <v>7404342.2300000004</v>
      </c>
      <c r="W27" s="44">
        <v>7461960.4199999999</v>
      </c>
      <c r="X27" s="44">
        <v>7297561.0899999999</v>
      </c>
      <c r="Y27" s="44">
        <v>7423216.5300000003</v>
      </c>
      <c r="Z27" s="44">
        <v>7318683.8099999996</v>
      </c>
      <c r="AA27" s="44">
        <v>7692878.4100000001</v>
      </c>
      <c r="AB27" s="44">
        <v>7923143.8799999999</v>
      </c>
      <c r="AC27" s="44">
        <v>8136723.25</v>
      </c>
      <c r="AD27" s="44">
        <v>8068252.5599999996</v>
      </c>
      <c r="AE27" s="44">
        <v>7785460.0800000001</v>
      </c>
      <c r="AF27" s="44">
        <v>7821037.9800000004</v>
      </c>
      <c r="AG27" s="44">
        <v>7536921.5999999996</v>
      </c>
      <c r="AH27" s="44">
        <v>6950112.79</v>
      </c>
      <c r="AI27" s="44">
        <v>7382156.7699999996</v>
      </c>
      <c r="AJ27" s="44">
        <v>7448045.1600000001</v>
      </c>
      <c r="AK27" s="44">
        <v>7371787.7400000002</v>
      </c>
      <c r="AL27" s="44">
        <v>6963549.9800000004</v>
      </c>
      <c r="AM27" s="44">
        <v>7436007.6500000004</v>
      </c>
      <c r="AN27" s="44">
        <v>7279338.4299999997</v>
      </c>
      <c r="AO27" s="44">
        <v>7048624.2300000004</v>
      </c>
      <c r="AP27" s="44">
        <v>7321935.5</v>
      </c>
      <c r="AQ27" s="44">
        <v>7818395.8399999999</v>
      </c>
      <c r="AR27" s="44">
        <v>6870651.4400000004</v>
      </c>
      <c r="AS27" s="44">
        <v>7107971.7800000003</v>
      </c>
      <c r="AT27" s="44">
        <v>7300802.96</v>
      </c>
      <c r="AU27" s="44">
        <v>7319771.5</v>
      </c>
      <c r="AV27" s="44">
        <v>6693149.6299999999</v>
      </c>
      <c r="AW27" s="44">
        <v>7199022.3600000003</v>
      </c>
      <c r="AX27" s="44">
        <v>7458406.3600000003</v>
      </c>
      <c r="AY27" s="44">
        <v>7800279.3099999996</v>
      </c>
      <c r="AZ27" s="44">
        <v>7478023.8499999996</v>
      </c>
      <c r="BA27" s="44">
        <v>7476973.6699999999</v>
      </c>
      <c r="BB27" s="44">
        <v>7534941.5300000003</v>
      </c>
      <c r="BC27" s="44">
        <v>7371769.2000000002</v>
      </c>
      <c r="BD27" s="44">
        <v>7693994.9199999999</v>
      </c>
      <c r="BE27" s="44">
        <v>8003536.4800000004</v>
      </c>
      <c r="BF27" s="44">
        <v>7968789.0599999996</v>
      </c>
      <c r="BG27" s="44">
        <v>8032198.6200000001</v>
      </c>
      <c r="BH27" s="44">
        <v>8027869.0499999998</v>
      </c>
      <c r="BI27" s="44">
        <v>8266373.4699999997</v>
      </c>
      <c r="BJ27" s="44">
        <v>8447650.3300000001</v>
      </c>
      <c r="BK27" s="44">
        <v>8657534.1099999994</v>
      </c>
      <c r="BL27" s="44">
        <v>9271381.9000000004</v>
      </c>
      <c r="BM27" s="44">
        <v>9435802.8399999999</v>
      </c>
      <c r="BN27" s="44">
        <v>9545371.7100000009</v>
      </c>
      <c r="BO27" s="44">
        <v>9758150.9000000004</v>
      </c>
      <c r="BP27" s="44">
        <v>10002941.6</v>
      </c>
      <c r="BQ27" s="44">
        <v>10509055.35</v>
      </c>
      <c r="BR27" s="44">
        <v>10765729.859999999</v>
      </c>
      <c r="BS27" s="44">
        <v>11052997.779999999</v>
      </c>
      <c r="BT27" s="44">
        <v>11429829.460000001</v>
      </c>
      <c r="BU27" s="44">
        <v>11452305.15</v>
      </c>
      <c r="BV27" s="44">
        <v>10996279.369999999</v>
      </c>
      <c r="BW27" s="44">
        <v>10655485.85</v>
      </c>
      <c r="BX27" s="44">
        <v>10697930.74</v>
      </c>
      <c r="BY27" s="44">
        <v>11204386.880000001</v>
      </c>
      <c r="BZ27" s="44">
        <v>10998873.039999999</v>
      </c>
      <c r="CA27" s="44">
        <v>11397618.939999999</v>
      </c>
      <c r="CB27" s="44">
        <v>11217579.5</v>
      </c>
      <c r="CC27" s="44">
        <v>11328567.59</v>
      </c>
      <c r="CD27" s="44">
        <v>11239782.359999999</v>
      </c>
      <c r="CE27" s="44">
        <v>11435863.15</v>
      </c>
      <c r="CF27" s="44">
        <v>11729445.550000001</v>
      </c>
      <c r="CG27" s="44">
        <v>11630146.58</v>
      </c>
      <c r="CH27" s="44">
        <v>11769281.27</v>
      </c>
      <c r="CI27" s="44">
        <v>11848432.210000001</v>
      </c>
      <c r="CJ27" s="44">
        <v>12106020.5</v>
      </c>
      <c r="CK27" s="44">
        <v>12238615.6</v>
      </c>
      <c r="CL27" s="44">
        <v>11902460.84</v>
      </c>
      <c r="CM27" s="44">
        <v>12309786.66</v>
      </c>
      <c r="CN27" s="44">
        <v>12309942.68</v>
      </c>
      <c r="CO27" s="44">
        <v>12307397.07</v>
      </c>
      <c r="CP27" s="44">
        <v>11971448.59</v>
      </c>
      <c r="CQ27" s="44">
        <v>12371021.199999999</v>
      </c>
      <c r="CR27" s="44">
        <v>12192254.84</v>
      </c>
      <c r="CS27" s="44">
        <v>12276704.73</v>
      </c>
      <c r="CT27" s="44">
        <v>12506450.6</v>
      </c>
      <c r="CU27" s="44">
        <v>13181928.609999999</v>
      </c>
      <c r="CV27" s="44">
        <v>13448985.710000001</v>
      </c>
      <c r="CW27" s="44">
        <v>13818665.890000001</v>
      </c>
      <c r="CX27" s="44">
        <v>13840129.65</v>
      </c>
      <c r="CY27" s="44">
        <v>13129361.310000001</v>
      </c>
      <c r="CZ27" s="44">
        <v>13512335.41</v>
      </c>
      <c r="DA27" s="44">
        <v>14001432.5</v>
      </c>
      <c r="DB27" s="44">
        <v>14430347.640000001</v>
      </c>
      <c r="DC27" s="44">
        <v>13924754.4</v>
      </c>
      <c r="DD27" s="44">
        <v>14277629.279999999</v>
      </c>
      <c r="DE27" s="44">
        <v>13683896.75</v>
      </c>
      <c r="DF27" s="44">
        <v>13324116</v>
      </c>
      <c r="DG27" s="44">
        <v>14388575.52</v>
      </c>
      <c r="DH27" s="44">
        <v>14652215.560000001</v>
      </c>
      <c r="DI27" s="44">
        <v>14363031.83</v>
      </c>
      <c r="DJ27" s="44">
        <v>14637799.460000001</v>
      </c>
      <c r="DK27" s="44">
        <v>14986496.07</v>
      </c>
      <c r="DL27" s="44">
        <v>14455900.08</v>
      </c>
      <c r="DM27" s="44">
        <v>14648234.390000001</v>
      </c>
      <c r="DN27" s="44">
        <v>14891032.1</v>
      </c>
      <c r="DO27" s="44">
        <v>15042810.33</v>
      </c>
      <c r="DP27" s="44">
        <v>14687863.710000001</v>
      </c>
      <c r="DQ27" s="44">
        <v>14498585.859999999</v>
      </c>
      <c r="DR27" s="44">
        <v>14273934.75</v>
      </c>
      <c r="DS27" s="44">
        <v>13893825.039999999</v>
      </c>
      <c r="DT27" s="44">
        <v>13860636.77</v>
      </c>
      <c r="DU27" s="44">
        <v>14212029.960000001</v>
      </c>
      <c r="DV27" s="44">
        <v>14545940.560000001</v>
      </c>
      <c r="DW27" s="44">
        <v>14840149.970000001</v>
      </c>
      <c r="DX27" s="44">
        <v>14902732.029999999</v>
      </c>
      <c r="DY27" s="44">
        <v>15117758.01</v>
      </c>
      <c r="DZ27" s="44">
        <v>15351292.199999999</v>
      </c>
      <c r="EA27" s="44">
        <v>15442646.43</v>
      </c>
      <c r="EB27" s="44">
        <v>15415417.75</v>
      </c>
      <c r="EC27" s="44">
        <v>16344416.51</v>
      </c>
      <c r="ED27" s="44">
        <v>16646471.880000001</v>
      </c>
      <c r="EE27" s="44">
        <v>16928407.129999999</v>
      </c>
      <c r="EF27" s="44">
        <v>16557586.92</v>
      </c>
      <c r="EG27" s="44">
        <v>15789512.33</v>
      </c>
      <c r="EH27" s="44">
        <v>15265544.439999999</v>
      </c>
      <c r="EI27" s="44">
        <v>15542774.33</v>
      </c>
      <c r="EJ27" s="44">
        <v>15831306.560000001</v>
      </c>
      <c r="EK27" s="44">
        <v>16178054.07</v>
      </c>
      <c r="EL27" s="44">
        <v>16342527.380000001</v>
      </c>
      <c r="EM27" s="44">
        <v>16454991</v>
      </c>
      <c r="EN27" s="44">
        <v>16281006.09</v>
      </c>
      <c r="EO27" s="44">
        <v>16405963.02</v>
      </c>
      <c r="EP27" s="44">
        <v>16260310.84</v>
      </c>
      <c r="EQ27" s="44">
        <v>16987512.600000001</v>
      </c>
      <c r="ER27" s="44">
        <v>17635544.77</v>
      </c>
      <c r="ES27" s="44">
        <v>17740933.600000001</v>
      </c>
      <c r="ET27" s="44">
        <v>17219229.079999998</v>
      </c>
      <c r="EU27" s="44">
        <v>16865671.629999999</v>
      </c>
      <c r="EV27" s="44">
        <v>16613988.539999999</v>
      </c>
      <c r="EW27" s="44">
        <v>16971799.73</v>
      </c>
      <c r="EX27" s="44">
        <v>16888508.829999998</v>
      </c>
      <c r="EY27" s="44">
        <v>16699573.560000001</v>
      </c>
      <c r="EZ27" s="44">
        <v>16867619.949999999</v>
      </c>
      <c r="FA27" s="44">
        <v>17145312.989999998</v>
      </c>
      <c r="FB27" s="44">
        <v>17544463.100000001</v>
      </c>
      <c r="FC27" s="44">
        <v>17456715.77</v>
      </c>
      <c r="FD27" s="44">
        <v>18326331.82</v>
      </c>
      <c r="FE27" s="44">
        <v>18993811.93</v>
      </c>
      <c r="FF27" s="44">
        <v>19692310.489999998</v>
      </c>
      <c r="FG27" s="44">
        <v>19906213.73</v>
      </c>
      <c r="FH27" s="44">
        <v>20104090.5</v>
      </c>
      <c r="FI27" s="44">
        <v>20158860.559999999</v>
      </c>
      <c r="FJ27" s="44">
        <v>19920298.620000001</v>
      </c>
      <c r="FK27" s="44">
        <v>20273961.91</v>
      </c>
      <c r="FL27" s="44">
        <v>20667503.59</v>
      </c>
      <c r="FM27" s="44">
        <v>21123111.68</v>
      </c>
      <c r="FN27" s="44">
        <v>21335482.559999999</v>
      </c>
      <c r="FO27" s="44">
        <v>20996196.370000001</v>
      </c>
      <c r="FP27" s="44">
        <v>21358896.210000001</v>
      </c>
      <c r="FQ27" s="44">
        <v>21136278.859999999</v>
      </c>
      <c r="FR27" s="44">
        <v>21860210.370000001</v>
      </c>
      <c r="FS27" s="44">
        <v>21634779.469999999</v>
      </c>
      <c r="FT27" s="44">
        <v>22745652.059999999</v>
      </c>
      <c r="FU27" s="44">
        <v>22727506.809999999</v>
      </c>
      <c r="FV27" s="44">
        <v>23439409.510000002</v>
      </c>
      <c r="FW27" s="44">
        <v>23931781.5</v>
      </c>
      <c r="FX27" s="44">
        <v>24139537.91</v>
      </c>
      <c r="FY27" s="44">
        <v>24159332.079999998</v>
      </c>
      <c r="FZ27" s="44">
        <v>24358938.91</v>
      </c>
      <c r="GA27" s="44">
        <v>24868851.449999999</v>
      </c>
      <c r="GB27" s="44">
        <v>23948319.52</v>
      </c>
      <c r="GC27" s="44">
        <v>22089798.870000001</v>
      </c>
      <c r="GD27" s="44">
        <v>22434175.91</v>
      </c>
      <c r="GE27" s="44">
        <v>21970603.91</v>
      </c>
      <c r="GF27" s="44">
        <v>22970575.420000002</v>
      </c>
      <c r="GG27" s="44">
        <v>23414767.59</v>
      </c>
      <c r="GH27" s="44">
        <v>23922237.780000001</v>
      </c>
      <c r="GI27" s="44">
        <v>24213479.969999999</v>
      </c>
      <c r="GJ27" s="44">
        <v>24931421.780000001</v>
      </c>
      <c r="GK27" s="44">
        <v>25099256.120000001</v>
      </c>
      <c r="GL27" s="44">
        <v>24834153.559999999</v>
      </c>
      <c r="GM27" s="44">
        <v>25106337.850000001</v>
      </c>
      <c r="GN27" s="44">
        <v>25492934.969999999</v>
      </c>
      <c r="GO27" s="44">
        <v>24712934.960000001</v>
      </c>
      <c r="GP27" s="44">
        <v>24581279.02</v>
      </c>
      <c r="GQ27" s="44">
        <v>25195497.879999999</v>
      </c>
      <c r="GR27" s="44">
        <v>24851684.809999999</v>
      </c>
      <c r="GS27" s="44">
        <v>21929900.66</v>
      </c>
      <c r="GT27" s="44">
        <v>23480239.120000001</v>
      </c>
      <c r="GU27" s="44">
        <v>23952982.27</v>
      </c>
      <c r="GV27" s="44">
        <v>24953078.469999999</v>
      </c>
      <c r="GW27" s="44">
        <v>24955538.84</v>
      </c>
      <c r="GX27" s="44">
        <v>25564311.899999999</v>
      </c>
      <c r="GY27" s="44">
        <v>24953078.469999999</v>
      </c>
      <c r="GZ27" s="44">
        <v>26350120.670000002</v>
      </c>
      <c r="HA27" s="44">
        <v>27257528.649999999</v>
      </c>
      <c r="HB27" s="44">
        <v>27772355.41</v>
      </c>
      <c r="HC27" s="44">
        <v>28567854.699999999</v>
      </c>
      <c r="HD27" s="44">
        <v>28051825.609999999</v>
      </c>
      <c r="HE27" s="44">
        <v>27627661.140000001</v>
      </c>
      <c r="HF27" s="44">
        <v>27338344.539999999</v>
      </c>
      <c r="HG27" s="44">
        <v>26759738.510000002</v>
      </c>
      <c r="HH27" s="44">
        <v>26741656.870000001</v>
      </c>
      <c r="HI27" s="44">
        <v>27469355.16</v>
      </c>
      <c r="HJ27" s="44">
        <v>27728653.890000001</v>
      </c>
      <c r="HK27" s="44">
        <v>28551392.93</v>
      </c>
      <c r="HL27" s="44">
        <v>28925529.100000001</v>
      </c>
      <c r="HM27" s="44">
        <v>28680654.890000001</v>
      </c>
      <c r="HN27" s="44">
        <v>27890593.719999999</v>
      </c>
      <c r="HO27" s="44">
        <v>29228259.890000001</v>
      </c>
      <c r="HP27" s="44">
        <v>29556188.940000001</v>
      </c>
      <c r="HQ27" s="44">
        <v>30410863.32</v>
      </c>
      <c r="HR27" s="44">
        <v>31087789.07</v>
      </c>
      <c r="HS27" s="44">
        <v>31459693.91</v>
      </c>
      <c r="HT27" s="44">
        <v>31647000.550000001</v>
      </c>
      <c r="HU27" s="44">
        <v>30764144.530000001</v>
      </c>
      <c r="HV27" s="44">
        <v>31141086.350000001</v>
      </c>
      <c r="HW27" s="44">
        <v>31414317.289999999</v>
      </c>
      <c r="HX27" s="44">
        <v>31143155.539999999</v>
      </c>
      <c r="HY27" s="44">
        <v>29415783.789999999</v>
      </c>
      <c r="HZ27" s="44">
        <v>30479186.489999998</v>
      </c>
      <c r="IA27" s="44">
        <v>30672706.890000001</v>
      </c>
      <c r="IB27" s="44">
        <v>30009237.969999999</v>
      </c>
      <c r="IC27" s="44">
        <v>29439586.149999999</v>
      </c>
      <c r="ID27" s="44">
        <v>31419446.219999999</v>
      </c>
      <c r="IE27" s="44">
        <v>32332175.27</v>
      </c>
      <c r="IF27" s="44">
        <v>32638889.489999998</v>
      </c>
      <c r="IG27" s="44">
        <v>32776144.469999999</v>
      </c>
      <c r="IH27" s="44">
        <v>33125153.010000002</v>
      </c>
      <c r="II27" s="44">
        <v>33131499.100000001</v>
      </c>
      <c r="IJ27" s="44">
        <v>32652518.960000001</v>
      </c>
      <c r="IK27" s="44">
        <v>33412005.399999999</v>
      </c>
      <c r="IL27" s="44">
        <v>33453625.079999998</v>
      </c>
      <c r="IM27" s="44">
        <v>34339669.649999999</v>
      </c>
      <c r="IN27" s="44">
        <v>35082616.509999998</v>
      </c>
      <c r="IO27" s="44">
        <v>35811843.909999996</v>
      </c>
      <c r="IP27" s="44">
        <v>35812986.020000003</v>
      </c>
      <c r="IQ27" s="44">
        <v>36477705.270000003</v>
      </c>
      <c r="IR27" s="44">
        <v>36189455.57</v>
      </c>
      <c r="IS27" s="44">
        <v>37868575.450000003</v>
      </c>
      <c r="IT27" s="44">
        <v>38774576.460000001</v>
      </c>
      <c r="IU27" s="44">
        <v>39151981.670000002</v>
      </c>
      <c r="IV27" s="44">
        <v>39632455.619999997</v>
      </c>
      <c r="IW27" s="44">
        <v>38904661.93</v>
      </c>
      <c r="IX27" s="44">
        <v>39311331.729999997</v>
      </c>
      <c r="IY27" s="44">
        <v>39783797.619999997</v>
      </c>
      <c r="IZ27" s="44">
        <v>40429573.350000001</v>
      </c>
      <c r="JA27" s="44">
        <v>41204801.520000003</v>
      </c>
      <c r="JB27" s="44">
        <v>39328219.840000004</v>
      </c>
      <c r="JC27" s="44">
        <v>39650484.759999998</v>
      </c>
      <c r="JD27" s="44">
        <v>40896906.380000003</v>
      </c>
      <c r="JE27" s="44">
        <v>41613371.469999999</v>
      </c>
      <c r="JF27" s="44">
        <v>42205331.729999997</v>
      </c>
      <c r="JG27" s="44">
        <v>43460992.119999997</v>
      </c>
      <c r="JH27" s="44">
        <v>43490152.990000002</v>
      </c>
      <c r="JI27" s="44">
        <v>43659113.130000003</v>
      </c>
      <c r="JJ27" s="44">
        <v>43914464.759999998</v>
      </c>
      <c r="JK27" s="44">
        <v>44077082.170000002</v>
      </c>
      <c r="JL27" s="44">
        <v>45198290.399999999</v>
      </c>
      <c r="JM27" s="44">
        <v>45504795.409999996</v>
      </c>
      <c r="JN27" s="44">
        <v>46542116.289999999</v>
      </c>
      <c r="JO27" s="44">
        <v>45715371.869999997</v>
      </c>
      <c r="JP27" s="44">
        <v>44135179.659999996</v>
      </c>
      <c r="JQ27" s="44">
        <v>43136001.579999998</v>
      </c>
      <c r="JR27" s="44">
        <v>43587133.5</v>
      </c>
      <c r="JS27" s="44">
        <v>44045666.829999998</v>
      </c>
      <c r="JT27" s="44">
        <v>44299463.770000003</v>
      </c>
      <c r="JU27" s="44">
        <v>45725264.609999999</v>
      </c>
      <c r="JV27" s="44">
        <v>45512574.340000004</v>
      </c>
      <c r="JW27" s="44">
        <v>45970832.5</v>
      </c>
      <c r="JX27" s="44">
        <v>46830163.520000003</v>
      </c>
      <c r="JY27" s="44">
        <v>46800026.299999997</v>
      </c>
      <c r="JZ27" s="44">
        <v>47224329.899999999</v>
      </c>
      <c r="KA27" s="44">
        <v>48428438.130000003</v>
      </c>
      <c r="KB27" s="44">
        <v>49634891.5</v>
      </c>
      <c r="KC27" s="44">
        <v>48966578.600000001</v>
      </c>
      <c r="KD27" s="44">
        <v>47469753.329999998</v>
      </c>
      <c r="KE27" s="44">
        <v>47573205.310000002</v>
      </c>
      <c r="KF27" s="44">
        <v>46885845.600000001</v>
      </c>
      <c r="KG27" s="44">
        <v>45396717.259999998</v>
      </c>
      <c r="KH27" s="44">
        <v>46314720.020000003</v>
      </c>
      <c r="KI27" s="44">
        <v>47043196.850000001</v>
      </c>
      <c r="KJ27" s="44">
        <v>47889234.439999998</v>
      </c>
      <c r="KK27" s="44">
        <v>47666970.560000002</v>
      </c>
      <c r="KL27" s="44">
        <v>48221961.799999997</v>
      </c>
      <c r="KM27" s="44">
        <v>47762531.509999998</v>
      </c>
      <c r="KN27" s="44">
        <v>48505054.920000002</v>
      </c>
      <c r="KO27" s="44">
        <v>48872577.93</v>
      </c>
      <c r="KP27" s="44">
        <v>49990857.469999999</v>
      </c>
      <c r="KQ27" s="44">
        <v>50299314.479999997</v>
      </c>
      <c r="KR27" s="44">
        <v>50518498.539999999</v>
      </c>
      <c r="KS27" s="44">
        <v>49508274.130000003</v>
      </c>
      <c r="KT27" s="44">
        <v>48254788.799999997</v>
      </c>
      <c r="KU27" s="44">
        <v>49283876.420000002</v>
      </c>
      <c r="KV27" s="44">
        <v>48161337.280000001</v>
      </c>
      <c r="KW27" s="44">
        <v>49163220.920000002</v>
      </c>
      <c r="KX27" s="44">
        <v>50567165.039999999</v>
      </c>
      <c r="KY27" s="44">
        <v>50695717.829999998</v>
      </c>
      <c r="KZ27" s="44">
        <v>50967984.109999999</v>
      </c>
      <c r="LA27" s="44">
        <v>49752093.060000002</v>
      </c>
      <c r="LB27" s="44">
        <v>50979485.859999999</v>
      </c>
      <c r="LC27" s="44">
        <v>51962060.539999999</v>
      </c>
      <c r="LD27" s="44">
        <v>53164832.979999997</v>
      </c>
      <c r="LE27" s="44">
        <v>52433376.829999998</v>
      </c>
      <c r="LF27" s="44">
        <v>52787354.600000001</v>
      </c>
      <c r="LG27" s="44">
        <v>53037707.310000002</v>
      </c>
      <c r="LH27" s="44">
        <v>52271568.520000003</v>
      </c>
      <c r="LI27" s="44">
        <v>51984712.899999999</v>
      </c>
      <c r="LJ27" s="44">
        <v>51485283.93</v>
      </c>
      <c r="LK27" s="44">
        <v>51655992.289999999</v>
      </c>
      <c r="LL27" s="44">
        <v>50102200.600000001</v>
      </c>
      <c r="LM27" s="44">
        <v>49885729.960000001</v>
      </c>
      <c r="LN27" s="44">
        <v>50517856.18</v>
      </c>
      <c r="LO27" s="44">
        <v>50572571.030000001</v>
      </c>
      <c r="LP27" s="44">
        <v>50869274.119999997</v>
      </c>
      <c r="LQ27" s="44">
        <v>51424325.909999996</v>
      </c>
      <c r="LR27" s="44">
        <v>53169861.469999999</v>
      </c>
      <c r="LS27" s="44">
        <v>53394424.509999998</v>
      </c>
      <c r="LT27" s="44">
        <v>53771361.600000001</v>
      </c>
      <c r="LU27" s="44">
        <v>54013802.630000003</v>
      </c>
      <c r="LV27" s="44">
        <v>52802549.689999998</v>
      </c>
      <c r="LW27" s="44">
        <v>53117268.539999999</v>
      </c>
      <c r="LX27" s="44">
        <v>53453370.890000001</v>
      </c>
      <c r="LY27" s="44">
        <v>52825558.219999999</v>
      </c>
      <c r="LZ27" s="44">
        <v>51524871.649999999</v>
      </c>
      <c r="MA27" s="44">
        <v>53344936.270000003</v>
      </c>
      <c r="MB27" s="44">
        <v>53798667.549999997</v>
      </c>
      <c r="MC27" s="44">
        <v>53574998.119999997</v>
      </c>
      <c r="MD27" s="44">
        <v>53192982.420000002</v>
      </c>
      <c r="ME27" s="44">
        <v>54785383</v>
      </c>
      <c r="MF27" s="44">
        <v>57095253.469999999</v>
      </c>
      <c r="MG27" s="44">
        <v>58070298.759999998</v>
      </c>
      <c r="MH27" s="44">
        <v>58352313.619999997</v>
      </c>
      <c r="MI27" s="44">
        <v>58554326.579999998</v>
      </c>
      <c r="MJ27" s="44">
        <v>57495260.560000002</v>
      </c>
      <c r="MK27" s="44">
        <v>57906815.18</v>
      </c>
      <c r="ML27" s="44">
        <v>58351759.189999998</v>
      </c>
      <c r="MM27" s="44">
        <v>58887890.619999997</v>
      </c>
      <c r="MN27" s="44">
        <v>58926962.280000001</v>
      </c>
      <c r="MO27" s="44">
        <v>58340094.039999999</v>
      </c>
      <c r="MP27" s="44">
        <v>55763512.850000001</v>
      </c>
      <c r="MQ27" s="44">
        <v>55553390.829999998</v>
      </c>
      <c r="MR27" s="44">
        <v>55771201.700000003</v>
      </c>
      <c r="MS27" s="44">
        <v>55761043.420000002</v>
      </c>
      <c r="MT27" s="44">
        <v>57339215.149999999</v>
      </c>
      <c r="MU27" s="44">
        <v>56914288.479999997</v>
      </c>
      <c r="MV27" s="44">
        <v>58300152.630000003</v>
      </c>
      <c r="MW27" s="168">
        <v>59489633.93</v>
      </c>
      <c r="MX27" s="44">
        <v>58919337.649999999</v>
      </c>
      <c r="MY27" s="44">
        <v>59528627.609999999</v>
      </c>
      <c r="MZ27" s="44">
        <v>59932895.630000003</v>
      </c>
      <c r="NA27" s="44">
        <v>59407888.539999999</v>
      </c>
      <c r="NB27" s="44">
        <v>58906374.340000004</v>
      </c>
      <c r="NC27" s="44">
        <v>62581043.140000001</v>
      </c>
      <c r="ND27" s="44">
        <v>62479412.859999999</v>
      </c>
      <c r="NE27" s="44">
        <v>59516737.549999997</v>
      </c>
      <c r="NF27" s="44">
        <v>59730559</v>
      </c>
      <c r="NG27" s="44">
        <v>59986490.359999999</v>
      </c>
      <c r="NH27" s="44">
        <v>61216346.520000003</v>
      </c>
      <c r="NI27" s="44">
        <v>61074628.420000002</v>
      </c>
      <c r="NJ27" s="44">
        <v>60394291.759999998</v>
      </c>
      <c r="NK27" s="44">
        <v>60747147.5</v>
      </c>
      <c r="NL27" s="44">
        <v>60621194.259999998</v>
      </c>
      <c r="NM27" s="44">
        <v>61361057.189999998</v>
      </c>
      <c r="NN27" s="44">
        <v>61675369.850000001</v>
      </c>
      <c r="NO27" s="44">
        <v>61899192.829999998</v>
      </c>
      <c r="NP27" s="44">
        <v>61728846.810000002</v>
      </c>
      <c r="NQ27" s="44">
        <v>60566351.450000003</v>
      </c>
      <c r="NR27" s="44">
        <v>58655479.890000001</v>
      </c>
      <c r="NS27" s="44">
        <v>57715662.799999997</v>
      </c>
      <c r="NT27" s="44">
        <v>56768451.530000001</v>
      </c>
      <c r="NU27" s="44">
        <v>55087166.200000003</v>
      </c>
      <c r="NV27" s="44">
        <v>56448711.460000001</v>
      </c>
      <c r="NW27" s="44">
        <v>57520344.299999997</v>
      </c>
      <c r="NX27" s="44">
        <v>58184631.579999998</v>
      </c>
      <c r="NY27" s="44">
        <v>59359428.310000002</v>
      </c>
      <c r="NZ27" s="44">
        <v>58737591.359999999</v>
      </c>
      <c r="OA27" s="44">
        <v>60060981.149999999</v>
      </c>
      <c r="OB27" s="44">
        <v>60515621.899999999</v>
      </c>
      <c r="OC27" s="44">
        <v>60701892.649999999</v>
      </c>
      <c r="OD27" s="44">
        <v>61031267.590000004</v>
      </c>
      <c r="OE27" s="44">
        <v>61460877.920000002</v>
      </c>
      <c r="OF27" s="44">
        <v>60759237.950000003</v>
      </c>
      <c r="OG27" s="44">
        <v>59375626.780000001</v>
      </c>
      <c r="OH27" s="44">
        <v>59169325.140000001</v>
      </c>
      <c r="OI27" s="44">
        <v>57194020.149999999</v>
      </c>
      <c r="OJ27" s="44">
        <v>55257969.689999998</v>
      </c>
      <c r="OK27" s="44">
        <v>57935864.719999999</v>
      </c>
      <c r="OL27" s="44">
        <v>59026175.789999999</v>
      </c>
      <c r="OM27" s="44">
        <v>60154908.609999999</v>
      </c>
      <c r="ON27" s="44">
        <v>60262282.5</v>
      </c>
      <c r="OO27" s="44">
        <v>61478675.329999998</v>
      </c>
      <c r="OP27" s="44">
        <v>62100327.030000001</v>
      </c>
      <c r="OQ27" s="44">
        <v>63372712.219999999</v>
      </c>
      <c r="OR27" s="44">
        <v>63346010.390000001</v>
      </c>
      <c r="OS27" s="44">
        <v>62764859.32</v>
      </c>
      <c r="OT27" s="44">
        <v>59588494.130000003</v>
      </c>
      <c r="OU27" s="44">
        <v>57869477.729999997</v>
      </c>
      <c r="OV27" s="44">
        <v>56078893.210000001</v>
      </c>
      <c r="OW27" s="44">
        <v>56949457.439999998</v>
      </c>
      <c r="OX27" s="44">
        <v>57488669.159999996</v>
      </c>
      <c r="OY27" s="44">
        <v>57845021.119999997</v>
      </c>
      <c r="OZ27" s="44">
        <v>54841407.810000002</v>
      </c>
      <c r="PA27" s="44">
        <v>56275987.729999997</v>
      </c>
      <c r="PB27" s="44">
        <v>56462092.520000003</v>
      </c>
      <c r="PC27" s="44">
        <v>57300603.75</v>
      </c>
      <c r="PD27" s="44">
        <v>57847789.789999999</v>
      </c>
      <c r="PE27" s="44">
        <v>60092666.259999998</v>
      </c>
      <c r="PF27" s="44">
        <v>60446692.399999999</v>
      </c>
      <c r="PG27" s="44">
        <v>61019698.909999996</v>
      </c>
      <c r="PH27" s="44">
        <v>60727998.82</v>
      </c>
      <c r="PI27" s="44">
        <v>59877042.299999997</v>
      </c>
      <c r="PJ27" s="44">
        <v>59980559.409999996</v>
      </c>
      <c r="PK27" s="44">
        <v>58535492.710000001</v>
      </c>
      <c r="PL27" s="44">
        <v>58562166.039999999</v>
      </c>
      <c r="PM27" s="44">
        <v>60364646.329999998</v>
      </c>
      <c r="PN27" s="44">
        <v>62096703.520000003</v>
      </c>
      <c r="PO27" s="44">
        <v>61783462</v>
      </c>
      <c r="PP27" s="44">
        <v>62569495.700000003</v>
      </c>
      <c r="PQ27" s="44">
        <v>63759102.560000002</v>
      </c>
      <c r="PR27" s="44">
        <v>64710930.969999999</v>
      </c>
      <c r="PS27" s="44">
        <v>67496776.590000004</v>
      </c>
      <c r="PT27" s="44">
        <v>66747119.909999996</v>
      </c>
      <c r="PU27" s="44">
        <v>67821888.700000003</v>
      </c>
      <c r="PV27" s="44">
        <v>66299573.399999999</v>
      </c>
      <c r="PW27" s="44">
        <v>64390734.950000003</v>
      </c>
      <c r="PX27" s="44">
        <v>65461536.710000001</v>
      </c>
      <c r="PY27" s="44">
        <v>66289762.759999998</v>
      </c>
      <c r="PZ27" s="44">
        <v>67041810.310000002</v>
      </c>
      <c r="QA27" s="44">
        <v>66693344.18</v>
      </c>
      <c r="QB27" s="44">
        <v>64701979.770000003</v>
      </c>
      <c r="QC27" s="44">
        <v>65836293.68</v>
      </c>
      <c r="QD27" s="44">
        <v>65067821.299999997</v>
      </c>
      <c r="QE27" s="44">
        <v>68951008.530000001</v>
      </c>
      <c r="QF27" s="44">
        <v>70399626.409999996</v>
      </c>
      <c r="QG27" s="44">
        <v>73233048.329999998</v>
      </c>
      <c r="QH27" s="44">
        <v>74317200.780000001</v>
      </c>
      <c r="QI27" s="44">
        <v>75208444.310000002</v>
      </c>
      <c r="QJ27" s="44">
        <v>75915517.909999996</v>
      </c>
      <c r="QK27" s="44">
        <v>75644610</v>
      </c>
      <c r="QL27" s="44">
        <v>76114358.349999994</v>
      </c>
      <c r="QM27" s="44">
        <v>76762185.019999996</v>
      </c>
      <c r="QN27" s="44">
        <v>77363035.920000002</v>
      </c>
      <c r="QO27" s="44">
        <v>76890494.879999995</v>
      </c>
      <c r="QP27" s="44">
        <v>75603036.950000003</v>
      </c>
      <c r="QQ27" s="44">
        <v>72467154.790000007</v>
      </c>
      <c r="QR27" s="44">
        <v>71939974.709999993</v>
      </c>
      <c r="QS27" s="44">
        <v>77266388.920000002</v>
      </c>
      <c r="QT27" s="44">
        <v>78774405.140000001</v>
      </c>
      <c r="QU27" s="44">
        <v>81418235.569999993</v>
      </c>
      <c r="QV27" s="44">
        <v>83378384.239999995</v>
      </c>
      <c r="QW27" s="44">
        <v>84021555.590000004</v>
      </c>
      <c r="QX27" s="44">
        <v>85828100.75</v>
      </c>
      <c r="QY27" s="44">
        <v>85584080.540000007</v>
      </c>
      <c r="QZ27" s="44">
        <v>87747707.390000001</v>
      </c>
      <c r="RA27" s="44">
        <v>88237148.920000002</v>
      </c>
      <c r="RB27" s="44">
        <v>89026035.549999997</v>
      </c>
      <c r="RC27" s="44">
        <v>88168258.569999993</v>
      </c>
      <c r="RD27" s="44">
        <v>88446330.019999996</v>
      </c>
      <c r="RE27" s="44">
        <v>85957781.540000007</v>
      </c>
      <c r="RF27" s="44">
        <v>84417247.540000007</v>
      </c>
      <c r="RG27" s="44">
        <v>81313104.310000002</v>
      </c>
      <c r="RH27" s="44">
        <v>82231428.849999994</v>
      </c>
      <c r="RI27" s="44">
        <v>85453171.390000001</v>
      </c>
      <c r="RJ27" s="44">
        <v>87001421.450000003</v>
      </c>
      <c r="RK27" s="44">
        <v>88644972.349999994</v>
      </c>
      <c r="RL27" s="44">
        <v>89722855.019999996</v>
      </c>
      <c r="RM27" s="44">
        <v>90006511.840000004</v>
      </c>
      <c r="RN27" s="44">
        <v>91362861.260000005</v>
      </c>
      <c r="RO27" s="44">
        <v>92095286.030000001</v>
      </c>
      <c r="RP27" s="44">
        <v>95038390.780000001</v>
      </c>
      <c r="RQ27" s="44">
        <v>94790469.150000006</v>
      </c>
      <c r="RR27" s="44">
        <v>94126192.109999999</v>
      </c>
      <c r="RS27" s="44">
        <v>92395050.269999996</v>
      </c>
      <c r="RT27" s="44">
        <v>89038197.150000006</v>
      </c>
      <c r="RU27" s="44">
        <v>86916357.5</v>
      </c>
      <c r="RV27" s="44">
        <v>87679773.5</v>
      </c>
      <c r="RW27" s="44">
        <v>90016399.790000007</v>
      </c>
      <c r="RX27" s="44">
        <v>91231700.489999995</v>
      </c>
      <c r="RY27" s="44">
        <v>91981780.700000003</v>
      </c>
      <c r="RZ27" s="44">
        <v>93496470.969999999</v>
      </c>
      <c r="SA27" s="44">
        <v>92361497.590000004</v>
      </c>
      <c r="SB27" s="44">
        <v>93856408.909999996</v>
      </c>
      <c r="SC27" s="44">
        <v>94488645.75</v>
      </c>
      <c r="SD27" s="44">
        <v>95070754.310000002</v>
      </c>
      <c r="SE27" s="44">
        <v>97584109.609999999</v>
      </c>
      <c r="SF27" s="44">
        <v>97635811.409999996</v>
      </c>
      <c r="SG27" s="44">
        <v>96896530.519999996</v>
      </c>
      <c r="SH27" s="44">
        <v>94981615.439999998</v>
      </c>
      <c r="SI27" s="44">
        <v>93146703.379999995</v>
      </c>
      <c r="SJ27" s="44">
        <v>91671645.980000004</v>
      </c>
      <c r="SK27" s="44">
        <v>88689290.040000007</v>
      </c>
      <c r="SL27" s="44">
        <v>89838788.670000002</v>
      </c>
      <c r="SM27" s="44">
        <v>91440810.060000002</v>
      </c>
      <c r="SN27" s="44">
        <v>92704209.569999993</v>
      </c>
      <c r="SO27" s="44">
        <v>93172969.299999997</v>
      </c>
      <c r="SP27" s="44">
        <v>93163826.840000004</v>
      </c>
      <c r="SQ27" s="44">
        <v>95182765.489999995</v>
      </c>
      <c r="SR27" s="44">
        <v>98558523.469999999</v>
      </c>
      <c r="SS27" s="44">
        <v>99742066.829999998</v>
      </c>
      <c r="ST27" s="44">
        <v>101197283.51000001</v>
      </c>
      <c r="SU27" s="44">
        <v>101000864.75</v>
      </c>
      <c r="SV27" s="44">
        <v>98276652.310000002</v>
      </c>
      <c r="SW27" s="44">
        <v>99176196.340000004</v>
      </c>
      <c r="SX27" s="44">
        <v>98705221.590000004</v>
      </c>
      <c r="SY27" s="44">
        <v>99356621.340000004</v>
      </c>
      <c r="SZ27" s="44">
        <v>96450486.120000005</v>
      </c>
      <c r="TA27" s="44">
        <v>97676505.299999997</v>
      </c>
      <c r="TB27" s="44">
        <v>100210738.27</v>
      </c>
      <c r="TC27" s="44">
        <v>100897829.70999999</v>
      </c>
      <c r="TD27" s="44">
        <v>103973627.68000001</v>
      </c>
      <c r="TE27" s="44">
        <v>106360935.54000001</v>
      </c>
      <c r="TF27" s="44">
        <v>110974765.03</v>
      </c>
      <c r="TG27" s="44">
        <v>112972059.76000001</v>
      </c>
      <c r="TH27" s="115">
        <v>113595526.52</v>
      </c>
      <c r="TI27" s="115">
        <v>112838320.91</v>
      </c>
      <c r="TJ27" s="115">
        <v>111697102.43000001</v>
      </c>
      <c r="TK27" s="115">
        <v>114662354.94</v>
      </c>
      <c r="TL27" s="115">
        <v>115367831.52</v>
      </c>
      <c r="TM27" s="115">
        <v>118121130.13</v>
      </c>
      <c r="TN27" s="115">
        <v>116566115.90000001</v>
      </c>
      <c r="TO27" s="115">
        <v>116486856.67</v>
      </c>
      <c r="TP27" s="115">
        <v>112141677.5</v>
      </c>
      <c r="TQ27" s="115">
        <v>110132689.16</v>
      </c>
      <c r="TR27" s="115">
        <v>115612904.06</v>
      </c>
      <c r="TS27" s="115">
        <v>117061649.11</v>
      </c>
      <c r="TT27" s="115">
        <v>121409387</v>
      </c>
      <c r="TU27" s="115">
        <v>122047843.12</v>
      </c>
      <c r="TV27" s="115">
        <v>123683822.8</v>
      </c>
      <c r="TW27" s="115">
        <v>124547077.53</v>
      </c>
      <c r="TX27" s="115">
        <v>125232923.68000001</v>
      </c>
      <c r="TY27" s="115">
        <v>126561101.86</v>
      </c>
      <c r="TZ27" s="115">
        <v>127152219.73</v>
      </c>
      <c r="UA27" s="115">
        <v>129242859.44</v>
      </c>
      <c r="UB27" s="115">
        <v>126905362.90000001</v>
      </c>
      <c r="UC27" s="115">
        <v>124878078.29000001</v>
      </c>
      <c r="UD27" s="115">
        <v>120614418.09999999</v>
      </c>
      <c r="UE27" s="115">
        <v>120125036.23999999</v>
      </c>
      <c r="UF27" s="115">
        <v>123030669.70999999</v>
      </c>
      <c r="UG27" s="115">
        <v>124809844.45999999</v>
      </c>
      <c r="UH27" s="115">
        <v>128787626.09999999</v>
      </c>
      <c r="UI27" s="115">
        <v>131641815.11</v>
      </c>
      <c r="UJ27" s="115">
        <v>133611739.69</v>
      </c>
      <c r="UK27" s="115">
        <v>135521926.19</v>
      </c>
      <c r="UL27" s="115">
        <v>135954632.21000001</v>
      </c>
      <c r="UM27" s="115">
        <v>136892999.69999999</v>
      </c>
      <c r="UN27" s="115">
        <v>137530384.68000001</v>
      </c>
      <c r="UO27" s="115">
        <v>137381255.24000001</v>
      </c>
      <c r="UP27" s="115">
        <v>138894371.62</v>
      </c>
      <c r="UQ27" s="115">
        <v>135601148.19</v>
      </c>
      <c r="UR27" s="115">
        <v>132996038.64</v>
      </c>
      <c r="US27" s="115">
        <v>129781631.95</v>
      </c>
      <c r="UT27" s="115">
        <v>126371852.34999999</v>
      </c>
      <c r="UU27" s="115">
        <v>128005974.59999999</v>
      </c>
      <c r="UV27" s="115">
        <v>131498363.7</v>
      </c>
      <c r="UW27" s="115">
        <v>133597469.06999999</v>
      </c>
      <c r="UX27" s="115">
        <v>135330570.13</v>
      </c>
      <c r="UY27" s="115">
        <v>136855720.18000001</v>
      </c>
      <c r="UZ27" s="115">
        <v>136668469.47999999</v>
      </c>
      <c r="VA27" s="115">
        <v>138200823.06</v>
      </c>
      <c r="VB27" s="115">
        <v>138806994.19999999</v>
      </c>
      <c r="VC27" s="115">
        <v>141750000.46000001</v>
      </c>
      <c r="VD27" s="115">
        <v>142458828.88999999</v>
      </c>
      <c r="VE27" s="115">
        <v>141515958.46000001</v>
      </c>
      <c r="VF27" s="115">
        <v>141515958.46000001</v>
      </c>
      <c r="VG27" s="115">
        <v>138014093.34999999</v>
      </c>
      <c r="VH27" s="115">
        <v>135674397</v>
      </c>
      <c r="VI27" s="115">
        <v>136055616.75999999</v>
      </c>
      <c r="VJ27" s="115">
        <v>132936763.3</v>
      </c>
      <c r="VK27" s="115">
        <v>136212599.71000001</v>
      </c>
      <c r="VL27" s="115">
        <v>137163614.52000001</v>
      </c>
      <c r="VM27" s="115">
        <v>138634278.69999999</v>
      </c>
      <c r="VN27" s="115">
        <v>139974024.53999999</v>
      </c>
      <c r="VO27" s="115">
        <v>140431427.77000001</v>
      </c>
      <c r="VP27" s="115">
        <v>142480112.40000001</v>
      </c>
      <c r="VQ27" s="115">
        <v>144007972.30000001</v>
      </c>
      <c r="VR27" s="115">
        <v>143931060.47</v>
      </c>
      <c r="VS27" s="115">
        <v>147470121.68000001</v>
      </c>
      <c r="VT27" s="115">
        <v>147976210.22999999</v>
      </c>
      <c r="VU27" s="115">
        <v>147431780.56</v>
      </c>
      <c r="VV27" s="115">
        <v>145468483.31</v>
      </c>
      <c r="VW27" s="115">
        <v>146320802.36000001</v>
      </c>
      <c r="VX27" s="115">
        <v>145890697.03</v>
      </c>
      <c r="VY27" s="115">
        <v>146853871.58000001</v>
      </c>
      <c r="VZ27" s="115">
        <v>139424466.97999999</v>
      </c>
      <c r="WA27" s="115">
        <v>139936225.47</v>
      </c>
      <c r="WB27" s="115">
        <v>141073134.47999999</v>
      </c>
      <c r="WC27" s="115">
        <v>141451116.91</v>
      </c>
      <c r="WD27" s="115">
        <v>146614467.05000001</v>
      </c>
      <c r="WE27" s="115">
        <v>149393452.25999999</v>
      </c>
      <c r="WF27" s="115">
        <v>152794526.93000001</v>
      </c>
      <c r="WG27" s="115">
        <v>154806798.22999999</v>
      </c>
      <c r="WH27" s="115">
        <v>156521145.65000001</v>
      </c>
      <c r="WI27" s="115">
        <v>156558778.63999999</v>
      </c>
      <c r="WJ27" s="115">
        <v>156913277.72</v>
      </c>
      <c r="WK27" s="115">
        <v>154219427.22</v>
      </c>
      <c r="WL27" s="115">
        <v>156140301.62</v>
      </c>
      <c r="WM27" s="115">
        <v>159481723.11000001</v>
      </c>
      <c r="WN27" s="115">
        <v>160604673.56</v>
      </c>
      <c r="WO27" s="115">
        <v>156489033.18000001</v>
      </c>
      <c r="WP27" s="115">
        <v>157701641.84999999</v>
      </c>
      <c r="WQ27" s="115">
        <v>157270021.53</v>
      </c>
      <c r="WR27" s="115">
        <v>157930997.03999999</v>
      </c>
      <c r="WS27" s="115">
        <v>163334658.56</v>
      </c>
      <c r="WT27" s="115">
        <v>168247408.40000001</v>
      </c>
      <c r="WU27" s="115">
        <v>171204568.21000001</v>
      </c>
      <c r="WV27" s="115">
        <v>174889256.46000001</v>
      </c>
      <c r="WW27" s="115">
        <v>176061788.00999999</v>
      </c>
      <c r="WX27" s="115">
        <v>175643332.97</v>
      </c>
      <c r="WY27" s="115">
        <v>178556824.24000001</v>
      </c>
      <c r="WZ27" s="115">
        <v>179731011.13</v>
      </c>
      <c r="XA27" s="115">
        <v>179146013.09999999</v>
      </c>
      <c r="XB27" s="115">
        <v>185477668.22999999</v>
      </c>
      <c r="XC27" s="115">
        <v>180373301.84999999</v>
      </c>
      <c r="XD27" s="115">
        <v>178388422.47999999</v>
      </c>
      <c r="XE27" s="115">
        <v>170629290.59</v>
      </c>
      <c r="XF27" s="115">
        <v>174110944.30000001</v>
      </c>
      <c r="XG27" s="115">
        <v>176293032.90000001</v>
      </c>
      <c r="XH27" s="115">
        <v>178945496.13</v>
      </c>
      <c r="XI27" s="115">
        <v>184107451.50999999</v>
      </c>
      <c r="XJ27" s="115">
        <v>186668161.66999999</v>
      </c>
      <c r="XK27" s="115">
        <v>187649697.18000001</v>
      </c>
      <c r="XL27" s="115">
        <v>189619637.50999999</v>
      </c>
      <c r="XM27" s="115">
        <v>193248348.62</v>
      </c>
      <c r="XN27" s="115">
        <v>194737081.81999999</v>
      </c>
      <c r="XO27" s="115">
        <v>199364541.41</v>
      </c>
      <c r="XP27" s="115">
        <v>200801731.75</v>
      </c>
      <c r="XQ27" s="115">
        <v>199123576.03</v>
      </c>
      <c r="XR27" s="115">
        <v>202378915.75999999</v>
      </c>
      <c r="XS27" s="115">
        <v>194501740.91999999</v>
      </c>
      <c r="XT27" s="115">
        <v>197147466.59</v>
      </c>
      <c r="XU27" s="115">
        <v>198513175.96000001</v>
      </c>
      <c r="XV27" s="115">
        <v>204284828.97</v>
      </c>
      <c r="XW27" s="115">
        <v>205321239.27000001</v>
      </c>
      <c r="XX27" s="115">
        <v>206762380.94</v>
      </c>
      <c r="XY27" s="115">
        <v>209618071.84</v>
      </c>
      <c r="XZ27" s="115">
        <v>210114851.46000001</v>
      </c>
      <c r="YA27" s="115">
        <v>209508838.81999999</v>
      </c>
      <c r="YB27" s="115">
        <v>214089968.03999999</v>
      </c>
      <c r="YC27" s="165">
        <v>217772616</v>
      </c>
      <c r="YD27" s="165">
        <v>218441634.81999999</v>
      </c>
      <c r="YE27" s="165">
        <v>216985286.06999999</v>
      </c>
      <c r="YF27" s="165">
        <v>219415717.31</v>
      </c>
      <c r="YG27" s="165">
        <v>212393069.75</v>
      </c>
      <c r="YH27" s="165">
        <v>211768558.06</v>
      </c>
      <c r="YI27" s="165">
        <v>203235446.03999999</v>
      </c>
      <c r="YJ27" s="165">
        <v>204609929.50999999</v>
      </c>
      <c r="YK27" s="165">
        <v>210530205.72</v>
      </c>
      <c r="YL27" s="165">
        <v>211420741.63</v>
      </c>
      <c r="YM27" s="165">
        <v>213473005.19999999</v>
      </c>
    </row>
    <row r="28" spans="1:663" ht="15.75" customHeight="1" x14ac:dyDescent="0.2">
      <c r="B28" s="30" t="s">
        <v>166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44"/>
      <c r="JW28" s="44"/>
      <c r="JX28" s="44"/>
      <c r="JY28" s="44"/>
      <c r="JZ28" s="44"/>
      <c r="KA28" s="44"/>
      <c r="KB28" s="44"/>
      <c r="KC28" s="44"/>
      <c r="KD28" s="44"/>
      <c r="KE28" s="44"/>
      <c r="KF28" s="44"/>
      <c r="KG28" s="44"/>
      <c r="KH28" s="44"/>
      <c r="KI28" s="44"/>
      <c r="KJ28" s="44"/>
      <c r="KK28" s="44"/>
      <c r="KL28" s="44"/>
      <c r="KM28" s="44"/>
      <c r="KN28" s="44"/>
      <c r="KO28" s="44"/>
      <c r="KP28" s="44"/>
      <c r="KQ28" s="44"/>
      <c r="KR28" s="44"/>
      <c r="KS28" s="44"/>
      <c r="KT28" s="44"/>
      <c r="KU28" s="44"/>
      <c r="KV28" s="44"/>
      <c r="KW28" s="44"/>
      <c r="KX28" s="44"/>
      <c r="KY28" s="44"/>
      <c r="KZ28" s="44"/>
      <c r="LA28" s="44"/>
      <c r="LB28" s="44"/>
      <c r="LC28" s="44"/>
      <c r="LD28" s="44"/>
      <c r="LE28" s="44"/>
      <c r="LF28" s="44"/>
      <c r="LG28" s="44"/>
      <c r="LH28" s="44"/>
      <c r="LI28" s="44"/>
      <c r="LJ28" s="44"/>
      <c r="LK28" s="44"/>
      <c r="LL28" s="44"/>
      <c r="LM28" s="44"/>
      <c r="LN28" s="44"/>
      <c r="LO28" s="44"/>
      <c r="LP28" s="44"/>
      <c r="LQ28" s="44"/>
      <c r="LR28" s="44"/>
      <c r="LS28" s="44"/>
      <c r="LT28" s="44"/>
      <c r="LU28" s="44"/>
      <c r="LV28" s="44"/>
      <c r="LW28" s="44"/>
      <c r="LX28" s="44"/>
      <c r="LY28" s="44"/>
      <c r="LZ28" s="44"/>
      <c r="MA28" s="44"/>
      <c r="MB28" s="44"/>
      <c r="MC28" s="44"/>
      <c r="MD28" s="44"/>
      <c r="ME28" s="44"/>
      <c r="MF28" s="44"/>
      <c r="MG28" s="44"/>
      <c r="MH28" s="44"/>
      <c r="MI28" s="44"/>
      <c r="MJ28" s="44"/>
      <c r="MK28" s="44"/>
      <c r="ML28" s="44"/>
      <c r="MM28" s="44"/>
      <c r="MN28" s="44"/>
      <c r="MO28" s="44"/>
      <c r="MP28" s="44"/>
      <c r="MQ28" s="44"/>
      <c r="MR28" s="44"/>
      <c r="MS28" s="44"/>
      <c r="MT28" s="44"/>
      <c r="MU28" s="44"/>
      <c r="MV28" s="44"/>
      <c r="MW28" s="168"/>
      <c r="MX28" s="44"/>
      <c r="MY28" s="44"/>
      <c r="MZ28" s="44"/>
      <c r="NA28" s="44"/>
      <c r="NB28" s="44"/>
      <c r="NC28" s="44"/>
      <c r="ND28" s="44"/>
      <c r="NE28" s="44"/>
      <c r="NF28" s="44"/>
      <c r="NG28" s="44"/>
      <c r="NH28" s="44"/>
      <c r="NI28" s="44"/>
      <c r="NJ28" s="44"/>
      <c r="NK28" s="44"/>
      <c r="NL28" s="44"/>
      <c r="NM28" s="44"/>
      <c r="NN28" s="44"/>
      <c r="NO28" s="44"/>
      <c r="NP28" s="44"/>
      <c r="NQ28" s="44"/>
      <c r="NR28" s="44"/>
      <c r="NS28" s="44"/>
      <c r="NT28" s="44"/>
      <c r="NU28" s="44"/>
      <c r="NV28" s="44"/>
      <c r="NW28" s="44"/>
      <c r="NX28" s="44"/>
      <c r="NY28" s="44"/>
      <c r="NZ28" s="44"/>
      <c r="OA28" s="44"/>
      <c r="OB28" s="44"/>
      <c r="OC28" s="44"/>
      <c r="OD28" s="44"/>
      <c r="OE28" s="44"/>
      <c r="OF28" s="44"/>
      <c r="OG28" s="44"/>
      <c r="OH28" s="44"/>
      <c r="OI28" s="44"/>
      <c r="OJ28" s="44"/>
      <c r="OK28" s="44"/>
      <c r="OL28" s="44"/>
      <c r="OM28" s="44"/>
      <c r="ON28" s="44"/>
      <c r="OO28" s="44"/>
      <c r="OP28" s="44"/>
      <c r="OQ28" s="44"/>
      <c r="OR28" s="44"/>
      <c r="OS28" s="44"/>
      <c r="OT28" s="44"/>
      <c r="OU28" s="44"/>
      <c r="OV28" s="44"/>
      <c r="OW28" s="44"/>
      <c r="OX28" s="44"/>
      <c r="OY28" s="44"/>
      <c r="OZ28" s="44"/>
      <c r="PA28" s="44"/>
      <c r="PB28" s="44"/>
      <c r="PC28" s="44"/>
      <c r="PD28" s="44"/>
      <c r="PE28" s="44"/>
      <c r="PF28" s="44"/>
      <c r="PG28" s="44"/>
      <c r="PH28" s="44"/>
      <c r="PI28" s="44"/>
      <c r="PJ28" s="44"/>
      <c r="PK28" s="44"/>
      <c r="PL28" s="44"/>
      <c r="PM28" s="44"/>
      <c r="PN28" s="44"/>
      <c r="PO28" s="44"/>
      <c r="PP28" s="44"/>
      <c r="PQ28" s="44"/>
      <c r="PR28" s="44"/>
      <c r="PS28" s="44"/>
      <c r="PT28" s="44"/>
      <c r="PU28" s="44"/>
      <c r="PV28" s="44"/>
      <c r="PW28" s="44"/>
      <c r="PX28" s="44"/>
      <c r="PY28" s="44"/>
      <c r="PZ28" s="44"/>
      <c r="QA28" s="44"/>
      <c r="QB28" s="44"/>
      <c r="QC28" s="44"/>
      <c r="QD28" s="44"/>
      <c r="QE28" s="44"/>
      <c r="QF28" s="44"/>
      <c r="QG28" s="44"/>
      <c r="QH28" s="44"/>
      <c r="QI28" s="44"/>
      <c r="QJ28" s="44"/>
      <c r="QK28" s="44"/>
      <c r="QL28" s="44"/>
      <c r="QM28" s="44"/>
      <c r="QN28" s="44"/>
      <c r="QO28" s="44"/>
      <c r="QP28" s="44"/>
      <c r="QQ28" s="44"/>
      <c r="QR28" s="44"/>
      <c r="QS28" s="44"/>
      <c r="QT28" s="44"/>
      <c r="QU28" s="44"/>
      <c r="QV28" s="44"/>
      <c r="QW28" s="44"/>
      <c r="QX28" s="44"/>
      <c r="QY28" s="44"/>
      <c r="QZ28" s="44"/>
      <c r="RA28" s="44"/>
      <c r="RB28" s="44"/>
      <c r="RC28" s="44"/>
      <c r="RD28" s="44"/>
      <c r="RE28" s="44"/>
      <c r="RF28" s="44"/>
      <c r="RG28" s="44"/>
      <c r="RH28" s="44"/>
      <c r="RI28" s="44"/>
      <c r="RJ28" s="44"/>
      <c r="RK28" s="44"/>
      <c r="RL28" s="44"/>
      <c r="RM28" s="44"/>
      <c r="RN28" s="44"/>
      <c r="RO28" s="44"/>
      <c r="RP28" s="44"/>
      <c r="RQ28" s="44"/>
      <c r="RR28" s="44"/>
      <c r="RS28" s="44"/>
      <c r="RT28" s="44"/>
      <c r="RU28" s="44"/>
      <c r="RV28" s="44"/>
      <c r="RW28" s="44"/>
      <c r="RX28" s="44"/>
      <c r="RY28" s="44"/>
      <c r="RZ28" s="115">
        <v>17776591.960000001</v>
      </c>
      <c r="SA28" s="115">
        <v>17776591.960000001</v>
      </c>
      <c r="SB28" s="115">
        <v>18198183.239999998</v>
      </c>
      <c r="SC28" s="115">
        <v>18330600.760000002</v>
      </c>
      <c r="SD28" s="115">
        <v>18575261.969999999</v>
      </c>
      <c r="SE28" s="115">
        <v>18745085.27</v>
      </c>
      <c r="SF28" s="115">
        <v>19144497.559999999</v>
      </c>
      <c r="SG28" s="115">
        <v>19477654.329999998</v>
      </c>
      <c r="SH28" s="115">
        <v>19805178.969999999</v>
      </c>
      <c r="SI28" s="115">
        <v>17878446.52</v>
      </c>
      <c r="SJ28" s="115">
        <v>18092789.559999999</v>
      </c>
      <c r="SK28" s="115">
        <v>18344847.489999998</v>
      </c>
      <c r="SL28" s="115">
        <v>18762401.52</v>
      </c>
      <c r="SM28" s="115">
        <v>19082689.59</v>
      </c>
      <c r="SN28" s="115">
        <v>19326332.77</v>
      </c>
      <c r="SO28" s="115">
        <v>19633170.800000001</v>
      </c>
      <c r="SP28" s="115">
        <v>19850570.02</v>
      </c>
      <c r="SQ28" s="115">
        <v>20112676.079999998</v>
      </c>
      <c r="SR28" s="115">
        <v>20389557.920000002</v>
      </c>
      <c r="SS28" s="115">
        <v>20735478.859999999</v>
      </c>
      <c r="ST28" s="115">
        <v>21231299.5</v>
      </c>
      <c r="SU28" s="115">
        <v>21634501.260000002</v>
      </c>
      <c r="SV28" s="115">
        <v>22216649.73</v>
      </c>
      <c r="SW28" s="115">
        <v>23078718.559999999</v>
      </c>
      <c r="SX28" s="115">
        <v>23331301.16</v>
      </c>
      <c r="SY28" s="115">
        <v>23789930.260000002</v>
      </c>
      <c r="SZ28" s="115">
        <v>20095077.960000001</v>
      </c>
      <c r="TA28" s="115">
        <v>20349493.629999999</v>
      </c>
      <c r="TB28" s="115">
        <v>20762618.079999998</v>
      </c>
      <c r="TC28" s="115">
        <v>21017077.43</v>
      </c>
      <c r="TD28" s="115">
        <v>21292747.420000002</v>
      </c>
      <c r="TE28" s="115">
        <v>21509274.25</v>
      </c>
      <c r="TF28" s="115">
        <v>21669165.32</v>
      </c>
      <c r="TG28" s="115">
        <v>22248608.489999998</v>
      </c>
      <c r="TH28" s="115">
        <v>22388162.32</v>
      </c>
      <c r="TI28" s="115">
        <v>23039402.280000001</v>
      </c>
      <c r="TJ28" s="115">
        <v>23447493.600000001</v>
      </c>
      <c r="TK28" s="115">
        <v>23878002.190000001</v>
      </c>
      <c r="TL28" s="115">
        <v>24176128.140000001</v>
      </c>
      <c r="TM28" s="115">
        <v>24579264.719999999</v>
      </c>
      <c r="TN28" s="115">
        <v>22012350.859999999</v>
      </c>
      <c r="TO28" s="115">
        <v>22195128.050000001</v>
      </c>
      <c r="TP28" s="115">
        <v>22576661.719999999</v>
      </c>
      <c r="TQ28" s="115">
        <v>22903382.010000002</v>
      </c>
      <c r="TR28" s="115">
        <v>23105044.949999999</v>
      </c>
      <c r="TS28" s="115">
        <v>23351273.280000001</v>
      </c>
      <c r="TT28" s="115">
        <v>23654174.399999999</v>
      </c>
      <c r="TU28" s="115">
        <v>23971933.399999999</v>
      </c>
      <c r="TV28" s="115">
        <v>24315429.149999999</v>
      </c>
      <c r="TW28" s="115">
        <v>24560583.850000001</v>
      </c>
      <c r="TX28" s="115">
        <v>25033088.199999999</v>
      </c>
      <c r="TY28" s="169">
        <v>25394510.949999992</v>
      </c>
      <c r="TZ28" s="115">
        <v>25620017.640000001</v>
      </c>
      <c r="UA28" s="115">
        <v>26227716.27</v>
      </c>
      <c r="UB28" s="115">
        <v>26476445.449999999</v>
      </c>
      <c r="UC28" s="115">
        <v>27231643.429999989</v>
      </c>
      <c r="UD28" s="115">
        <v>22926297.389999975</v>
      </c>
      <c r="UE28" s="115">
        <v>23348196.79999996</v>
      </c>
      <c r="UF28" s="115">
        <v>23543094.289999973</v>
      </c>
      <c r="UG28" s="115">
        <v>23713696.46999998</v>
      </c>
      <c r="UH28" s="115">
        <v>23883703.939999983</v>
      </c>
      <c r="UI28" s="115">
        <v>24159879.439999979</v>
      </c>
      <c r="UJ28" s="115">
        <v>24470423.729999986</v>
      </c>
      <c r="UK28" s="115">
        <v>24748762.139999986</v>
      </c>
      <c r="UL28" s="115">
        <v>25242015.669999979</v>
      </c>
      <c r="UM28" s="115">
        <v>25556398.679999977</v>
      </c>
      <c r="UN28" s="115">
        <v>25986277.769999981</v>
      </c>
      <c r="UO28" s="115">
        <v>26317075.909999989</v>
      </c>
      <c r="UP28" s="115">
        <v>26628401.649999984</v>
      </c>
      <c r="UQ28" s="115">
        <v>23602335.110000018</v>
      </c>
      <c r="UR28" s="115">
        <v>23751742.500000011</v>
      </c>
      <c r="US28" s="115">
        <v>23825984.500000004</v>
      </c>
      <c r="UT28" s="115">
        <v>24010868.030000024</v>
      </c>
      <c r="UU28" s="115">
        <v>24263545.520000026</v>
      </c>
      <c r="UV28" s="115">
        <v>24415414.790000021</v>
      </c>
      <c r="UW28" s="115">
        <v>24637196.130000029</v>
      </c>
      <c r="UX28" s="115">
        <v>24943185.600000009</v>
      </c>
      <c r="UY28" s="115">
        <v>25189598.810000021</v>
      </c>
      <c r="UZ28" s="115">
        <v>25451740.570000015</v>
      </c>
      <c r="VA28" s="115">
        <v>25611748.490000021</v>
      </c>
      <c r="VB28" s="115">
        <v>25965607.560000017</v>
      </c>
      <c r="VC28" s="115">
        <v>26211573.660000015</v>
      </c>
      <c r="VD28" s="115">
        <v>26573054.780000012</v>
      </c>
      <c r="VE28" s="115">
        <v>27178536.740000021</v>
      </c>
      <c r="VF28" s="115">
        <v>27178536.740000021</v>
      </c>
      <c r="VG28" s="115">
        <v>27717530.989999998</v>
      </c>
      <c r="VH28" s="115">
        <v>28153016.579999998</v>
      </c>
      <c r="VI28" s="115">
        <v>23540960.449999999</v>
      </c>
      <c r="VJ28" s="115">
        <v>23925145.739999998</v>
      </c>
      <c r="VK28" s="115">
        <v>24114071.460000023</v>
      </c>
      <c r="VL28" s="115">
        <v>24252783.539999999</v>
      </c>
      <c r="VM28" s="115">
        <v>24518714.719999999</v>
      </c>
      <c r="VN28" s="115">
        <v>24679745.460000001</v>
      </c>
      <c r="VO28" s="115">
        <v>24936198.25</v>
      </c>
      <c r="VP28" s="115">
        <v>25049762.149999999</v>
      </c>
      <c r="VQ28" s="115">
        <v>25240942.710000001</v>
      </c>
      <c r="VR28" s="115">
        <v>25529963.670000002</v>
      </c>
      <c r="VS28" s="115">
        <v>25812152.300000001</v>
      </c>
      <c r="VT28" s="115">
        <v>26399337.219999999</v>
      </c>
      <c r="VU28" s="115">
        <v>26643059.609999999</v>
      </c>
      <c r="VV28" s="115">
        <v>27089269.120000001</v>
      </c>
      <c r="VW28" s="115">
        <v>23939769.59</v>
      </c>
      <c r="VX28" s="115">
        <v>24206360.52</v>
      </c>
      <c r="VY28" s="115"/>
      <c r="VZ28" s="115">
        <v>24719887.989999998</v>
      </c>
      <c r="WA28" s="115">
        <v>24897869.09</v>
      </c>
      <c r="WB28" s="115">
        <v>25331337.800000001</v>
      </c>
      <c r="WC28" s="115">
        <v>25426818.699999999</v>
      </c>
      <c r="WD28" s="115">
        <v>25624126.149999999</v>
      </c>
      <c r="WE28" s="115">
        <v>25859126.940000001</v>
      </c>
      <c r="WF28" s="115">
        <v>26292715.649999999</v>
      </c>
      <c r="WG28" s="115">
        <v>26537362.449999999</v>
      </c>
      <c r="WH28" s="115">
        <v>27048379.649999999</v>
      </c>
      <c r="WI28" s="115">
        <v>27394057.780000012</v>
      </c>
      <c r="WJ28" s="115">
        <v>28011098.780000001</v>
      </c>
      <c r="WK28" s="115">
        <v>28611944.960000001</v>
      </c>
      <c r="WL28" s="115">
        <v>29054738.969999999</v>
      </c>
      <c r="WM28" s="115">
        <v>29941463.149999999</v>
      </c>
      <c r="WN28" s="115">
        <v>25226763.18</v>
      </c>
      <c r="WO28" s="115">
        <v>25455583.02</v>
      </c>
      <c r="WP28" s="115">
        <v>25789407.170000002</v>
      </c>
      <c r="WQ28" s="115">
        <v>26052825.030000001</v>
      </c>
      <c r="WR28" s="115">
        <v>26483258.149999999</v>
      </c>
      <c r="WS28" s="115">
        <v>26723966.289999999</v>
      </c>
      <c r="WT28" s="115">
        <v>27147064.699999999</v>
      </c>
      <c r="WU28" s="115">
        <v>27599391.420000002</v>
      </c>
      <c r="WV28" s="115">
        <v>27693044.68</v>
      </c>
      <c r="WW28" s="115">
        <v>28139245.25</v>
      </c>
      <c r="WX28" s="115">
        <v>28675959.379999999</v>
      </c>
      <c r="WY28" s="115">
        <v>29038001.449999999</v>
      </c>
      <c r="WZ28" s="115">
        <v>29524209.640000001</v>
      </c>
      <c r="XA28" s="115">
        <v>30001455.98</v>
      </c>
      <c r="XB28" s="115">
        <v>26948728.66</v>
      </c>
      <c r="XC28" s="115">
        <v>27258792.710000001</v>
      </c>
      <c r="XD28" s="115">
        <v>27809210.350000001</v>
      </c>
      <c r="XE28" s="115">
        <v>28102971.890000001</v>
      </c>
      <c r="XF28" s="115">
        <v>28247503.710000001</v>
      </c>
      <c r="XG28" s="115">
        <v>28441022.850000001</v>
      </c>
      <c r="XH28" s="115">
        <v>28733715.43</v>
      </c>
      <c r="XI28" s="115">
        <v>29180532.219999999</v>
      </c>
      <c r="XJ28" s="115">
        <v>29655901.219999999</v>
      </c>
      <c r="XK28" s="115">
        <v>30180255</v>
      </c>
      <c r="XL28" s="115">
        <v>30395378.210000001</v>
      </c>
      <c r="XM28" s="115">
        <v>30725866.239999998</v>
      </c>
      <c r="XN28" s="115">
        <v>31049144.489999998</v>
      </c>
      <c r="XO28" s="115">
        <v>31859570.300000001</v>
      </c>
      <c r="XP28" s="115">
        <v>32676160.260000002</v>
      </c>
      <c r="XQ28" s="115">
        <v>33771551.5</v>
      </c>
      <c r="XR28" s="115">
        <v>28664906.57</v>
      </c>
      <c r="XS28" s="115">
        <v>28949848.379999999</v>
      </c>
      <c r="XT28" s="115">
        <v>29218051.289999999</v>
      </c>
      <c r="XU28" s="115">
        <v>29548139.48</v>
      </c>
      <c r="XV28" s="115">
        <v>30015640.899999999</v>
      </c>
      <c r="XW28" s="115">
        <v>30674697.420000002</v>
      </c>
      <c r="XX28" s="115">
        <v>31055652.77</v>
      </c>
      <c r="XY28" s="115">
        <v>31428807.510000002</v>
      </c>
      <c r="XZ28" s="115">
        <v>31688720.050000001</v>
      </c>
      <c r="YA28" s="115">
        <v>31978478.530000001</v>
      </c>
      <c r="YB28" s="115">
        <v>32495226.370000001</v>
      </c>
      <c r="YC28" s="165">
        <v>33475750</v>
      </c>
      <c r="YD28" s="165">
        <v>34087349.700000003</v>
      </c>
      <c r="YE28" s="165">
        <v>34917769.630000003</v>
      </c>
      <c r="YF28" s="165">
        <v>30945130.989999998</v>
      </c>
      <c r="YG28" s="165">
        <v>31233897.309999999</v>
      </c>
      <c r="YH28" s="165">
        <v>31452109.989999998</v>
      </c>
      <c r="YI28" s="165">
        <v>32000028.34</v>
      </c>
      <c r="YJ28" s="165">
        <v>32479516.359999999</v>
      </c>
      <c r="YK28" s="165">
        <v>33005371.609999999</v>
      </c>
      <c r="YL28" s="165">
        <v>33358391.879999999</v>
      </c>
      <c r="YM28" s="165">
        <v>33754080.780000001</v>
      </c>
    </row>
    <row r="29" spans="1:663" ht="15.75" customHeight="1" x14ac:dyDescent="0.2">
      <c r="A29" s="4"/>
      <c r="B29" s="84" t="s">
        <v>167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  <c r="CO29" s="123"/>
      <c r="CP29" s="123"/>
      <c r="CQ29" s="123"/>
      <c r="CR29" s="123"/>
      <c r="CS29" s="123"/>
      <c r="CT29" s="123"/>
      <c r="CU29" s="123"/>
      <c r="CV29" s="123"/>
      <c r="CW29" s="123"/>
      <c r="CX29" s="123"/>
      <c r="CY29" s="123"/>
      <c r="CZ29" s="123"/>
      <c r="DA29" s="123"/>
      <c r="DB29" s="123"/>
      <c r="DC29" s="123"/>
      <c r="DD29" s="123"/>
      <c r="DE29" s="123"/>
      <c r="DF29" s="123"/>
      <c r="DG29" s="123"/>
      <c r="DH29" s="123"/>
      <c r="DI29" s="123"/>
      <c r="DJ29" s="123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U29" s="123"/>
      <c r="DV29" s="123"/>
      <c r="DW29" s="123"/>
      <c r="DX29" s="123"/>
      <c r="DY29" s="123"/>
      <c r="DZ29" s="123"/>
      <c r="EA29" s="123"/>
      <c r="EB29" s="123"/>
      <c r="EC29" s="123"/>
      <c r="ED29" s="123"/>
      <c r="EE29" s="123"/>
      <c r="EF29" s="123"/>
      <c r="EG29" s="123"/>
      <c r="EH29" s="123"/>
      <c r="EI29" s="123"/>
      <c r="EJ29" s="123"/>
      <c r="EK29" s="123"/>
      <c r="EL29" s="123"/>
      <c r="EM29" s="123"/>
      <c r="EN29" s="123"/>
      <c r="EO29" s="123"/>
      <c r="EP29" s="123"/>
      <c r="EQ29" s="123"/>
      <c r="ER29" s="123"/>
      <c r="ES29" s="123"/>
      <c r="ET29" s="123"/>
      <c r="EU29" s="123"/>
      <c r="EV29" s="123"/>
      <c r="EW29" s="123"/>
      <c r="EX29" s="123"/>
      <c r="EY29" s="123"/>
      <c r="EZ29" s="123"/>
      <c r="FA29" s="123"/>
      <c r="FB29" s="123"/>
      <c r="FC29" s="123"/>
      <c r="FD29" s="123"/>
      <c r="FE29" s="123"/>
      <c r="FF29" s="123"/>
      <c r="FG29" s="123"/>
      <c r="FH29" s="123"/>
      <c r="FI29" s="123"/>
      <c r="FJ29" s="123"/>
      <c r="FK29" s="123"/>
      <c r="FL29" s="123"/>
      <c r="FM29" s="123"/>
      <c r="FN29" s="123"/>
      <c r="FO29" s="123"/>
      <c r="FP29" s="123"/>
      <c r="FQ29" s="123"/>
      <c r="FR29" s="123"/>
      <c r="FS29" s="123"/>
      <c r="FT29" s="123"/>
      <c r="FU29" s="123"/>
      <c r="FV29" s="123"/>
      <c r="FW29" s="123"/>
      <c r="FX29" s="123"/>
      <c r="FY29" s="123"/>
      <c r="FZ29" s="123"/>
      <c r="GA29" s="123"/>
      <c r="GB29" s="123"/>
      <c r="GC29" s="123"/>
      <c r="GD29" s="123"/>
      <c r="GE29" s="123"/>
      <c r="GF29" s="123"/>
      <c r="GG29" s="123"/>
      <c r="GH29" s="123"/>
      <c r="GI29" s="123"/>
      <c r="GJ29" s="123"/>
      <c r="GK29" s="123"/>
      <c r="GL29" s="123"/>
      <c r="GM29" s="123"/>
      <c r="GN29" s="123"/>
      <c r="GO29" s="123"/>
      <c r="GP29" s="123"/>
      <c r="GQ29" s="123"/>
      <c r="GR29" s="123"/>
      <c r="GS29" s="123"/>
      <c r="GT29" s="123"/>
      <c r="GU29" s="123"/>
      <c r="GV29" s="123"/>
      <c r="GW29" s="123"/>
      <c r="GX29" s="123"/>
      <c r="GY29" s="123"/>
      <c r="GZ29" s="123"/>
      <c r="HA29" s="123"/>
      <c r="HB29" s="123"/>
      <c r="HC29" s="123"/>
      <c r="HD29" s="123"/>
      <c r="HE29" s="123"/>
      <c r="HF29" s="123"/>
      <c r="HG29" s="123"/>
      <c r="HH29" s="123"/>
      <c r="HI29" s="123"/>
      <c r="HJ29" s="123"/>
      <c r="HK29" s="123"/>
      <c r="HL29" s="123"/>
      <c r="HM29" s="123"/>
      <c r="HN29" s="123"/>
      <c r="HO29" s="123"/>
      <c r="HP29" s="123"/>
      <c r="HQ29" s="123"/>
      <c r="HR29" s="123"/>
      <c r="HS29" s="123"/>
      <c r="HT29" s="123"/>
      <c r="HU29" s="123"/>
      <c r="HV29" s="123"/>
      <c r="HW29" s="123"/>
      <c r="HX29" s="123"/>
      <c r="HY29" s="123"/>
      <c r="HZ29" s="123"/>
      <c r="IA29" s="123"/>
      <c r="IB29" s="123"/>
      <c r="IC29" s="123"/>
      <c r="ID29" s="123"/>
      <c r="IE29" s="123"/>
      <c r="IF29" s="123"/>
      <c r="IG29" s="123"/>
      <c r="IH29" s="123"/>
      <c r="II29" s="123"/>
      <c r="IJ29" s="123"/>
      <c r="IK29" s="123"/>
      <c r="IL29" s="123"/>
      <c r="IM29" s="123"/>
      <c r="IN29" s="123"/>
      <c r="IO29" s="123"/>
      <c r="IP29" s="123"/>
      <c r="IQ29" s="123"/>
      <c r="IR29" s="123"/>
      <c r="IS29" s="123"/>
      <c r="IT29" s="123"/>
      <c r="IU29" s="123"/>
      <c r="IV29" s="123"/>
      <c r="IW29" s="123"/>
      <c r="IX29" s="123"/>
      <c r="IY29" s="123"/>
      <c r="IZ29" s="123"/>
      <c r="JA29" s="123"/>
      <c r="JB29" s="123"/>
      <c r="JC29" s="123"/>
      <c r="JD29" s="123"/>
      <c r="JE29" s="123"/>
      <c r="JF29" s="123"/>
      <c r="JG29" s="123"/>
      <c r="JH29" s="123"/>
      <c r="JI29" s="123"/>
      <c r="JJ29" s="123"/>
      <c r="JK29" s="123"/>
      <c r="JL29" s="123"/>
      <c r="JM29" s="123"/>
      <c r="JN29" s="123"/>
      <c r="JO29" s="123"/>
      <c r="JP29" s="123"/>
      <c r="JQ29" s="123"/>
      <c r="JR29" s="123"/>
      <c r="JS29" s="123"/>
      <c r="JT29" s="123"/>
      <c r="JU29" s="123"/>
      <c r="JV29" s="123"/>
      <c r="JW29" s="123"/>
      <c r="JX29" s="123"/>
      <c r="JY29" s="123"/>
      <c r="JZ29" s="123"/>
      <c r="KA29" s="123"/>
      <c r="KB29" s="123"/>
      <c r="KC29" s="123"/>
      <c r="KD29" s="123"/>
      <c r="KE29" s="123"/>
      <c r="KF29" s="123"/>
      <c r="KG29" s="123"/>
      <c r="KH29" s="123"/>
      <c r="KI29" s="123"/>
      <c r="KJ29" s="123"/>
      <c r="KK29" s="123"/>
      <c r="KL29" s="123"/>
      <c r="KM29" s="123"/>
      <c r="KN29" s="123"/>
      <c r="KO29" s="123"/>
      <c r="KP29" s="123"/>
      <c r="KQ29" s="123"/>
      <c r="KR29" s="123"/>
      <c r="KS29" s="123"/>
      <c r="KT29" s="123"/>
      <c r="KU29" s="123"/>
      <c r="KV29" s="123"/>
      <c r="KW29" s="123"/>
      <c r="KX29" s="123"/>
      <c r="KY29" s="123"/>
      <c r="KZ29" s="123"/>
      <c r="LA29" s="123"/>
      <c r="LB29" s="123"/>
      <c r="LC29" s="123"/>
      <c r="LD29" s="123"/>
      <c r="LE29" s="123"/>
      <c r="LF29" s="123"/>
      <c r="LG29" s="123"/>
      <c r="LH29" s="123"/>
      <c r="LI29" s="123"/>
      <c r="LJ29" s="123"/>
      <c r="LK29" s="123"/>
      <c r="LL29" s="123"/>
      <c r="LM29" s="123"/>
      <c r="LN29" s="123"/>
      <c r="LO29" s="123"/>
      <c r="LP29" s="123"/>
      <c r="LQ29" s="123"/>
      <c r="LR29" s="123"/>
      <c r="LS29" s="123"/>
      <c r="LT29" s="123"/>
      <c r="LU29" s="123"/>
      <c r="LV29" s="123"/>
      <c r="LW29" s="123"/>
      <c r="LX29" s="123"/>
      <c r="LY29" s="123"/>
      <c r="LZ29" s="123"/>
      <c r="MA29" s="123"/>
      <c r="MB29" s="123"/>
      <c r="MC29" s="123"/>
      <c r="MD29" s="123"/>
      <c r="ME29" s="123"/>
      <c r="MF29" s="123"/>
      <c r="MG29" s="123"/>
      <c r="MH29" s="123"/>
      <c r="MI29" s="123"/>
      <c r="MJ29" s="123"/>
      <c r="MK29" s="123"/>
      <c r="ML29" s="123"/>
      <c r="MM29" s="123"/>
      <c r="MN29" s="123"/>
      <c r="MO29" s="123"/>
      <c r="MP29" s="123"/>
      <c r="MQ29" s="123"/>
      <c r="MR29" s="123"/>
      <c r="MS29" s="123"/>
      <c r="MT29" s="123"/>
      <c r="MU29" s="123"/>
      <c r="MV29" s="123"/>
      <c r="MW29" s="170"/>
      <c r="MX29" s="123"/>
      <c r="MY29" s="123"/>
      <c r="MZ29" s="123"/>
      <c r="NA29" s="123"/>
      <c r="NB29" s="123"/>
      <c r="NC29" s="123"/>
      <c r="ND29" s="123"/>
      <c r="NE29" s="123"/>
      <c r="NF29" s="123"/>
      <c r="NG29" s="123"/>
      <c r="NH29" s="123"/>
      <c r="NI29" s="123"/>
      <c r="NJ29" s="123"/>
      <c r="NK29" s="123"/>
      <c r="NL29" s="123"/>
      <c r="NM29" s="123"/>
      <c r="NN29" s="123"/>
      <c r="NO29" s="123"/>
      <c r="NP29" s="123"/>
      <c r="NQ29" s="123"/>
      <c r="NR29" s="123"/>
      <c r="NS29" s="123"/>
      <c r="NT29" s="123"/>
      <c r="NU29" s="123"/>
      <c r="NV29" s="123"/>
      <c r="NW29" s="123"/>
      <c r="NX29" s="123"/>
      <c r="NY29" s="123"/>
      <c r="NZ29" s="123"/>
      <c r="OA29" s="123"/>
      <c r="OB29" s="123"/>
      <c r="OC29" s="123"/>
      <c r="OD29" s="123"/>
      <c r="OE29" s="123"/>
      <c r="OF29" s="123"/>
      <c r="OG29" s="123"/>
      <c r="OH29" s="123">
        <f t="shared" ref="OH29:RS29" si="56">SUM(OH27:OH28)</f>
        <v>59169325.140000001</v>
      </c>
      <c r="OI29" s="123">
        <f t="shared" si="56"/>
        <v>57194020.149999999</v>
      </c>
      <c r="OJ29" s="123">
        <f t="shared" si="56"/>
        <v>55257969.689999998</v>
      </c>
      <c r="OK29" s="123">
        <f t="shared" si="56"/>
        <v>57935864.719999999</v>
      </c>
      <c r="OL29" s="123">
        <f t="shared" si="56"/>
        <v>59026175.789999999</v>
      </c>
      <c r="OM29" s="123">
        <f t="shared" si="56"/>
        <v>60154908.609999999</v>
      </c>
      <c r="ON29" s="123">
        <f t="shared" si="56"/>
        <v>60262282.5</v>
      </c>
      <c r="OO29" s="123">
        <f t="shared" si="56"/>
        <v>61478675.329999998</v>
      </c>
      <c r="OP29" s="123">
        <f t="shared" si="56"/>
        <v>62100327.030000001</v>
      </c>
      <c r="OQ29" s="123">
        <f t="shared" si="56"/>
        <v>63372712.219999999</v>
      </c>
      <c r="OR29" s="123">
        <f t="shared" si="56"/>
        <v>63346010.390000001</v>
      </c>
      <c r="OS29" s="123">
        <f t="shared" si="56"/>
        <v>62764859.32</v>
      </c>
      <c r="OT29" s="123">
        <f t="shared" si="56"/>
        <v>59588494.130000003</v>
      </c>
      <c r="OU29" s="123">
        <f t="shared" si="56"/>
        <v>57869477.729999997</v>
      </c>
      <c r="OV29" s="123">
        <f t="shared" si="56"/>
        <v>56078893.210000001</v>
      </c>
      <c r="OW29" s="123">
        <f t="shared" si="56"/>
        <v>56949457.439999998</v>
      </c>
      <c r="OX29" s="123">
        <f t="shared" si="56"/>
        <v>57488669.159999996</v>
      </c>
      <c r="OY29" s="123">
        <f t="shared" si="56"/>
        <v>57845021.119999997</v>
      </c>
      <c r="OZ29" s="123">
        <f t="shared" si="56"/>
        <v>54841407.810000002</v>
      </c>
      <c r="PA29" s="123">
        <f t="shared" si="56"/>
        <v>56275987.729999997</v>
      </c>
      <c r="PB29" s="123">
        <f t="shared" si="56"/>
        <v>56462092.520000003</v>
      </c>
      <c r="PC29" s="123">
        <f t="shared" si="56"/>
        <v>57300603.75</v>
      </c>
      <c r="PD29" s="123">
        <f t="shared" si="56"/>
        <v>57847789.789999999</v>
      </c>
      <c r="PE29" s="123">
        <f t="shared" si="56"/>
        <v>60092666.259999998</v>
      </c>
      <c r="PF29" s="123">
        <f t="shared" si="56"/>
        <v>60446692.399999999</v>
      </c>
      <c r="PG29" s="123">
        <f t="shared" si="56"/>
        <v>61019698.909999996</v>
      </c>
      <c r="PH29" s="123">
        <f t="shared" si="56"/>
        <v>60727998.82</v>
      </c>
      <c r="PI29" s="123">
        <f t="shared" si="56"/>
        <v>59877042.299999997</v>
      </c>
      <c r="PJ29" s="123">
        <f t="shared" si="56"/>
        <v>59980559.409999996</v>
      </c>
      <c r="PK29" s="123">
        <f t="shared" si="56"/>
        <v>58535492.710000001</v>
      </c>
      <c r="PL29" s="123">
        <f t="shared" si="56"/>
        <v>58562166.039999999</v>
      </c>
      <c r="PM29" s="123">
        <f t="shared" si="56"/>
        <v>60364646.329999998</v>
      </c>
      <c r="PN29" s="123">
        <f t="shared" si="56"/>
        <v>62096703.520000003</v>
      </c>
      <c r="PO29" s="123">
        <f t="shared" si="56"/>
        <v>61783462</v>
      </c>
      <c r="PP29" s="123">
        <f t="shared" si="56"/>
        <v>62569495.700000003</v>
      </c>
      <c r="PQ29" s="123">
        <f t="shared" si="56"/>
        <v>63759102.560000002</v>
      </c>
      <c r="PR29" s="123">
        <f t="shared" si="56"/>
        <v>64710930.969999999</v>
      </c>
      <c r="PS29" s="123">
        <f t="shared" si="56"/>
        <v>67496776.590000004</v>
      </c>
      <c r="PT29" s="123">
        <f t="shared" si="56"/>
        <v>66747119.909999996</v>
      </c>
      <c r="PU29" s="123">
        <f t="shared" si="56"/>
        <v>67821888.700000003</v>
      </c>
      <c r="PV29" s="123">
        <f t="shared" si="56"/>
        <v>66299573.399999999</v>
      </c>
      <c r="PW29" s="123">
        <f t="shared" si="56"/>
        <v>64390734.950000003</v>
      </c>
      <c r="PX29" s="123">
        <f t="shared" si="56"/>
        <v>65461536.710000001</v>
      </c>
      <c r="PY29" s="123">
        <f t="shared" si="56"/>
        <v>66289762.759999998</v>
      </c>
      <c r="PZ29" s="123">
        <f t="shared" si="56"/>
        <v>67041810.310000002</v>
      </c>
      <c r="QA29" s="123">
        <f t="shared" si="56"/>
        <v>66693344.18</v>
      </c>
      <c r="QB29" s="123">
        <f t="shared" si="56"/>
        <v>64701979.770000003</v>
      </c>
      <c r="QC29" s="123">
        <f t="shared" si="56"/>
        <v>65836293.68</v>
      </c>
      <c r="QD29" s="123">
        <f t="shared" si="56"/>
        <v>65067821.299999997</v>
      </c>
      <c r="QE29" s="123">
        <f t="shared" si="56"/>
        <v>68951008.530000001</v>
      </c>
      <c r="QF29" s="123">
        <f t="shared" si="56"/>
        <v>70399626.409999996</v>
      </c>
      <c r="QG29" s="123">
        <f t="shared" si="56"/>
        <v>73233048.329999998</v>
      </c>
      <c r="QH29" s="123">
        <f t="shared" si="56"/>
        <v>74317200.780000001</v>
      </c>
      <c r="QI29" s="123">
        <f t="shared" si="56"/>
        <v>75208444.310000002</v>
      </c>
      <c r="QJ29" s="123">
        <f t="shared" si="56"/>
        <v>75915517.909999996</v>
      </c>
      <c r="QK29" s="123">
        <f t="shared" si="56"/>
        <v>75644610</v>
      </c>
      <c r="QL29" s="123">
        <f t="shared" si="56"/>
        <v>76114358.349999994</v>
      </c>
      <c r="QM29" s="123">
        <f t="shared" si="56"/>
        <v>76762185.019999996</v>
      </c>
      <c r="QN29" s="123">
        <f t="shared" si="56"/>
        <v>77363035.920000002</v>
      </c>
      <c r="QO29" s="123">
        <f t="shared" si="56"/>
        <v>76890494.879999995</v>
      </c>
      <c r="QP29" s="123">
        <f t="shared" si="56"/>
        <v>75603036.950000003</v>
      </c>
      <c r="QQ29" s="123">
        <f t="shared" si="56"/>
        <v>72467154.790000007</v>
      </c>
      <c r="QR29" s="123">
        <f t="shared" si="56"/>
        <v>71939974.709999993</v>
      </c>
      <c r="QS29" s="123">
        <f t="shared" si="56"/>
        <v>77266388.920000002</v>
      </c>
      <c r="QT29" s="123">
        <f t="shared" si="56"/>
        <v>78774405.140000001</v>
      </c>
      <c r="QU29" s="123">
        <f t="shared" si="56"/>
        <v>81418235.569999993</v>
      </c>
      <c r="QV29" s="123">
        <f t="shared" si="56"/>
        <v>83378384.239999995</v>
      </c>
      <c r="QW29" s="123">
        <f t="shared" si="56"/>
        <v>84021555.590000004</v>
      </c>
      <c r="QX29" s="123">
        <f t="shared" si="56"/>
        <v>85828100.75</v>
      </c>
      <c r="QY29" s="123">
        <f t="shared" si="56"/>
        <v>85584080.540000007</v>
      </c>
      <c r="QZ29" s="123">
        <f t="shared" si="56"/>
        <v>87747707.390000001</v>
      </c>
      <c r="RA29" s="123">
        <f t="shared" si="56"/>
        <v>88237148.920000002</v>
      </c>
      <c r="RB29" s="123">
        <f t="shared" si="56"/>
        <v>89026035.549999997</v>
      </c>
      <c r="RC29" s="123">
        <f t="shared" si="56"/>
        <v>88168258.569999993</v>
      </c>
      <c r="RD29" s="123">
        <f t="shared" si="56"/>
        <v>88446330.019999996</v>
      </c>
      <c r="RE29" s="123">
        <f t="shared" si="56"/>
        <v>85957781.540000007</v>
      </c>
      <c r="RF29" s="123">
        <f t="shared" si="56"/>
        <v>84417247.540000007</v>
      </c>
      <c r="RG29" s="123">
        <f t="shared" si="56"/>
        <v>81313104.310000002</v>
      </c>
      <c r="RH29" s="123">
        <f t="shared" si="56"/>
        <v>82231428.849999994</v>
      </c>
      <c r="RI29" s="123">
        <f t="shared" si="56"/>
        <v>85453171.390000001</v>
      </c>
      <c r="RJ29" s="123">
        <f t="shared" si="56"/>
        <v>87001421.450000003</v>
      </c>
      <c r="RK29" s="123">
        <f t="shared" si="56"/>
        <v>88644972.349999994</v>
      </c>
      <c r="RL29" s="123">
        <f t="shared" si="56"/>
        <v>89722855.019999996</v>
      </c>
      <c r="RM29" s="123">
        <f t="shared" si="56"/>
        <v>90006511.840000004</v>
      </c>
      <c r="RN29" s="123">
        <f t="shared" si="56"/>
        <v>91362861.260000005</v>
      </c>
      <c r="RO29" s="123">
        <f t="shared" si="56"/>
        <v>92095286.030000001</v>
      </c>
      <c r="RP29" s="123">
        <f t="shared" si="56"/>
        <v>95038390.780000001</v>
      </c>
      <c r="RQ29" s="123">
        <f t="shared" si="56"/>
        <v>94790469.150000006</v>
      </c>
      <c r="RR29" s="123">
        <f t="shared" si="56"/>
        <v>94126192.109999999</v>
      </c>
      <c r="RS29" s="123">
        <f t="shared" si="56"/>
        <v>92395050.269999996</v>
      </c>
      <c r="RT29" s="123"/>
      <c r="RU29" s="123"/>
      <c r="RV29" s="123"/>
      <c r="RW29" s="123"/>
      <c r="RX29" s="123"/>
      <c r="RY29" s="123"/>
      <c r="RZ29" s="123">
        <f t="shared" ref="RZ29:WH29" si="57">SUM(RZ27:RZ28)</f>
        <v>111273062.93000001</v>
      </c>
      <c r="SA29" s="123">
        <f t="shared" si="57"/>
        <v>110138089.55000001</v>
      </c>
      <c r="SB29" s="123">
        <f t="shared" si="57"/>
        <v>112054592.14999999</v>
      </c>
      <c r="SC29" s="123">
        <f t="shared" si="57"/>
        <v>112819246.51000001</v>
      </c>
      <c r="SD29" s="123">
        <f t="shared" si="57"/>
        <v>113646016.28</v>
      </c>
      <c r="SE29" s="123">
        <f t="shared" si="57"/>
        <v>116329194.88</v>
      </c>
      <c r="SF29" s="123">
        <f t="shared" si="57"/>
        <v>116780308.97</v>
      </c>
      <c r="SG29" s="123">
        <f t="shared" si="57"/>
        <v>116374184.84999999</v>
      </c>
      <c r="SH29" s="123">
        <f t="shared" si="57"/>
        <v>114786794.41</v>
      </c>
      <c r="SI29" s="123">
        <f t="shared" si="57"/>
        <v>111025149.89999999</v>
      </c>
      <c r="SJ29" s="123">
        <f t="shared" si="57"/>
        <v>109764435.54000001</v>
      </c>
      <c r="SK29" s="123">
        <f t="shared" si="57"/>
        <v>107034137.53</v>
      </c>
      <c r="SL29" s="123">
        <f t="shared" si="57"/>
        <v>108601190.19</v>
      </c>
      <c r="SM29" s="123">
        <f t="shared" si="57"/>
        <v>110523499.65000001</v>
      </c>
      <c r="SN29" s="123">
        <f t="shared" si="57"/>
        <v>112030542.33999999</v>
      </c>
      <c r="SO29" s="123">
        <f t="shared" si="57"/>
        <v>112806140.09999999</v>
      </c>
      <c r="SP29" s="123">
        <f t="shared" si="57"/>
        <v>113014396.86</v>
      </c>
      <c r="SQ29" s="123">
        <f t="shared" si="57"/>
        <v>115295441.56999999</v>
      </c>
      <c r="SR29" s="123">
        <f t="shared" si="57"/>
        <v>118948081.39</v>
      </c>
      <c r="SS29" s="123">
        <f t="shared" si="57"/>
        <v>120477545.69</v>
      </c>
      <c r="ST29" s="123">
        <f t="shared" si="57"/>
        <v>122428583.01000001</v>
      </c>
      <c r="SU29" s="123">
        <f t="shared" si="57"/>
        <v>122635366.01000001</v>
      </c>
      <c r="SV29" s="123">
        <f t="shared" si="57"/>
        <v>120493302.04000001</v>
      </c>
      <c r="SW29" s="123">
        <f t="shared" si="57"/>
        <v>122254914.90000001</v>
      </c>
      <c r="SX29" s="123">
        <f t="shared" si="57"/>
        <v>122036522.75</v>
      </c>
      <c r="SY29" s="123">
        <f t="shared" si="57"/>
        <v>123146551.60000001</v>
      </c>
      <c r="SZ29" s="123">
        <f t="shared" si="57"/>
        <v>116545564.08000001</v>
      </c>
      <c r="TA29" s="123">
        <f t="shared" si="57"/>
        <v>118025998.92999999</v>
      </c>
      <c r="TB29" s="123">
        <f t="shared" si="57"/>
        <v>120973356.34999999</v>
      </c>
      <c r="TC29" s="123">
        <f t="shared" si="57"/>
        <v>121914907.13999999</v>
      </c>
      <c r="TD29" s="123">
        <f t="shared" si="57"/>
        <v>125266375.10000001</v>
      </c>
      <c r="TE29" s="123">
        <f t="shared" si="57"/>
        <v>127870209.79000001</v>
      </c>
      <c r="TF29" s="123">
        <f t="shared" si="57"/>
        <v>132643930.34999999</v>
      </c>
      <c r="TG29" s="123">
        <f t="shared" si="57"/>
        <v>135220668.25</v>
      </c>
      <c r="TH29" s="123">
        <f t="shared" si="57"/>
        <v>135983688.84</v>
      </c>
      <c r="TI29" s="123">
        <f t="shared" si="57"/>
        <v>135877723.19</v>
      </c>
      <c r="TJ29" s="123">
        <f t="shared" si="57"/>
        <v>135144596.03</v>
      </c>
      <c r="TK29" s="123">
        <f t="shared" si="57"/>
        <v>138540357.13</v>
      </c>
      <c r="TL29" s="123">
        <f t="shared" si="57"/>
        <v>139543959.66</v>
      </c>
      <c r="TM29" s="123">
        <f t="shared" si="57"/>
        <v>142700394.84999999</v>
      </c>
      <c r="TN29" s="123">
        <f t="shared" si="57"/>
        <v>138578466.75999999</v>
      </c>
      <c r="TO29" s="123">
        <f t="shared" si="57"/>
        <v>138681984.72</v>
      </c>
      <c r="TP29" s="123">
        <f t="shared" si="57"/>
        <v>134718339.22</v>
      </c>
      <c r="TQ29" s="123">
        <f t="shared" si="57"/>
        <v>133036071.17</v>
      </c>
      <c r="TR29" s="123">
        <f t="shared" si="57"/>
        <v>138717949.00999999</v>
      </c>
      <c r="TS29" s="123">
        <f t="shared" si="57"/>
        <v>140412922.38999999</v>
      </c>
      <c r="TT29" s="123">
        <f t="shared" si="57"/>
        <v>145063561.40000001</v>
      </c>
      <c r="TU29" s="123">
        <f t="shared" si="57"/>
        <v>146019776.52000001</v>
      </c>
      <c r="TV29" s="123">
        <f t="shared" si="57"/>
        <v>147999251.94999999</v>
      </c>
      <c r="TW29" s="123">
        <f t="shared" si="57"/>
        <v>149107661.38</v>
      </c>
      <c r="TX29" s="123">
        <f t="shared" si="57"/>
        <v>150266011.88</v>
      </c>
      <c r="TY29" s="123">
        <f t="shared" si="57"/>
        <v>151955612.81</v>
      </c>
      <c r="TZ29" s="123">
        <f t="shared" si="57"/>
        <v>152772237.37</v>
      </c>
      <c r="UA29" s="123">
        <f t="shared" si="57"/>
        <v>155470575.71000001</v>
      </c>
      <c r="UB29" s="123">
        <f t="shared" si="57"/>
        <v>153381808.34999999</v>
      </c>
      <c r="UC29" s="123">
        <f t="shared" si="57"/>
        <v>152109721.72</v>
      </c>
      <c r="UD29" s="123">
        <f t="shared" si="57"/>
        <v>143540715.48999998</v>
      </c>
      <c r="UE29" s="123">
        <f t="shared" si="57"/>
        <v>143473233.03999996</v>
      </c>
      <c r="UF29" s="123">
        <f t="shared" si="57"/>
        <v>146573763.99999997</v>
      </c>
      <c r="UG29" s="123">
        <f t="shared" si="57"/>
        <v>148523540.92999998</v>
      </c>
      <c r="UH29" s="123">
        <f t="shared" si="57"/>
        <v>152671330.03999996</v>
      </c>
      <c r="UI29" s="123">
        <f t="shared" si="57"/>
        <v>155801694.54999998</v>
      </c>
      <c r="UJ29" s="123">
        <f t="shared" si="57"/>
        <v>158082163.41999999</v>
      </c>
      <c r="UK29" s="123">
        <f t="shared" si="57"/>
        <v>160270688.32999998</v>
      </c>
      <c r="UL29" s="123">
        <f t="shared" si="57"/>
        <v>161196647.88</v>
      </c>
      <c r="UM29" s="123">
        <f t="shared" si="57"/>
        <v>162449398.37999997</v>
      </c>
      <c r="UN29" s="123">
        <f t="shared" si="57"/>
        <v>163516662.44999999</v>
      </c>
      <c r="UO29" s="123">
        <f t="shared" si="57"/>
        <v>163698331.15000001</v>
      </c>
      <c r="UP29" s="123">
        <f t="shared" si="57"/>
        <v>165522773.26999998</v>
      </c>
      <c r="UQ29" s="123">
        <f t="shared" si="57"/>
        <v>159203483.30000001</v>
      </c>
      <c r="UR29" s="123">
        <f t="shared" si="57"/>
        <v>156747781.14000002</v>
      </c>
      <c r="US29" s="123">
        <f t="shared" si="57"/>
        <v>153607616.45000002</v>
      </c>
      <c r="UT29" s="123">
        <f t="shared" si="57"/>
        <v>150382720.38000003</v>
      </c>
      <c r="UU29" s="123">
        <f t="shared" si="57"/>
        <v>152269520.12</v>
      </c>
      <c r="UV29" s="123">
        <f t="shared" si="57"/>
        <v>155913778.49000001</v>
      </c>
      <c r="UW29" s="123">
        <f t="shared" si="57"/>
        <v>158234665.20000002</v>
      </c>
      <c r="UX29" s="123">
        <f t="shared" si="57"/>
        <v>160273755.73000002</v>
      </c>
      <c r="UY29" s="123">
        <f t="shared" si="57"/>
        <v>162045318.99000004</v>
      </c>
      <c r="UZ29" s="123">
        <f t="shared" si="57"/>
        <v>162120210.05000001</v>
      </c>
      <c r="VA29" s="123">
        <f t="shared" si="57"/>
        <v>163812571.55000001</v>
      </c>
      <c r="VB29" s="123">
        <f t="shared" si="57"/>
        <v>164772601.75999999</v>
      </c>
      <c r="VC29" s="123">
        <f t="shared" si="57"/>
        <v>167961574.12000003</v>
      </c>
      <c r="VD29" s="123">
        <f t="shared" si="57"/>
        <v>169031883.66999999</v>
      </c>
      <c r="VE29" s="123">
        <f t="shared" si="57"/>
        <v>168694495.20000002</v>
      </c>
      <c r="VF29" s="123">
        <f t="shared" si="57"/>
        <v>168694495.20000002</v>
      </c>
      <c r="VG29" s="171">
        <f t="shared" si="57"/>
        <v>165731624.34</v>
      </c>
      <c r="VH29" s="171">
        <f t="shared" si="57"/>
        <v>163827413.57999998</v>
      </c>
      <c r="VI29" s="171">
        <f t="shared" si="57"/>
        <v>159596577.20999998</v>
      </c>
      <c r="VJ29" s="171">
        <f t="shared" si="57"/>
        <v>156861909.03999999</v>
      </c>
      <c r="VK29" s="171">
        <f t="shared" si="57"/>
        <v>160326671.17000002</v>
      </c>
      <c r="VL29" s="171">
        <f t="shared" si="57"/>
        <v>161416398.06</v>
      </c>
      <c r="VM29" s="171">
        <f t="shared" si="57"/>
        <v>163152993.41999999</v>
      </c>
      <c r="VN29" s="171">
        <f t="shared" si="57"/>
        <v>164653770</v>
      </c>
      <c r="VO29" s="171">
        <f t="shared" si="57"/>
        <v>165367626.02000001</v>
      </c>
      <c r="VP29" s="171">
        <f t="shared" si="57"/>
        <v>167529874.55000001</v>
      </c>
      <c r="VQ29" s="171">
        <f t="shared" si="57"/>
        <v>169248915.01000002</v>
      </c>
      <c r="VR29" s="171">
        <f t="shared" si="57"/>
        <v>169461024.13999999</v>
      </c>
      <c r="VS29" s="171">
        <f t="shared" si="57"/>
        <v>173282273.98000002</v>
      </c>
      <c r="VT29" s="171">
        <f t="shared" si="57"/>
        <v>174375547.44999999</v>
      </c>
      <c r="VU29" s="171">
        <f t="shared" si="57"/>
        <v>174074840.17000002</v>
      </c>
      <c r="VV29" s="171">
        <f t="shared" si="57"/>
        <v>172557752.43000001</v>
      </c>
      <c r="VW29" s="171">
        <f t="shared" si="57"/>
        <v>170260571.95000002</v>
      </c>
      <c r="VX29" s="171">
        <f t="shared" si="57"/>
        <v>170097057.55000001</v>
      </c>
      <c r="VY29" s="171">
        <f t="shared" si="57"/>
        <v>146853871.58000001</v>
      </c>
      <c r="VZ29" s="171">
        <f t="shared" si="57"/>
        <v>164144354.97</v>
      </c>
      <c r="WA29" s="171">
        <f t="shared" si="57"/>
        <v>164834094.56</v>
      </c>
      <c r="WB29" s="171">
        <f t="shared" si="57"/>
        <v>166404472.28</v>
      </c>
      <c r="WC29" s="171">
        <f t="shared" si="57"/>
        <v>166877935.60999998</v>
      </c>
      <c r="WD29" s="171">
        <f t="shared" si="57"/>
        <v>172238593.20000002</v>
      </c>
      <c r="WE29" s="171">
        <f t="shared" si="57"/>
        <v>175252579.19999999</v>
      </c>
      <c r="WF29" s="171">
        <f t="shared" si="57"/>
        <v>179087242.58000001</v>
      </c>
      <c r="WG29" s="171">
        <f t="shared" si="57"/>
        <v>181344160.67999998</v>
      </c>
      <c r="WH29" s="171">
        <f t="shared" si="57"/>
        <v>183569525.30000001</v>
      </c>
      <c r="WI29" s="171">
        <v>156558778.59999999</v>
      </c>
      <c r="WJ29" s="171">
        <f t="shared" ref="WJ29:WO29" si="58">SUM(WJ27:WJ28)</f>
        <v>184924376.5</v>
      </c>
      <c r="WK29" s="171">
        <f t="shared" si="58"/>
        <v>182831372.18000001</v>
      </c>
      <c r="WL29" s="171">
        <f t="shared" si="58"/>
        <v>185195040.59</v>
      </c>
      <c r="WM29" s="171">
        <f t="shared" si="58"/>
        <v>189423186.26000002</v>
      </c>
      <c r="WN29" s="171">
        <f t="shared" si="58"/>
        <v>185831436.74000001</v>
      </c>
      <c r="WO29" s="171">
        <f t="shared" si="58"/>
        <v>181944616.20000002</v>
      </c>
      <c r="WP29" s="171">
        <v>183491049</v>
      </c>
      <c r="WQ29" s="171">
        <f t="shared" ref="WQ29:YB29" si="59">SUM(WQ27:WQ28)</f>
        <v>183322846.56</v>
      </c>
      <c r="WR29" s="171">
        <f t="shared" si="59"/>
        <v>184414255.19</v>
      </c>
      <c r="WS29" s="171">
        <f t="shared" si="59"/>
        <v>190058624.84999999</v>
      </c>
      <c r="WT29" s="171">
        <f t="shared" si="59"/>
        <v>195394473.09999999</v>
      </c>
      <c r="WU29" s="171">
        <f t="shared" si="59"/>
        <v>198803959.63</v>
      </c>
      <c r="WV29" s="171">
        <f t="shared" si="59"/>
        <v>202582301.14000002</v>
      </c>
      <c r="WW29" s="171">
        <f t="shared" si="59"/>
        <v>204201033.25999999</v>
      </c>
      <c r="WX29" s="171">
        <f t="shared" si="59"/>
        <v>204319292.34999999</v>
      </c>
      <c r="WY29" s="171">
        <f t="shared" si="59"/>
        <v>207594825.69</v>
      </c>
      <c r="WZ29" s="171">
        <f t="shared" si="59"/>
        <v>209255220.76999998</v>
      </c>
      <c r="XA29" s="171">
        <f t="shared" si="59"/>
        <v>209147469.07999998</v>
      </c>
      <c r="XB29" s="171">
        <f t="shared" si="59"/>
        <v>212426396.88999999</v>
      </c>
      <c r="XC29" s="171">
        <f t="shared" si="59"/>
        <v>207632094.56</v>
      </c>
      <c r="XD29" s="171">
        <f t="shared" si="59"/>
        <v>206197632.82999998</v>
      </c>
      <c r="XE29" s="171">
        <f t="shared" si="59"/>
        <v>198732262.48000002</v>
      </c>
      <c r="XF29" s="171">
        <f t="shared" si="59"/>
        <v>202358448.01000002</v>
      </c>
      <c r="XG29" s="171">
        <f t="shared" si="59"/>
        <v>204734055.75</v>
      </c>
      <c r="XH29" s="171">
        <f t="shared" si="59"/>
        <v>207679211.56</v>
      </c>
      <c r="XI29" s="171">
        <f t="shared" si="59"/>
        <v>213287983.72999999</v>
      </c>
      <c r="XJ29" s="171">
        <f t="shared" si="59"/>
        <v>216324062.88999999</v>
      </c>
      <c r="XK29" s="171">
        <f t="shared" si="59"/>
        <v>217829952.18000001</v>
      </c>
      <c r="XL29" s="171">
        <f t="shared" si="59"/>
        <v>220015015.72</v>
      </c>
      <c r="XM29" s="171">
        <f t="shared" si="59"/>
        <v>223974214.86000001</v>
      </c>
      <c r="XN29" s="171">
        <f t="shared" si="59"/>
        <v>225786226.31</v>
      </c>
      <c r="XO29" s="171">
        <f t="shared" si="59"/>
        <v>231224111.71000001</v>
      </c>
      <c r="XP29" s="171">
        <f t="shared" si="59"/>
        <v>233477892.00999999</v>
      </c>
      <c r="XQ29" s="171">
        <f t="shared" si="59"/>
        <v>232895127.53</v>
      </c>
      <c r="XR29" s="171">
        <f t="shared" si="59"/>
        <v>231043822.32999998</v>
      </c>
      <c r="XS29" s="171">
        <f t="shared" si="59"/>
        <v>223451589.29999998</v>
      </c>
      <c r="XT29" s="171">
        <f t="shared" si="59"/>
        <v>226365517.88</v>
      </c>
      <c r="XU29" s="171">
        <f t="shared" si="59"/>
        <v>228061315.44</v>
      </c>
      <c r="XV29" s="171">
        <f t="shared" si="59"/>
        <v>234300469.87</v>
      </c>
      <c r="XW29" s="171">
        <f t="shared" si="59"/>
        <v>235995936.69</v>
      </c>
      <c r="XX29" s="171">
        <f t="shared" si="59"/>
        <v>237818033.71000001</v>
      </c>
      <c r="XY29" s="171">
        <f t="shared" si="59"/>
        <v>241046879.34999999</v>
      </c>
      <c r="XZ29" s="171">
        <f t="shared" si="59"/>
        <v>241803571.51000002</v>
      </c>
      <c r="YA29" s="171">
        <f t="shared" si="59"/>
        <v>241487317.34999999</v>
      </c>
      <c r="YB29" s="171">
        <f t="shared" si="59"/>
        <v>246585194.41</v>
      </c>
      <c r="YC29" s="172">
        <v>251248366</v>
      </c>
      <c r="YD29" s="172">
        <f t="shared" ref="YD29:YF29" si="60">SUM(YD27:YD28)</f>
        <v>252528984.51999998</v>
      </c>
      <c r="YE29" s="172">
        <f t="shared" si="60"/>
        <v>251903055.69999999</v>
      </c>
      <c r="YF29" s="172">
        <f t="shared" si="60"/>
        <v>250360848.30000001</v>
      </c>
      <c r="YG29" s="172">
        <f t="shared" ref="YG29:YL29" si="61">SUM(YG27:YG28)</f>
        <v>243626967.06</v>
      </c>
      <c r="YH29" s="172">
        <f t="shared" si="61"/>
        <v>243220668.05000001</v>
      </c>
      <c r="YI29" s="172">
        <f t="shared" si="61"/>
        <v>235235474.38</v>
      </c>
      <c r="YJ29" s="172">
        <f t="shared" si="61"/>
        <v>237089445.87</v>
      </c>
      <c r="YK29" s="172">
        <f t="shared" si="61"/>
        <v>243535577.32999998</v>
      </c>
      <c r="YL29" s="172">
        <f t="shared" si="61"/>
        <v>244779133.50999999</v>
      </c>
      <c r="YM29" s="172">
        <f>SUM(YM27:YM28)</f>
        <v>247227085.97999999</v>
      </c>
    </row>
    <row r="30" spans="1:663" ht="15.75" customHeight="1" x14ac:dyDescent="0.2">
      <c r="A30" s="21"/>
      <c r="B30" s="33" t="s">
        <v>168</v>
      </c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  <c r="CF30" s="128"/>
      <c r="CG30" s="128"/>
      <c r="CH30" s="128"/>
      <c r="CI30" s="128"/>
      <c r="CJ30" s="128"/>
      <c r="CK30" s="128"/>
      <c r="CL30" s="128"/>
      <c r="CM30" s="128"/>
      <c r="CN30" s="128"/>
      <c r="CO30" s="128"/>
      <c r="CP30" s="128"/>
      <c r="CQ30" s="128"/>
      <c r="CR30" s="128"/>
      <c r="CS30" s="128"/>
      <c r="CT30" s="128"/>
      <c r="CU30" s="128"/>
      <c r="CV30" s="128"/>
      <c r="CW30" s="128"/>
      <c r="CX30" s="128"/>
      <c r="CY30" s="128"/>
      <c r="CZ30" s="128"/>
      <c r="DA30" s="128"/>
      <c r="DB30" s="128"/>
      <c r="DC30" s="128"/>
      <c r="DD30" s="128"/>
      <c r="DE30" s="128"/>
      <c r="DF30" s="128"/>
      <c r="DG30" s="128"/>
      <c r="DH30" s="128"/>
      <c r="DI30" s="128"/>
      <c r="DJ30" s="128"/>
      <c r="DK30" s="128"/>
      <c r="DL30" s="128"/>
      <c r="DM30" s="128"/>
      <c r="DN30" s="128"/>
      <c r="DO30" s="128"/>
      <c r="DP30" s="128"/>
      <c r="DQ30" s="128"/>
      <c r="DR30" s="128"/>
      <c r="DS30" s="128"/>
      <c r="DT30" s="128"/>
      <c r="DU30" s="128"/>
      <c r="DV30" s="128"/>
      <c r="DW30" s="128"/>
      <c r="DX30" s="128"/>
      <c r="DY30" s="128"/>
      <c r="DZ30" s="128"/>
      <c r="EA30" s="128"/>
      <c r="EB30" s="128"/>
      <c r="EC30" s="128"/>
      <c r="ED30" s="128"/>
      <c r="EE30" s="128"/>
      <c r="EF30" s="128"/>
      <c r="EG30" s="128"/>
      <c r="EH30" s="128"/>
      <c r="EI30" s="128"/>
      <c r="EJ30" s="128"/>
      <c r="EK30" s="128"/>
      <c r="EL30" s="128"/>
      <c r="EM30" s="128"/>
      <c r="EN30" s="128"/>
      <c r="EO30" s="128"/>
      <c r="EP30" s="128"/>
      <c r="EQ30" s="128"/>
      <c r="ER30" s="128"/>
      <c r="ES30" s="128"/>
      <c r="ET30" s="128"/>
      <c r="EU30" s="128"/>
      <c r="EV30" s="128"/>
      <c r="EW30" s="128"/>
      <c r="EX30" s="128"/>
      <c r="EY30" s="128"/>
      <c r="EZ30" s="128"/>
      <c r="FA30" s="128"/>
      <c r="FB30" s="128"/>
      <c r="FC30" s="128"/>
      <c r="FD30" s="128"/>
      <c r="FE30" s="128"/>
      <c r="FF30" s="128"/>
      <c r="FG30" s="128"/>
      <c r="FH30" s="128"/>
      <c r="FI30" s="128"/>
      <c r="FJ30" s="128"/>
      <c r="FK30" s="128"/>
      <c r="FL30" s="128"/>
      <c r="FM30" s="128"/>
      <c r="FN30" s="128"/>
      <c r="FO30" s="128"/>
      <c r="FP30" s="128"/>
      <c r="FQ30" s="128"/>
      <c r="FR30" s="128"/>
      <c r="FS30" s="128"/>
      <c r="FT30" s="128"/>
      <c r="FU30" s="128"/>
      <c r="FV30" s="128"/>
      <c r="FW30" s="128"/>
      <c r="FX30" s="128"/>
      <c r="FY30" s="128"/>
      <c r="FZ30" s="128"/>
      <c r="GA30" s="128"/>
      <c r="GB30" s="128"/>
      <c r="GC30" s="128"/>
      <c r="GD30" s="128"/>
      <c r="GE30" s="128"/>
      <c r="GF30" s="128"/>
      <c r="GG30" s="128"/>
      <c r="GH30" s="128"/>
      <c r="GI30" s="128"/>
      <c r="GJ30" s="128"/>
      <c r="GK30" s="128"/>
      <c r="GL30" s="128"/>
      <c r="GM30" s="128"/>
      <c r="GN30" s="128"/>
      <c r="GO30" s="128"/>
      <c r="GP30" s="128"/>
      <c r="GQ30" s="128"/>
      <c r="GR30" s="128"/>
      <c r="GS30" s="128"/>
      <c r="GT30" s="128"/>
      <c r="GU30" s="128"/>
      <c r="GV30" s="128"/>
      <c r="GW30" s="128"/>
      <c r="GX30" s="128"/>
      <c r="GY30" s="128"/>
      <c r="GZ30" s="128"/>
      <c r="HA30" s="128"/>
      <c r="HB30" s="128"/>
      <c r="HC30" s="128"/>
      <c r="HD30" s="128"/>
      <c r="HE30" s="128"/>
      <c r="HF30" s="128"/>
      <c r="HG30" s="128"/>
      <c r="HH30" s="128"/>
      <c r="HI30" s="128"/>
      <c r="HJ30" s="128"/>
      <c r="HK30" s="128"/>
      <c r="HL30" s="128"/>
      <c r="HM30" s="128"/>
      <c r="HN30" s="128"/>
      <c r="HO30" s="128"/>
      <c r="HP30" s="128"/>
      <c r="HQ30" s="128"/>
      <c r="HR30" s="128"/>
      <c r="HS30" s="128"/>
      <c r="HT30" s="128"/>
      <c r="HU30" s="128"/>
      <c r="HV30" s="128"/>
      <c r="HW30" s="128"/>
      <c r="HX30" s="128"/>
      <c r="HY30" s="128"/>
      <c r="HZ30" s="128"/>
      <c r="IA30" s="128"/>
      <c r="IB30" s="128"/>
      <c r="IC30" s="128"/>
      <c r="ID30" s="128"/>
      <c r="IE30" s="128"/>
      <c r="IF30" s="128"/>
      <c r="IG30" s="128"/>
      <c r="IH30" s="128"/>
      <c r="II30" s="128"/>
      <c r="IJ30" s="128"/>
      <c r="IK30" s="128"/>
      <c r="IL30" s="128"/>
      <c r="IM30" s="128"/>
      <c r="IN30" s="128"/>
      <c r="IO30" s="128"/>
      <c r="IP30" s="128"/>
      <c r="IQ30" s="128"/>
      <c r="IR30" s="128"/>
      <c r="IS30" s="128"/>
      <c r="IT30" s="128"/>
      <c r="IU30" s="128"/>
      <c r="IV30" s="128"/>
      <c r="IW30" s="128"/>
      <c r="IX30" s="128"/>
      <c r="IY30" s="128"/>
      <c r="IZ30" s="128"/>
      <c r="JA30" s="128"/>
      <c r="JB30" s="128"/>
      <c r="JC30" s="128"/>
      <c r="JD30" s="128"/>
      <c r="JE30" s="128"/>
      <c r="JF30" s="128"/>
      <c r="JG30" s="128"/>
      <c r="JH30" s="128"/>
      <c r="JI30" s="128"/>
      <c r="JJ30" s="128"/>
      <c r="JK30" s="128"/>
      <c r="JL30" s="128"/>
      <c r="JM30" s="128"/>
      <c r="JN30" s="128"/>
      <c r="JO30" s="128"/>
      <c r="JP30" s="128"/>
      <c r="JQ30" s="128"/>
      <c r="JR30" s="128"/>
      <c r="JS30" s="128"/>
      <c r="JT30" s="128"/>
      <c r="JU30" s="128"/>
      <c r="JV30" s="128"/>
      <c r="JW30" s="128"/>
      <c r="JX30" s="128"/>
      <c r="JY30" s="128"/>
      <c r="JZ30" s="128"/>
      <c r="KA30" s="128"/>
      <c r="KB30" s="128"/>
      <c r="KC30" s="128"/>
      <c r="KD30" s="128"/>
      <c r="KE30" s="128"/>
      <c r="KF30" s="128"/>
      <c r="KG30" s="128"/>
      <c r="KH30" s="128"/>
      <c r="KI30" s="128"/>
      <c r="KJ30" s="128"/>
      <c r="KK30" s="128"/>
      <c r="KL30" s="128"/>
      <c r="KM30" s="128"/>
      <c r="KN30" s="128"/>
      <c r="KO30" s="128"/>
      <c r="KP30" s="128"/>
      <c r="KQ30" s="128"/>
      <c r="KR30" s="128"/>
      <c r="KS30" s="128"/>
      <c r="KT30" s="128"/>
      <c r="KU30" s="128"/>
      <c r="KV30" s="128"/>
      <c r="KW30" s="128"/>
      <c r="KX30" s="128"/>
      <c r="KY30" s="128"/>
      <c r="KZ30" s="128"/>
      <c r="LA30" s="128"/>
      <c r="LB30" s="128"/>
      <c r="LC30" s="128"/>
      <c r="LD30" s="128"/>
      <c r="LE30" s="128"/>
      <c r="LF30" s="128"/>
      <c r="LG30" s="128"/>
      <c r="LH30" s="128"/>
      <c r="LI30" s="128"/>
      <c r="LJ30" s="128"/>
      <c r="LK30" s="128"/>
      <c r="LL30" s="128"/>
      <c r="LM30" s="128"/>
      <c r="LN30" s="128"/>
      <c r="LO30" s="128"/>
      <c r="LP30" s="128"/>
      <c r="LQ30" s="128"/>
      <c r="LR30" s="128"/>
      <c r="LS30" s="128"/>
      <c r="LT30" s="128"/>
      <c r="LU30" s="128"/>
      <c r="LV30" s="128"/>
      <c r="LW30" s="128"/>
      <c r="LX30" s="128"/>
      <c r="LY30" s="128"/>
      <c r="LZ30" s="128"/>
      <c r="MA30" s="128"/>
      <c r="MB30" s="128"/>
      <c r="MC30" s="128"/>
      <c r="MD30" s="128"/>
      <c r="ME30" s="128"/>
      <c r="MF30" s="128"/>
      <c r="MG30" s="128"/>
      <c r="MH30" s="128"/>
      <c r="MI30" s="128"/>
      <c r="MJ30" s="128"/>
      <c r="MK30" s="128"/>
      <c r="ML30" s="128"/>
      <c r="MM30" s="128"/>
      <c r="MN30" s="128"/>
      <c r="MO30" s="128"/>
      <c r="MP30" s="128"/>
      <c r="MQ30" s="128"/>
      <c r="MR30" s="128"/>
      <c r="MS30" s="128"/>
      <c r="MT30" s="128"/>
      <c r="MU30" s="128"/>
      <c r="MV30" s="128"/>
      <c r="MW30" s="173"/>
      <c r="MX30" s="128"/>
      <c r="MY30" s="128"/>
      <c r="MZ30" s="128"/>
      <c r="NA30" s="128"/>
      <c r="NB30" s="128"/>
      <c r="NC30" s="128"/>
      <c r="ND30" s="128"/>
      <c r="NE30" s="128"/>
      <c r="NF30" s="128"/>
      <c r="NG30" s="128"/>
      <c r="NH30" s="128"/>
      <c r="NI30" s="128"/>
      <c r="NJ30" s="128"/>
      <c r="NK30" s="128"/>
      <c r="NL30" s="128"/>
      <c r="NM30" s="128"/>
      <c r="NN30" s="128"/>
      <c r="NO30" s="128"/>
      <c r="NP30" s="128"/>
      <c r="NQ30" s="128"/>
      <c r="NR30" s="128"/>
      <c r="NS30" s="128"/>
      <c r="NT30" s="128"/>
      <c r="NU30" s="128"/>
      <c r="NV30" s="128"/>
      <c r="NW30" s="128"/>
      <c r="NX30" s="128"/>
      <c r="NY30" s="128"/>
      <c r="NZ30" s="128"/>
      <c r="OA30" s="128"/>
      <c r="OB30" s="128"/>
      <c r="OC30" s="128"/>
      <c r="OD30" s="128"/>
      <c r="OE30" s="128"/>
      <c r="OF30" s="128"/>
      <c r="OG30" s="128"/>
      <c r="OH30" s="128"/>
      <c r="OI30" s="128"/>
      <c r="OJ30" s="128"/>
      <c r="OK30" s="128"/>
      <c r="OL30" s="128"/>
      <c r="OM30" s="128"/>
      <c r="ON30" s="128"/>
      <c r="OO30" s="128"/>
      <c r="OP30" s="128"/>
      <c r="OQ30" s="128"/>
      <c r="OR30" s="128"/>
      <c r="OS30" s="128"/>
      <c r="OT30" s="128"/>
      <c r="OU30" s="128"/>
      <c r="OV30" s="128"/>
      <c r="OW30" s="128"/>
      <c r="OX30" s="128"/>
      <c r="OY30" s="128"/>
      <c r="OZ30" s="128"/>
      <c r="PA30" s="128"/>
      <c r="PB30" s="128"/>
      <c r="PC30" s="128"/>
      <c r="PD30" s="128"/>
      <c r="PE30" s="128"/>
      <c r="PF30" s="128"/>
      <c r="PG30" s="128"/>
      <c r="PH30" s="128"/>
      <c r="PI30" s="128"/>
      <c r="PJ30" s="128"/>
      <c r="PK30" s="128"/>
      <c r="PL30" s="128"/>
      <c r="PM30" s="128"/>
      <c r="PN30" s="128"/>
      <c r="PO30" s="128"/>
      <c r="PP30" s="128"/>
      <c r="PQ30" s="128"/>
      <c r="PR30" s="128"/>
      <c r="PS30" s="128"/>
      <c r="PT30" s="128"/>
      <c r="PU30" s="128"/>
      <c r="PV30" s="128"/>
      <c r="PW30" s="128"/>
      <c r="PX30" s="128"/>
      <c r="PY30" s="128"/>
      <c r="PZ30" s="128"/>
      <c r="QA30" s="128"/>
      <c r="QB30" s="128"/>
      <c r="QC30" s="128"/>
      <c r="QD30" s="128"/>
      <c r="QE30" s="128"/>
      <c r="QF30" s="128"/>
      <c r="QG30" s="128"/>
      <c r="QH30" s="128"/>
      <c r="QI30" s="128"/>
      <c r="QJ30" s="128"/>
      <c r="QK30" s="128"/>
      <c r="QL30" s="128"/>
      <c r="QM30" s="128"/>
      <c r="QN30" s="128"/>
      <c r="QO30" s="128"/>
      <c r="QP30" s="128"/>
      <c r="QQ30" s="128"/>
      <c r="QR30" s="128"/>
      <c r="QS30" s="128"/>
      <c r="QT30" s="128"/>
      <c r="QU30" s="128"/>
      <c r="QV30" s="128"/>
      <c r="QW30" s="128"/>
      <c r="QX30" s="128"/>
      <c r="QY30" s="128"/>
      <c r="QZ30" s="128"/>
      <c r="RA30" s="128"/>
      <c r="RB30" s="128"/>
      <c r="RC30" s="128"/>
      <c r="RD30" s="128"/>
      <c r="RE30" s="128"/>
      <c r="RF30" s="128"/>
      <c r="RG30" s="128"/>
      <c r="RH30" s="128"/>
      <c r="RI30" s="128"/>
      <c r="RJ30" s="128"/>
      <c r="RK30" s="128"/>
      <c r="RL30" s="128"/>
      <c r="RM30" s="128"/>
      <c r="RN30" s="128"/>
      <c r="RO30" s="128"/>
      <c r="RP30" s="128"/>
      <c r="RQ30" s="128"/>
      <c r="RR30" s="128"/>
      <c r="RS30" s="128"/>
      <c r="RT30" s="128"/>
      <c r="RU30" s="128"/>
      <c r="RV30" s="128"/>
      <c r="RW30" s="128"/>
      <c r="RX30" s="128"/>
      <c r="RY30" s="128"/>
      <c r="RZ30" s="128"/>
      <c r="SA30" s="128"/>
      <c r="SB30" s="128"/>
      <c r="SC30" s="128"/>
      <c r="SD30" s="128"/>
      <c r="SE30" s="128"/>
      <c r="SF30" s="128"/>
      <c r="SG30" s="128"/>
      <c r="SH30" s="128"/>
      <c r="SI30" s="128"/>
      <c r="SJ30" s="127">
        <f t="shared" ref="SJ30:SW30" si="62">SJ27/SJ3</f>
        <v>1527860.7663333334</v>
      </c>
      <c r="SK30" s="127">
        <f t="shared" si="62"/>
        <v>1478154.834</v>
      </c>
      <c r="SL30" s="127">
        <f t="shared" si="62"/>
        <v>1497313.1444999999</v>
      </c>
      <c r="SM30" s="127">
        <f t="shared" si="62"/>
        <v>1524013.5009999999</v>
      </c>
      <c r="SN30" s="127">
        <f t="shared" si="62"/>
        <v>1545070.1594999998</v>
      </c>
      <c r="SO30" s="127">
        <f t="shared" si="62"/>
        <v>1552882.8216666665</v>
      </c>
      <c r="SP30" s="127">
        <f t="shared" si="62"/>
        <v>1552730.4473333333</v>
      </c>
      <c r="SQ30" s="127">
        <f t="shared" si="62"/>
        <v>1586379.4248333334</v>
      </c>
      <c r="SR30" s="127">
        <f t="shared" si="62"/>
        <v>1642642.0578333333</v>
      </c>
      <c r="SS30" s="127">
        <f t="shared" si="62"/>
        <v>1662367.7804999999</v>
      </c>
      <c r="ST30" s="127">
        <f t="shared" si="62"/>
        <v>1686621.3918333335</v>
      </c>
      <c r="SU30" s="127">
        <f t="shared" si="62"/>
        <v>1683347.7458333333</v>
      </c>
      <c r="SV30" s="127">
        <f t="shared" si="62"/>
        <v>1637944.2051666668</v>
      </c>
      <c r="SW30" s="127">
        <f t="shared" si="62"/>
        <v>1652936.6056666668</v>
      </c>
      <c r="SX30" s="127">
        <f t="shared" ref="SX30:WH30" si="63">SX29/SX3</f>
        <v>2033942.0458333334</v>
      </c>
      <c r="SY30" s="127">
        <f t="shared" si="63"/>
        <v>2206927.4480286739</v>
      </c>
      <c r="SZ30" s="127">
        <f t="shared" si="63"/>
        <v>2088630.1806451615</v>
      </c>
      <c r="TA30" s="127">
        <f t="shared" si="63"/>
        <v>2115161.2711469536</v>
      </c>
      <c r="TB30" s="127">
        <f t="shared" si="63"/>
        <v>2167981.296594982</v>
      </c>
      <c r="TC30" s="127">
        <f t="shared" si="63"/>
        <v>2184854.9666666663</v>
      </c>
      <c r="TD30" s="127">
        <f t="shared" si="63"/>
        <v>2244917.1164874556</v>
      </c>
      <c r="TE30" s="127">
        <f t="shared" si="63"/>
        <v>2291580.820609319</v>
      </c>
      <c r="TF30" s="127">
        <f t="shared" si="63"/>
        <v>2377131.3682795698</v>
      </c>
      <c r="TG30" s="127">
        <f t="shared" si="63"/>
        <v>2423309.4668458784</v>
      </c>
      <c r="TH30" s="127">
        <f t="shared" si="63"/>
        <v>2436983.6709677423</v>
      </c>
      <c r="TI30" s="127">
        <f t="shared" si="63"/>
        <v>2435084.644982079</v>
      </c>
      <c r="TJ30" s="127">
        <f t="shared" si="63"/>
        <v>2421946.1654121866</v>
      </c>
      <c r="TK30" s="127">
        <f t="shared" si="63"/>
        <v>2482802.0991039425</v>
      </c>
      <c r="TL30" s="127">
        <f t="shared" si="63"/>
        <v>2500787.8075268818</v>
      </c>
      <c r="TM30" s="127">
        <f t="shared" si="63"/>
        <v>2557354.7464157706</v>
      </c>
      <c r="TN30" s="127">
        <f t="shared" si="63"/>
        <v>2483485.0673835124</v>
      </c>
      <c r="TO30" s="127">
        <f t="shared" si="63"/>
        <v>2485340.2279569893</v>
      </c>
      <c r="TP30" s="127">
        <f t="shared" si="63"/>
        <v>2414307.1544802869</v>
      </c>
      <c r="TQ30" s="127">
        <f t="shared" si="63"/>
        <v>2384158.9815412187</v>
      </c>
      <c r="TR30" s="127">
        <f t="shared" si="63"/>
        <v>2485984.749283154</v>
      </c>
      <c r="TS30" s="127">
        <f t="shared" si="63"/>
        <v>2516360.6163082435</v>
      </c>
      <c r="TT30" s="127">
        <f t="shared" si="63"/>
        <v>2599705.4014336918</v>
      </c>
      <c r="TU30" s="127">
        <f t="shared" si="63"/>
        <v>2616841.87311828</v>
      </c>
      <c r="TV30" s="127">
        <f t="shared" si="63"/>
        <v>2652316.3431899641</v>
      </c>
      <c r="TW30" s="127">
        <f t="shared" si="63"/>
        <v>2672180.3114695339</v>
      </c>
      <c r="TX30" s="127">
        <f t="shared" si="63"/>
        <v>2692939.2810035842</v>
      </c>
      <c r="TY30" s="127">
        <f t="shared" si="63"/>
        <v>2723218.8675627243</v>
      </c>
      <c r="TZ30" s="127">
        <f t="shared" si="63"/>
        <v>2737853.716308244</v>
      </c>
      <c r="UA30" s="127">
        <f t="shared" si="63"/>
        <v>2786211.0342293908</v>
      </c>
      <c r="UB30" s="127">
        <f t="shared" si="63"/>
        <v>2748777.9274193547</v>
      </c>
      <c r="UC30" s="127">
        <f t="shared" si="63"/>
        <v>2725980.6759856632</v>
      </c>
      <c r="UD30" s="127">
        <f t="shared" si="63"/>
        <v>2572414.2560931896</v>
      </c>
      <c r="UE30" s="127">
        <f t="shared" si="63"/>
        <v>2571204.8931899634</v>
      </c>
      <c r="UF30" s="127">
        <f t="shared" si="63"/>
        <v>2626769.9641577057</v>
      </c>
      <c r="UG30" s="127">
        <f t="shared" si="63"/>
        <v>2661712.2030465947</v>
      </c>
      <c r="UH30" s="127">
        <f t="shared" si="63"/>
        <v>2736045.3412186373</v>
      </c>
      <c r="UI30" s="127">
        <f t="shared" si="63"/>
        <v>2792145.0636200714</v>
      </c>
      <c r="UJ30" s="127">
        <f t="shared" si="63"/>
        <v>2833013.6813620073</v>
      </c>
      <c r="UK30" s="127">
        <f t="shared" si="63"/>
        <v>2872234.5578853046</v>
      </c>
      <c r="UL30" s="127">
        <f t="shared" si="63"/>
        <v>2888828.8150537633</v>
      </c>
      <c r="UM30" s="127">
        <f t="shared" si="63"/>
        <v>2911279.5408602147</v>
      </c>
      <c r="UN30" s="127">
        <f t="shared" si="63"/>
        <v>2930406.1370967743</v>
      </c>
      <c r="UO30" s="127">
        <f t="shared" si="63"/>
        <v>2933661.8485663086</v>
      </c>
      <c r="UP30" s="127">
        <f t="shared" si="63"/>
        <v>2966357.9439068097</v>
      </c>
      <c r="UQ30" s="127">
        <f t="shared" si="63"/>
        <v>2853109.0197132621</v>
      </c>
      <c r="UR30" s="127">
        <f t="shared" si="63"/>
        <v>2809100.0204301081</v>
      </c>
      <c r="US30" s="127">
        <f t="shared" si="63"/>
        <v>2752824.6675627246</v>
      </c>
      <c r="UT30" s="127">
        <f t="shared" si="63"/>
        <v>2695030.8311827965</v>
      </c>
      <c r="UU30" s="127">
        <f t="shared" si="63"/>
        <v>2728844.4465949824</v>
      </c>
      <c r="UV30" s="127">
        <f t="shared" si="63"/>
        <v>2794153.7363799284</v>
      </c>
      <c r="UW30" s="127">
        <f t="shared" si="63"/>
        <v>2835746.6881720433</v>
      </c>
      <c r="UX30" s="127">
        <f t="shared" si="63"/>
        <v>2872289.5292114699</v>
      </c>
      <c r="UY30" s="127">
        <f t="shared" si="63"/>
        <v>2904037.9747311836</v>
      </c>
      <c r="UZ30" s="127">
        <f t="shared" si="63"/>
        <v>2905380.1084229392</v>
      </c>
      <c r="VA30" s="127">
        <f t="shared" si="63"/>
        <v>2935709.1675627246</v>
      </c>
      <c r="VB30" s="127">
        <f t="shared" si="63"/>
        <v>2952914.0100358422</v>
      </c>
      <c r="VC30" s="127">
        <f t="shared" si="63"/>
        <v>3010064.0523297498</v>
      </c>
      <c r="VD30" s="127">
        <f t="shared" si="63"/>
        <v>3029245.2270609317</v>
      </c>
      <c r="VE30" s="127">
        <f t="shared" si="63"/>
        <v>3023198.838709678</v>
      </c>
      <c r="VF30" s="127">
        <f t="shared" si="63"/>
        <v>3023198.838709678</v>
      </c>
      <c r="VG30" s="174">
        <f t="shared" si="63"/>
        <v>2970100.7946236562</v>
      </c>
      <c r="VH30" s="174">
        <f t="shared" si="63"/>
        <v>2935975.1537634409</v>
      </c>
      <c r="VI30" s="174">
        <f t="shared" si="63"/>
        <v>2860153.7134408602</v>
      </c>
      <c r="VJ30" s="174">
        <f t="shared" si="63"/>
        <v>2811145.3232974908</v>
      </c>
      <c r="VK30" s="174">
        <f t="shared" si="63"/>
        <v>2873237.8345878143</v>
      </c>
      <c r="VL30" s="174">
        <f t="shared" si="63"/>
        <v>2892766.990322581</v>
      </c>
      <c r="VM30" s="174">
        <f t="shared" si="63"/>
        <v>2923888.770967742</v>
      </c>
      <c r="VN30" s="174">
        <f t="shared" si="63"/>
        <v>2950784.4086021506</v>
      </c>
      <c r="VO30" s="174">
        <f t="shared" si="63"/>
        <v>2963577.5272401436</v>
      </c>
      <c r="VP30" s="174">
        <f t="shared" si="63"/>
        <v>3002327.5008960576</v>
      </c>
      <c r="VQ30" s="174">
        <f t="shared" si="63"/>
        <v>3033134.6775985667</v>
      </c>
      <c r="VR30" s="174">
        <f t="shared" si="63"/>
        <v>3036935.9164874549</v>
      </c>
      <c r="VS30" s="174">
        <f t="shared" si="63"/>
        <v>3105417.0964157712</v>
      </c>
      <c r="VT30" s="174">
        <f t="shared" si="63"/>
        <v>3125009.8109318996</v>
      </c>
      <c r="VU30" s="174">
        <f t="shared" si="63"/>
        <v>3119620.7915770612</v>
      </c>
      <c r="VV30" s="174">
        <f t="shared" si="63"/>
        <v>3092432.8392473119</v>
      </c>
      <c r="VW30" s="174">
        <f t="shared" si="63"/>
        <v>3051264.7302867388</v>
      </c>
      <c r="VX30" s="174">
        <f t="shared" si="63"/>
        <v>3048334.3646953409</v>
      </c>
      <c r="VY30" s="174">
        <f t="shared" si="63"/>
        <v>2631789.8132616491</v>
      </c>
      <c r="VZ30" s="174">
        <f t="shared" si="63"/>
        <v>2941655.1069892473</v>
      </c>
      <c r="WA30" s="174">
        <f t="shared" si="63"/>
        <v>2954016.031541219</v>
      </c>
      <c r="WB30" s="174">
        <f t="shared" si="63"/>
        <v>2982159.0014336919</v>
      </c>
      <c r="WC30" s="174">
        <f t="shared" si="63"/>
        <v>2990644.0073476699</v>
      </c>
      <c r="WD30" s="174">
        <f t="shared" si="63"/>
        <v>3086713.1397849466</v>
      </c>
      <c r="WE30" s="174">
        <f t="shared" si="63"/>
        <v>3140727.2258064514</v>
      </c>
      <c r="WF30" s="174">
        <f t="shared" si="63"/>
        <v>3209448.7917562728</v>
      </c>
      <c r="WG30" s="174">
        <f t="shared" si="63"/>
        <v>3249895.3526881719</v>
      </c>
      <c r="WH30" s="174">
        <f t="shared" si="63"/>
        <v>3289776.4390681009</v>
      </c>
      <c r="WI30" s="174">
        <v>2805712.8790000002</v>
      </c>
      <c r="WJ30" s="174">
        <f t="shared" ref="WJ30:WO30" si="64">WJ29/WJ3</f>
        <v>3314056.9265232976</v>
      </c>
      <c r="WK30" s="174">
        <f t="shared" si="64"/>
        <v>3276547.8885304662</v>
      </c>
      <c r="WL30" s="174">
        <f t="shared" si="64"/>
        <v>3318907.5374551974</v>
      </c>
      <c r="WM30" s="174">
        <f t="shared" si="64"/>
        <v>3394680.7573476708</v>
      </c>
      <c r="WN30" s="174">
        <f t="shared" si="64"/>
        <v>3330312.4863799289</v>
      </c>
      <c r="WO30" s="174">
        <f t="shared" si="64"/>
        <v>3260656.2043010755</v>
      </c>
      <c r="WP30" s="174">
        <v>3288370.054</v>
      </c>
      <c r="WQ30" s="174">
        <f t="shared" ref="WQ30:YF30" si="65">WQ29/WQ3</f>
        <v>3285355.6731182798</v>
      </c>
      <c r="WR30" s="174">
        <f t="shared" si="65"/>
        <v>3304914.9675627244</v>
      </c>
      <c r="WS30" s="174">
        <f t="shared" si="65"/>
        <v>3406068.5456989249</v>
      </c>
      <c r="WT30" s="174">
        <f t="shared" si="65"/>
        <v>3501693.0663082437</v>
      </c>
      <c r="WU30" s="174">
        <f t="shared" si="65"/>
        <v>3562794.9754480287</v>
      </c>
      <c r="WV30" s="174">
        <f t="shared" si="65"/>
        <v>3630507.1888888893</v>
      </c>
      <c r="WW30" s="174">
        <f t="shared" si="65"/>
        <v>3659516.7250896059</v>
      </c>
      <c r="WX30" s="174">
        <f t="shared" si="65"/>
        <v>3661636.0636200719</v>
      </c>
      <c r="WY30" s="174">
        <f t="shared" si="65"/>
        <v>3720337.3779569892</v>
      </c>
      <c r="WZ30" s="174">
        <f t="shared" si="65"/>
        <v>3750093.5621863799</v>
      </c>
      <c r="XA30" s="174">
        <f t="shared" si="65"/>
        <v>3748162.5283154119</v>
      </c>
      <c r="XB30" s="174">
        <f t="shared" si="65"/>
        <v>3806924.6754480288</v>
      </c>
      <c r="XC30" s="174">
        <f t="shared" si="65"/>
        <v>3721005.2788530467</v>
      </c>
      <c r="XD30" s="174">
        <f t="shared" si="65"/>
        <v>3695298.0793906809</v>
      </c>
      <c r="XE30" s="174">
        <f t="shared" si="65"/>
        <v>3561510.0802867389</v>
      </c>
      <c r="XF30" s="174">
        <f t="shared" si="65"/>
        <v>3626495.4840501798</v>
      </c>
      <c r="XG30" s="174">
        <f t="shared" si="65"/>
        <v>3669069.0994623657</v>
      </c>
      <c r="XH30" s="174">
        <f t="shared" si="65"/>
        <v>3721849.6695340504</v>
      </c>
      <c r="XI30" s="174">
        <f t="shared" si="65"/>
        <v>3822365.2998207887</v>
      </c>
      <c r="XJ30" s="174">
        <f t="shared" si="65"/>
        <v>3876775.320609319</v>
      </c>
      <c r="XK30" s="174">
        <f t="shared" si="65"/>
        <v>3903762.5838709679</v>
      </c>
      <c r="XL30" s="174">
        <f t="shared" si="65"/>
        <v>3942921.4286738355</v>
      </c>
      <c r="XM30" s="174">
        <f t="shared" si="65"/>
        <v>4013874.8182795704</v>
      </c>
      <c r="XN30" s="174">
        <f t="shared" si="65"/>
        <v>4046348.1417562729</v>
      </c>
      <c r="XO30" s="174">
        <f t="shared" si="65"/>
        <v>4143801.2851254484</v>
      </c>
      <c r="XP30" s="174">
        <f t="shared" si="65"/>
        <v>4184191.6130824373</v>
      </c>
      <c r="XQ30" s="174">
        <f t="shared" si="65"/>
        <v>4173747.8051971328</v>
      </c>
      <c r="XR30" s="174">
        <f t="shared" si="65"/>
        <v>4140570.2926523294</v>
      </c>
      <c r="XS30" s="174">
        <f t="shared" si="65"/>
        <v>4004508.7688172041</v>
      </c>
      <c r="XT30" s="174">
        <f t="shared" si="65"/>
        <v>4056729.7111111111</v>
      </c>
      <c r="XU30" s="174">
        <f t="shared" si="65"/>
        <v>4087120.348387097</v>
      </c>
      <c r="XV30" s="174">
        <f t="shared" si="65"/>
        <v>4198933.1517921146</v>
      </c>
      <c r="XW30" s="174">
        <f t="shared" si="65"/>
        <v>4229317.8618279574</v>
      </c>
      <c r="XX30" s="174">
        <f t="shared" si="65"/>
        <v>4261971.930286739</v>
      </c>
      <c r="XY30" s="174">
        <f t="shared" si="65"/>
        <v>4319836.5474910391</v>
      </c>
      <c r="XZ30" s="174">
        <f t="shared" si="65"/>
        <v>4333397.3388888892</v>
      </c>
      <c r="YA30" s="174">
        <f t="shared" si="65"/>
        <v>4327729.7016129037</v>
      </c>
      <c r="YB30" s="174">
        <f t="shared" si="65"/>
        <v>4419089.5055555562</v>
      </c>
      <c r="YC30" s="174">
        <f t="shared" si="65"/>
        <v>4502658.888888889</v>
      </c>
      <c r="YD30" s="174">
        <f t="shared" si="65"/>
        <v>4525609.0415770607</v>
      </c>
      <c r="YE30" s="174">
        <f t="shared" si="65"/>
        <v>4514391.6792114694</v>
      </c>
      <c r="YF30" s="174">
        <f t="shared" si="65"/>
        <v>4486753.5537634417</v>
      </c>
      <c r="YG30" s="174">
        <f t="shared" ref="YG30:YL30" si="66">YG29/YG3</f>
        <v>4366074.6784946239</v>
      </c>
      <c r="YH30" s="174">
        <f t="shared" si="66"/>
        <v>4358793.3342293911</v>
      </c>
      <c r="YI30" s="174">
        <f t="shared" si="66"/>
        <v>4215689.5050179213</v>
      </c>
      <c r="YJ30" s="174">
        <f t="shared" si="66"/>
        <v>4248914.8005376346</v>
      </c>
      <c r="YK30" s="174">
        <f t="shared" si="66"/>
        <v>4364436.8697132617</v>
      </c>
      <c r="YL30" s="174">
        <f t="shared" si="66"/>
        <v>4386722.8227598565</v>
      </c>
      <c r="YM30" s="174">
        <f>YM29/YM3</f>
        <v>4430592.9387096772</v>
      </c>
    </row>
    <row r="31" spans="1:663" ht="15.75" customHeight="1" x14ac:dyDescent="0.2">
      <c r="A31" s="21"/>
      <c r="B31" s="33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  <c r="CF31" s="128"/>
      <c r="CG31" s="128"/>
      <c r="CH31" s="128"/>
      <c r="CI31" s="128"/>
      <c r="CJ31" s="128"/>
      <c r="CK31" s="128"/>
      <c r="CL31" s="128"/>
      <c r="CM31" s="128"/>
      <c r="CN31" s="128"/>
      <c r="CO31" s="128"/>
      <c r="CP31" s="128"/>
      <c r="CQ31" s="128"/>
      <c r="CR31" s="128"/>
      <c r="CS31" s="128"/>
      <c r="CT31" s="128"/>
      <c r="CU31" s="128"/>
      <c r="CV31" s="128"/>
      <c r="CW31" s="128"/>
      <c r="CX31" s="128"/>
      <c r="CY31" s="128"/>
      <c r="CZ31" s="128"/>
      <c r="DA31" s="128"/>
      <c r="DB31" s="128"/>
      <c r="DC31" s="128"/>
      <c r="DD31" s="128"/>
      <c r="DE31" s="128"/>
      <c r="DF31" s="128"/>
      <c r="DG31" s="128"/>
      <c r="DH31" s="128"/>
      <c r="DI31" s="128"/>
      <c r="DJ31" s="128"/>
      <c r="DK31" s="128"/>
      <c r="DL31" s="128"/>
      <c r="DM31" s="128"/>
      <c r="DN31" s="128"/>
      <c r="DO31" s="128"/>
      <c r="DP31" s="128"/>
      <c r="DQ31" s="128"/>
      <c r="DR31" s="128"/>
      <c r="DS31" s="128"/>
      <c r="DT31" s="128"/>
      <c r="DU31" s="128"/>
      <c r="DV31" s="128"/>
      <c r="DW31" s="128"/>
      <c r="DX31" s="128"/>
      <c r="DY31" s="128"/>
      <c r="DZ31" s="128"/>
      <c r="EA31" s="128"/>
      <c r="EB31" s="128"/>
      <c r="EC31" s="128"/>
      <c r="ED31" s="128"/>
      <c r="EE31" s="128"/>
      <c r="EF31" s="128"/>
      <c r="EG31" s="128"/>
      <c r="EH31" s="128"/>
      <c r="EI31" s="128"/>
      <c r="EJ31" s="128"/>
      <c r="EK31" s="128"/>
      <c r="EL31" s="128"/>
      <c r="EM31" s="128"/>
      <c r="EN31" s="128"/>
      <c r="EO31" s="128"/>
      <c r="EP31" s="128"/>
      <c r="EQ31" s="128"/>
      <c r="ER31" s="128"/>
      <c r="ES31" s="128"/>
      <c r="ET31" s="128"/>
      <c r="EU31" s="128"/>
      <c r="EV31" s="128"/>
      <c r="EW31" s="128"/>
      <c r="EX31" s="128"/>
      <c r="EY31" s="128"/>
      <c r="EZ31" s="128"/>
      <c r="FA31" s="128"/>
      <c r="FB31" s="128"/>
      <c r="FC31" s="128"/>
      <c r="FD31" s="128"/>
      <c r="FE31" s="128"/>
      <c r="FF31" s="128"/>
      <c r="FG31" s="128"/>
      <c r="FH31" s="128"/>
      <c r="FI31" s="128"/>
      <c r="FJ31" s="128"/>
      <c r="FK31" s="128"/>
      <c r="FL31" s="128"/>
      <c r="FM31" s="128"/>
      <c r="FN31" s="128"/>
      <c r="FO31" s="128"/>
      <c r="FP31" s="128"/>
      <c r="FQ31" s="128"/>
      <c r="FR31" s="128"/>
      <c r="FS31" s="128"/>
      <c r="FT31" s="128"/>
      <c r="FU31" s="128"/>
      <c r="FV31" s="128"/>
      <c r="FW31" s="128"/>
      <c r="FX31" s="128"/>
      <c r="FY31" s="128"/>
      <c r="FZ31" s="128"/>
      <c r="GA31" s="128"/>
      <c r="GB31" s="128"/>
      <c r="GC31" s="128"/>
      <c r="GD31" s="128"/>
      <c r="GE31" s="128"/>
      <c r="GF31" s="128"/>
      <c r="GG31" s="128"/>
      <c r="GH31" s="128"/>
      <c r="GI31" s="128"/>
      <c r="GJ31" s="128"/>
      <c r="GK31" s="128"/>
      <c r="GL31" s="128"/>
      <c r="GM31" s="128"/>
      <c r="GN31" s="128"/>
      <c r="GO31" s="128"/>
      <c r="GP31" s="128"/>
      <c r="GQ31" s="128"/>
      <c r="GR31" s="128"/>
      <c r="GS31" s="128"/>
      <c r="GT31" s="128"/>
      <c r="GU31" s="128"/>
      <c r="GV31" s="128"/>
      <c r="GW31" s="128"/>
      <c r="GX31" s="128"/>
      <c r="GY31" s="128"/>
      <c r="GZ31" s="128"/>
      <c r="HA31" s="128"/>
      <c r="HB31" s="128"/>
      <c r="HC31" s="128"/>
      <c r="HD31" s="128"/>
      <c r="HE31" s="128"/>
      <c r="HF31" s="128"/>
      <c r="HG31" s="128"/>
      <c r="HH31" s="128"/>
      <c r="HI31" s="128"/>
      <c r="HJ31" s="128"/>
      <c r="HK31" s="128"/>
      <c r="HL31" s="128"/>
      <c r="HM31" s="128"/>
      <c r="HN31" s="128"/>
      <c r="HO31" s="128"/>
      <c r="HP31" s="128"/>
      <c r="HQ31" s="128"/>
      <c r="HR31" s="128"/>
      <c r="HS31" s="128"/>
      <c r="HT31" s="128"/>
      <c r="HU31" s="128"/>
      <c r="HV31" s="128"/>
      <c r="HW31" s="128"/>
      <c r="HX31" s="128"/>
      <c r="HY31" s="128"/>
      <c r="HZ31" s="128"/>
      <c r="IA31" s="128"/>
      <c r="IB31" s="128"/>
      <c r="IC31" s="128"/>
      <c r="ID31" s="128"/>
      <c r="IE31" s="128"/>
      <c r="IF31" s="128"/>
      <c r="IG31" s="128"/>
      <c r="IH31" s="128"/>
      <c r="II31" s="128"/>
      <c r="IJ31" s="128"/>
      <c r="IK31" s="128"/>
      <c r="IL31" s="128"/>
      <c r="IM31" s="128"/>
      <c r="IN31" s="128"/>
      <c r="IO31" s="128"/>
      <c r="IP31" s="128"/>
      <c r="IQ31" s="128"/>
      <c r="IR31" s="128"/>
      <c r="IS31" s="128"/>
      <c r="IT31" s="128"/>
      <c r="IU31" s="128"/>
      <c r="IV31" s="128"/>
      <c r="IW31" s="128"/>
      <c r="IX31" s="128"/>
      <c r="IY31" s="128"/>
      <c r="IZ31" s="128"/>
      <c r="JA31" s="128"/>
      <c r="JB31" s="128"/>
      <c r="JC31" s="128"/>
      <c r="JD31" s="128"/>
      <c r="JE31" s="128"/>
      <c r="JF31" s="128"/>
      <c r="JG31" s="128"/>
      <c r="JH31" s="128"/>
      <c r="JI31" s="128"/>
      <c r="JJ31" s="128"/>
      <c r="JK31" s="128"/>
      <c r="JL31" s="128"/>
      <c r="JM31" s="128"/>
      <c r="JN31" s="128"/>
      <c r="JO31" s="128"/>
      <c r="JP31" s="128"/>
      <c r="JQ31" s="128"/>
      <c r="JR31" s="128"/>
      <c r="JS31" s="128"/>
      <c r="JT31" s="128"/>
      <c r="JU31" s="128"/>
      <c r="JV31" s="128"/>
      <c r="JW31" s="128"/>
      <c r="JX31" s="128"/>
      <c r="JY31" s="128"/>
      <c r="JZ31" s="128"/>
      <c r="KA31" s="128"/>
      <c r="KB31" s="128"/>
      <c r="KC31" s="128"/>
      <c r="KD31" s="128"/>
      <c r="KE31" s="128"/>
      <c r="KF31" s="128"/>
      <c r="KG31" s="128"/>
      <c r="KH31" s="128"/>
      <c r="KI31" s="128"/>
      <c r="KJ31" s="128"/>
      <c r="KK31" s="128"/>
      <c r="KL31" s="128"/>
      <c r="KM31" s="128"/>
      <c r="KN31" s="128"/>
      <c r="KO31" s="128"/>
      <c r="KP31" s="128"/>
      <c r="KQ31" s="128"/>
      <c r="KR31" s="128"/>
      <c r="KS31" s="128"/>
      <c r="KT31" s="128"/>
      <c r="KU31" s="128"/>
      <c r="KV31" s="128"/>
      <c r="KW31" s="128"/>
      <c r="KX31" s="128"/>
      <c r="KY31" s="128"/>
      <c r="KZ31" s="128"/>
      <c r="LA31" s="128"/>
      <c r="LB31" s="128"/>
      <c r="LC31" s="128"/>
      <c r="LD31" s="128"/>
      <c r="LE31" s="128"/>
      <c r="LF31" s="128"/>
      <c r="LG31" s="128"/>
      <c r="LH31" s="128"/>
      <c r="LI31" s="128"/>
      <c r="LJ31" s="128"/>
      <c r="LK31" s="128"/>
      <c r="LL31" s="128"/>
      <c r="LM31" s="128"/>
      <c r="LN31" s="128"/>
      <c r="LO31" s="128"/>
      <c r="LP31" s="128"/>
      <c r="LQ31" s="128"/>
      <c r="LR31" s="128"/>
      <c r="LS31" s="128"/>
      <c r="LT31" s="128"/>
      <c r="LU31" s="128"/>
      <c r="LV31" s="128"/>
      <c r="LW31" s="128"/>
      <c r="LX31" s="128"/>
      <c r="LY31" s="128"/>
      <c r="LZ31" s="128"/>
      <c r="MA31" s="128"/>
      <c r="MB31" s="128"/>
      <c r="MC31" s="128"/>
      <c r="MD31" s="128"/>
      <c r="ME31" s="128"/>
      <c r="MF31" s="128"/>
      <c r="MG31" s="128"/>
      <c r="MH31" s="128"/>
      <c r="MI31" s="128"/>
      <c r="MJ31" s="128"/>
      <c r="MK31" s="128"/>
      <c r="ML31" s="128"/>
      <c r="MM31" s="128"/>
      <c r="MN31" s="128"/>
      <c r="MO31" s="128"/>
      <c r="MP31" s="128"/>
      <c r="MQ31" s="128"/>
      <c r="MR31" s="128"/>
      <c r="MS31" s="128"/>
      <c r="MT31" s="128"/>
      <c r="MU31" s="128"/>
      <c r="MV31" s="128"/>
      <c r="MW31" s="173"/>
      <c r="MX31" s="128"/>
      <c r="MY31" s="128"/>
      <c r="MZ31" s="128"/>
      <c r="NA31" s="128"/>
      <c r="NB31" s="128"/>
      <c r="NC31" s="128"/>
      <c r="ND31" s="128"/>
      <c r="NE31" s="128"/>
      <c r="NF31" s="128"/>
      <c r="NG31" s="128"/>
      <c r="NH31" s="128"/>
      <c r="NI31" s="128"/>
      <c r="NJ31" s="128"/>
      <c r="NK31" s="128"/>
      <c r="NL31" s="128"/>
      <c r="NM31" s="128"/>
      <c r="NN31" s="128"/>
      <c r="NO31" s="128"/>
      <c r="NP31" s="128"/>
      <c r="NQ31" s="128"/>
      <c r="NR31" s="128"/>
      <c r="NS31" s="128"/>
      <c r="NT31" s="128"/>
      <c r="NU31" s="128"/>
      <c r="NV31" s="128"/>
      <c r="NW31" s="128"/>
      <c r="NX31" s="128"/>
      <c r="NY31" s="128"/>
      <c r="NZ31" s="128"/>
      <c r="OA31" s="128"/>
      <c r="OB31" s="128"/>
      <c r="OC31" s="128"/>
      <c r="OD31" s="128"/>
      <c r="OE31" s="128"/>
      <c r="OF31" s="128"/>
      <c r="OG31" s="128"/>
      <c r="OH31" s="128"/>
      <c r="OI31" s="128"/>
      <c r="OJ31" s="128"/>
      <c r="OK31" s="128"/>
      <c r="OL31" s="128"/>
      <c r="OM31" s="128"/>
      <c r="ON31" s="128"/>
      <c r="OO31" s="128"/>
      <c r="OP31" s="128"/>
      <c r="OQ31" s="128"/>
      <c r="OR31" s="128"/>
      <c r="OS31" s="128"/>
      <c r="OT31" s="128"/>
      <c r="OU31" s="128"/>
      <c r="OV31" s="128"/>
      <c r="OW31" s="128"/>
      <c r="OX31" s="128"/>
      <c r="OY31" s="128"/>
      <c r="OZ31" s="128"/>
      <c r="PA31" s="128"/>
      <c r="PB31" s="128"/>
      <c r="PC31" s="128"/>
      <c r="PD31" s="128"/>
      <c r="PE31" s="128"/>
      <c r="PF31" s="128"/>
      <c r="PG31" s="128"/>
      <c r="PH31" s="128"/>
      <c r="PI31" s="128"/>
      <c r="PJ31" s="128"/>
      <c r="PK31" s="128"/>
      <c r="PL31" s="128"/>
      <c r="PM31" s="128"/>
      <c r="PN31" s="128"/>
      <c r="PO31" s="128"/>
      <c r="PP31" s="128"/>
      <c r="PQ31" s="128"/>
      <c r="PR31" s="128"/>
      <c r="PS31" s="128"/>
      <c r="PT31" s="128"/>
      <c r="PU31" s="128"/>
      <c r="PV31" s="128"/>
      <c r="PW31" s="128"/>
      <c r="PX31" s="128"/>
      <c r="PY31" s="128"/>
      <c r="PZ31" s="128"/>
      <c r="QA31" s="128"/>
      <c r="QB31" s="128"/>
      <c r="QC31" s="128"/>
      <c r="QD31" s="128"/>
      <c r="QE31" s="128"/>
      <c r="QF31" s="128"/>
      <c r="QG31" s="128"/>
      <c r="QH31" s="128"/>
      <c r="QI31" s="128"/>
      <c r="QJ31" s="128"/>
      <c r="QK31" s="128"/>
      <c r="QL31" s="128"/>
      <c r="QM31" s="128"/>
      <c r="QN31" s="128"/>
      <c r="QO31" s="128"/>
      <c r="QP31" s="128"/>
      <c r="QQ31" s="128"/>
      <c r="QR31" s="128"/>
      <c r="QS31" s="128"/>
      <c r="QT31" s="128"/>
      <c r="QU31" s="128"/>
      <c r="QV31" s="128"/>
      <c r="QW31" s="128"/>
      <c r="QX31" s="128"/>
      <c r="QY31" s="128"/>
      <c r="QZ31" s="128"/>
      <c r="RA31" s="128"/>
      <c r="RB31" s="128"/>
      <c r="RC31" s="128"/>
      <c r="RD31" s="128"/>
      <c r="RE31" s="128"/>
      <c r="RF31" s="128"/>
      <c r="RG31" s="128"/>
      <c r="RH31" s="128"/>
      <c r="RI31" s="128"/>
      <c r="RJ31" s="128"/>
      <c r="RK31" s="128"/>
      <c r="RL31" s="128"/>
      <c r="RM31" s="128"/>
      <c r="RN31" s="128"/>
      <c r="RO31" s="128"/>
      <c r="RP31" s="128"/>
      <c r="RQ31" s="128"/>
      <c r="RR31" s="128"/>
      <c r="RS31" s="128"/>
      <c r="RT31" s="128"/>
      <c r="RU31" s="128"/>
      <c r="RV31" s="128"/>
      <c r="RW31" s="128"/>
      <c r="RX31" s="128"/>
      <c r="RY31" s="128"/>
      <c r="RZ31" s="128"/>
      <c r="SA31" s="128"/>
      <c r="SB31" s="128"/>
      <c r="SC31" s="128"/>
      <c r="SD31" s="128"/>
      <c r="SE31" s="128"/>
      <c r="SF31" s="128"/>
      <c r="SG31" s="128"/>
      <c r="SH31" s="128"/>
      <c r="SI31" s="128"/>
      <c r="SJ31" s="127"/>
      <c r="SK31" s="127"/>
      <c r="SL31" s="127"/>
      <c r="SM31" s="127"/>
      <c r="SN31" s="127"/>
      <c r="SO31" s="127"/>
      <c r="SP31" s="127"/>
      <c r="SQ31" s="127"/>
      <c r="SR31" s="127"/>
      <c r="SS31" s="127"/>
      <c r="ST31" s="127"/>
      <c r="SU31" s="127"/>
      <c r="SV31" s="127"/>
      <c r="SW31" s="127"/>
      <c r="SX31" s="127"/>
      <c r="SY31" s="127"/>
      <c r="SZ31" s="127"/>
      <c r="TA31" s="127"/>
      <c r="TB31" s="127"/>
      <c r="TC31" s="127"/>
      <c r="TD31" s="127"/>
      <c r="TE31" s="127"/>
      <c r="TF31" s="127"/>
      <c r="TG31" s="127"/>
      <c r="TH31" s="127"/>
      <c r="TI31" s="127"/>
      <c r="TJ31" s="127"/>
      <c r="TK31" s="127"/>
      <c r="TL31" s="127"/>
      <c r="TM31" s="127"/>
      <c r="TN31" s="127"/>
      <c r="TO31" s="127"/>
      <c r="TP31" s="127"/>
      <c r="TQ31" s="127"/>
      <c r="TR31" s="127"/>
      <c r="TS31" s="127"/>
      <c r="TT31" s="127"/>
      <c r="TU31" s="127"/>
      <c r="TV31" s="127"/>
      <c r="TW31" s="127"/>
      <c r="TX31" s="127"/>
      <c r="TY31" s="127"/>
      <c r="TZ31" s="127"/>
      <c r="UA31" s="127"/>
      <c r="UB31" s="127"/>
      <c r="UC31" s="127"/>
      <c r="UD31" s="127"/>
      <c r="UE31" s="127"/>
      <c r="UF31" s="127"/>
      <c r="UG31" s="127"/>
      <c r="UH31" s="127"/>
      <c r="UI31" s="127"/>
      <c r="UJ31" s="127"/>
      <c r="UK31" s="127"/>
      <c r="UL31" s="127"/>
      <c r="UM31" s="127"/>
      <c r="UN31" s="127"/>
      <c r="UO31" s="127"/>
      <c r="UP31" s="127"/>
      <c r="UQ31" s="127"/>
      <c r="UR31" s="127"/>
      <c r="US31" s="127"/>
      <c r="UT31" s="127"/>
      <c r="UU31" s="127"/>
      <c r="UV31" s="127"/>
      <c r="UW31" s="127"/>
      <c r="UX31" s="127"/>
      <c r="UY31" s="127"/>
      <c r="UZ31" s="127"/>
      <c r="VA31" s="127"/>
      <c r="VB31" s="127"/>
      <c r="VC31" s="127"/>
      <c r="VD31" s="127"/>
      <c r="VE31" s="127"/>
      <c r="VF31" s="127"/>
      <c r="VG31" s="174"/>
      <c r="VH31" s="174"/>
      <c r="VI31" s="174"/>
      <c r="VJ31" s="174"/>
      <c r="VK31" s="174"/>
      <c r="VL31" s="174"/>
      <c r="VM31" s="174"/>
      <c r="VN31" s="174"/>
      <c r="VO31" s="174"/>
      <c r="VP31" s="174"/>
      <c r="VQ31" s="174"/>
      <c r="VR31" s="174"/>
      <c r="VS31" s="174"/>
      <c r="VT31" s="174"/>
      <c r="VU31" s="174"/>
      <c r="VV31" s="174"/>
      <c r="VW31" s="174"/>
      <c r="VX31" s="174"/>
      <c r="VY31" s="174"/>
      <c r="VZ31" s="174"/>
      <c r="WA31" s="174"/>
      <c r="WB31" s="174"/>
      <c r="WC31" s="174"/>
      <c r="WD31" s="174"/>
      <c r="WE31" s="174"/>
      <c r="WF31" s="174"/>
      <c r="WG31" s="174"/>
      <c r="WH31" s="174"/>
      <c r="WI31" s="174"/>
      <c r="WJ31" s="174"/>
      <c r="WK31" s="174"/>
      <c r="WL31" s="174"/>
      <c r="WM31" s="174"/>
      <c r="WN31" s="174"/>
      <c r="WO31" s="174"/>
      <c r="WP31" s="174"/>
      <c r="WQ31" s="174"/>
      <c r="WR31" s="174"/>
      <c r="WS31" s="174"/>
      <c r="WT31" s="174"/>
      <c r="WU31" s="174"/>
      <c r="WV31" s="174"/>
      <c r="WW31" s="174"/>
      <c r="WX31" s="174"/>
      <c r="WY31" s="174"/>
      <c r="WZ31" s="174"/>
      <c r="XA31" s="174"/>
      <c r="XB31" s="174"/>
      <c r="XC31" s="174"/>
      <c r="XD31" s="149"/>
      <c r="XE31" s="149"/>
      <c r="XF31" s="149"/>
      <c r="XG31" s="149"/>
      <c r="XH31" s="149"/>
      <c r="XI31" s="149"/>
      <c r="XJ31" s="149"/>
      <c r="XK31" s="149"/>
      <c r="XL31" s="149"/>
      <c r="XM31" s="149"/>
      <c r="XN31" s="149"/>
      <c r="XO31" s="149"/>
      <c r="XP31" s="149"/>
      <c r="XQ31" s="149"/>
      <c r="XR31" s="149"/>
      <c r="XS31" s="149"/>
      <c r="XT31" s="149"/>
      <c r="XU31" s="149"/>
      <c r="XV31" s="149"/>
      <c r="XW31" s="149"/>
      <c r="XX31" s="149"/>
      <c r="XY31" s="149"/>
      <c r="XZ31" s="149"/>
      <c r="YA31" s="149"/>
      <c r="YB31" s="149"/>
      <c r="YC31" s="150"/>
      <c r="YD31" s="150"/>
      <c r="YE31" s="150"/>
      <c r="YF31" s="150"/>
      <c r="YG31" s="150"/>
      <c r="YH31" s="150"/>
      <c r="YI31" s="150"/>
      <c r="YJ31" s="150"/>
      <c r="YK31" s="150"/>
      <c r="YL31" s="150"/>
      <c r="YM31" s="150"/>
    </row>
    <row r="32" spans="1:663" ht="15.75" customHeight="1" x14ac:dyDescent="0.2">
      <c r="B32" s="8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44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44"/>
      <c r="VA32" s="44"/>
      <c r="VB32" s="30"/>
      <c r="VC32" s="30"/>
      <c r="VD32" s="30"/>
      <c r="VE32" s="30"/>
      <c r="VF32" s="30"/>
      <c r="VG32" s="149"/>
      <c r="VH32" s="149"/>
      <c r="VI32" s="149"/>
      <c r="VJ32" s="149"/>
      <c r="VK32" s="149"/>
      <c r="VL32" s="149"/>
      <c r="VM32" s="149"/>
      <c r="VN32" s="149"/>
      <c r="VO32" s="149"/>
      <c r="VP32" s="149"/>
      <c r="VQ32" s="149"/>
      <c r="VR32" s="149"/>
      <c r="VS32" s="149"/>
      <c r="VT32" s="149"/>
      <c r="VU32" s="149"/>
      <c r="VV32" s="149"/>
      <c r="VW32" s="149"/>
      <c r="VX32" s="149"/>
      <c r="VY32" s="149"/>
      <c r="VZ32" s="149"/>
      <c r="WA32" s="149"/>
      <c r="WB32" s="149"/>
      <c r="WC32" s="149"/>
      <c r="WD32" s="149"/>
      <c r="WE32" s="149"/>
      <c r="WF32" s="149"/>
      <c r="WG32" s="149"/>
      <c r="WH32" s="149"/>
      <c r="WI32" s="149"/>
      <c r="WJ32" s="149"/>
      <c r="WK32" s="149"/>
      <c r="WL32" s="149"/>
      <c r="WM32" s="149"/>
      <c r="WN32" s="149"/>
      <c r="WO32" s="149"/>
      <c r="WP32" s="149"/>
      <c r="WQ32" s="149"/>
      <c r="WR32" s="149"/>
      <c r="WS32" s="149"/>
      <c r="WT32" s="149"/>
      <c r="WU32" s="149"/>
      <c r="WV32" s="149"/>
      <c r="WW32" s="149"/>
      <c r="WX32" s="149"/>
      <c r="WY32" s="149"/>
      <c r="WZ32" s="149"/>
      <c r="XA32" s="149"/>
      <c r="XB32" s="149"/>
      <c r="XC32" s="149"/>
      <c r="XD32" s="149"/>
      <c r="XE32" s="149"/>
      <c r="XF32" s="149"/>
      <c r="XG32" s="149"/>
      <c r="XH32" s="149"/>
      <c r="XI32" s="149"/>
      <c r="XJ32" s="149"/>
      <c r="XK32" s="149"/>
      <c r="XL32" s="149"/>
      <c r="XM32" s="149"/>
      <c r="XN32" s="149"/>
      <c r="XO32" s="149"/>
      <c r="XP32" s="149"/>
      <c r="XQ32" s="149"/>
      <c r="XR32" s="149"/>
      <c r="XS32" s="149"/>
      <c r="XT32" s="149"/>
      <c r="XU32" s="149"/>
      <c r="XV32" s="149"/>
      <c r="XW32" s="149"/>
      <c r="XX32" s="149"/>
      <c r="XY32" s="149"/>
      <c r="XZ32" s="149"/>
      <c r="YA32" s="149"/>
      <c r="YB32" s="149"/>
      <c r="YC32" s="150"/>
      <c r="YD32" s="150"/>
      <c r="YE32" s="150"/>
      <c r="YF32" s="150"/>
      <c r="YG32" s="150"/>
      <c r="YH32" s="150"/>
      <c r="YI32" s="150"/>
      <c r="YJ32" s="150"/>
      <c r="YK32" s="150"/>
      <c r="YL32" s="150"/>
      <c r="YM32" s="150"/>
    </row>
    <row r="33" spans="1:663" ht="15.75" customHeight="1" x14ac:dyDescent="0.2">
      <c r="B33" s="63" t="s">
        <v>169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0"/>
      <c r="MI33" s="30"/>
      <c r="MJ33" s="30"/>
      <c r="MK33" s="30"/>
      <c r="ML33" s="30"/>
      <c r="MM33" s="30"/>
      <c r="MN33" s="30"/>
      <c r="MO33" s="30"/>
      <c r="MP33" s="30"/>
      <c r="MQ33" s="30"/>
      <c r="MR33" s="30"/>
      <c r="MS33" s="30"/>
      <c r="MT33" s="30"/>
      <c r="MV33" s="30"/>
      <c r="MW33" s="30"/>
      <c r="MX33" s="30"/>
      <c r="MY33" s="30"/>
      <c r="MZ33" s="30"/>
      <c r="NA33" s="30"/>
      <c r="NB33" s="30"/>
      <c r="NC33" s="30"/>
      <c r="ND33" s="30"/>
      <c r="NE33" s="30"/>
      <c r="NF33" s="30"/>
      <c r="NG33" s="30"/>
      <c r="NH33" s="30"/>
      <c r="NI33" s="30"/>
      <c r="NJ33" s="30"/>
      <c r="NK33" s="30"/>
      <c r="NL33" s="30"/>
      <c r="NM33" s="30"/>
      <c r="NN33" s="30"/>
      <c r="NO33" s="30"/>
      <c r="NP33" s="30"/>
      <c r="NQ33" s="30"/>
      <c r="NR33" s="30"/>
      <c r="NS33" s="30"/>
      <c r="NT33" s="30"/>
      <c r="NU33" s="30"/>
      <c r="NV33" s="30"/>
      <c r="NW33" s="30"/>
      <c r="NX33" s="30"/>
      <c r="NY33" s="30"/>
      <c r="NZ33" s="30"/>
      <c r="OA33" s="30"/>
      <c r="OB33" s="30"/>
      <c r="OC33" s="30"/>
      <c r="OD33" s="30"/>
      <c r="OE33" s="30"/>
      <c r="OF33" s="30"/>
      <c r="OG33" s="30"/>
      <c r="OH33" s="30"/>
      <c r="OI33" s="30"/>
      <c r="OJ33" s="30"/>
      <c r="OK33" s="30"/>
      <c r="OL33" s="30"/>
      <c r="OM33" s="30"/>
      <c r="ON33" s="30"/>
      <c r="OO33" s="30"/>
      <c r="OP33" s="30"/>
      <c r="OQ33" s="30"/>
      <c r="OR33" s="30"/>
      <c r="OS33" s="30"/>
      <c r="OT33" s="30"/>
      <c r="OU33" s="30"/>
      <c r="OV33" s="30"/>
      <c r="OW33" s="30"/>
      <c r="OX33" s="30"/>
      <c r="OY33" s="30"/>
      <c r="OZ33" s="30"/>
      <c r="PA33" s="30"/>
      <c r="PB33" s="30"/>
      <c r="PC33" s="30"/>
      <c r="PD33" s="30"/>
      <c r="PE33" s="30"/>
      <c r="PF33" s="30"/>
      <c r="PG33" s="30"/>
      <c r="PH33" s="30"/>
      <c r="PI33" s="30"/>
      <c r="PJ33" s="30"/>
      <c r="PK33" s="30"/>
      <c r="PL33" s="30"/>
      <c r="PM33" s="30"/>
      <c r="PN33" s="30"/>
      <c r="PO33" s="30"/>
      <c r="PP33" s="30"/>
      <c r="PQ33" s="30"/>
      <c r="PR33" s="30"/>
      <c r="PS33" s="30"/>
      <c r="PT33" s="30"/>
      <c r="PU33" s="30"/>
      <c r="PV33" s="30"/>
      <c r="PW33" s="30"/>
      <c r="PX33" s="30"/>
      <c r="PY33" s="30"/>
      <c r="PZ33" s="30"/>
      <c r="QA33" s="30"/>
      <c r="QB33" s="30"/>
      <c r="QC33" s="30"/>
      <c r="QD33" s="30"/>
      <c r="QE33" s="30"/>
      <c r="QF33" s="30"/>
      <c r="QG33" s="30"/>
      <c r="QH33" s="30"/>
      <c r="QI33" s="30"/>
      <c r="QJ33" s="30"/>
      <c r="QK33" s="30"/>
      <c r="QL33" s="30"/>
      <c r="QM33" s="30"/>
      <c r="QN33" s="30"/>
      <c r="QO33" s="30"/>
      <c r="QP33" s="30"/>
      <c r="QQ33" s="30"/>
      <c r="QR33" s="30"/>
      <c r="QS33" s="30"/>
      <c r="QT33" s="30"/>
      <c r="QU33" s="30"/>
      <c r="QV33" s="30"/>
      <c r="QW33" s="30"/>
      <c r="QX33" s="30"/>
      <c r="QY33" s="30"/>
      <c r="QZ33" s="30"/>
      <c r="RA33" s="30"/>
      <c r="RB33" s="30"/>
      <c r="RC33" s="30"/>
      <c r="RD33" s="30"/>
      <c r="RE33" s="30"/>
      <c r="RF33" s="30"/>
      <c r="RG33" s="30"/>
      <c r="RH33" s="30"/>
      <c r="RI33" s="30"/>
      <c r="RJ33" s="30"/>
      <c r="RK33" s="30"/>
      <c r="RL33" s="30"/>
      <c r="RM33" s="30"/>
      <c r="RN33" s="30"/>
      <c r="RO33" s="30"/>
      <c r="RP33" s="30"/>
      <c r="RQ33" s="30"/>
      <c r="RR33" s="30"/>
      <c r="RS33" s="30"/>
      <c r="RT33" s="30"/>
      <c r="RU33" s="30"/>
      <c r="RV33" s="30"/>
      <c r="RW33" s="30"/>
      <c r="RX33" s="30"/>
      <c r="RY33" s="30"/>
      <c r="RZ33" s="30"/>
      <c r="SA33" s="30"/>
      <c r="SB33" s="30"/>
      <c r="SC33" s="30"/>
      <c r="SD33" s="30"/>
      <c r="SE33" s="30"/>
      <c r="SF33" s="30"/>
      <c r="SG33" s="30"/>
      <c r="SH33" s="30"/>
      <c r="SI33" s="30"/>
      <c r="SJ33" s="30"/>
      <c r="SK33" s="30"/>
      <c r="SL33" s="30"/>
      <c r="SM33" s="30"/>
      <c r="SN33" s="30"/>
      <c r="SO33" s="30"/>
      <c r="SP33" s="30"/>
      <c r="SQ33" s="30"/>
      <c r="SR33" s="30"/>
      <c r="SS33" s="30"/>
      <c r="ST33" s="30"/>
      <c r="SU33" s="30"/>
      <c r="SV33" s="30"/>
      <c r="SW33" s="30"/>
      <c r="SX33" s="30"/>
      <c r="SY33" s="30"/>
      <c r="SZ33" s="30"/>
      <c r="TA33" s="30"/>
      <c r="TB33" s="30"/>
      <c r="TC33" s="30"/>
      <c r="TD33" s="30"/>
      <c r="TE33" s="30"/>
      <c r="TF33" s="30"/>
      <c r="TG33" s="30"/>
      <c r="TH33" s="30"/>
      <c r="TI33" s="30"/>
      <c r="TJ33" s="30"/>
      <c r="TK33" s="30"/>
      <c r="TL33" s="30"/>
      <c r="TM33" s="30"/>
      <c r="TN33" s="30"/>
      <c r="TO33" s="30"/>
      <c r="TP33" s="30"/>
      <c r="TQ33" s="30"/>
      <c r="TR33" s="30"/>
      <c r="TS33" s="30"/>
      <c r="TT33" s="30"/>
      <c r="TU33" s="30"/>
      <c r="TV33" s="30"/>
      <c r="TW33" s="30"/>
      <c r="TX33" s="30"/>
      <c r="TY33" s="30"/>
      <c r="TZ33" s="30"/>
      <c r="UA33" s="30"/>
      <c r="UB33" s="30"/>
      <c r="UC33" s="30"/>
      <c r="UD33" s="30"/>
      <c r="UE33" s="30"/>
      <c r="UF33" s="30"/>
      <c r="UG33" s="30"/>
      <c r="UH33" s="30"/>
      <c r="UI33" s="30"/>
      <c r="UJ33" s="30"/>
      <c r="UK33" s="30"/>
      <c r="UL33" s="30"/>
      <c r="UM33" s="30"/>
      <c r="UN33" s="30"/>
      <c r="UO33" s="30"/>
      <c r="UP33" s="30"/>
      <c r="UQ33" s="30"/>
      <c r="UR33" s="30"/>
      <c r="US33" s="30"/>
      <c r="UT33" s="30"/>
      <c r="UU33" s="30"/>
      <c r="UV33" s="30"/>
      <c r="UW33" s="30"/>
      <c r="UX33" s="30"/>
      <c r="UY33" s="30"/>
      <c r="UZ33" s="30"/>
      <c r="VA33" s="175"/>
      <c r="VC33" s="30"/>
      <c r="VD33" s="30"/>
      <c r="VE33" s="30"/>
      <c r="VF33" s="30"/>
      <c r="VG33" s="149"/>
      <c r="VH33" s="149"/>
      <c r="VI33" s="149"/>
      <c r="VJ33" s="149"/>
      <c r="VK33" s="149"/>
      <c r="VL33" s="149"/>
      <c r="VM33" s="149"/>
      <c r="VN33" s="149"/>
      <c r="VO33" s="149"/>
      <c r="VP33" s="149"/>
      <c r="VQ33" s="149"/>
      <c r="VR33" s="149"/>
      <c r="VS33" s="149"/>
      <c r="VT33" s="149"/>
      <c r="VU33" s="149"/>
      <c r="VV33" s="149"/>
      <c r="VW33" s="149"/>
      <c r="VX33" s="149"/>
      <c r="VY33" s="149"/>
      <c r="VZ33" s="149"/>
      <c r="WA33" s="149"/>
      <c r="WB33" s="149"/>
      <c r="WC33" s="149"/>
      <c r="WD33" s="149"/>
      <c r="WE33" s="149"/>
      <c r="WF33" s="149"/>
      <c r="WG33" s="149"/>
      <c r="WH33" s="149"/>
      <c r="WI33" s="149"/>
      <c r="WJ33" s="149"/>
      <c r="WK33" s="149"/>
      <c r="WL33" s="149"/>
      <c r="WM33" s="149"/>
      <c r="WN33" s="149"/>
      <c r="WO33" s="149"/>
      <c r="WP33" s="149"/>
      <c r="WQ33" s="149"/>
      <c r="WR33" s="149"/>
      <c r="WS33" s="149"/>
      <c r="WT33" s="149"/>
      <c r="WU33" s="149"/>
      <c r="WV33" s="149"/>
      <c r="WW33" s="149"/>
      <c r="WX33" s="149"/>
      <c r="WY33" s="149"/>
      <c r="WZ33" s="149"/>
      <c r="XA33" s="149"/>
      <c r="XB33" s="149"/>
      <c r="XC33" s="149"/>
      <c r="XD33" s="149"/>
      <c r="XE33" s="149"/>
      <c r="XF33" s="149"/>
      <c r="XG33" s="149"/>
      <c r="XH33" s="149"/>
      <c r="XI33" s="149"/>
      <c r="XJ33" s="149"/>
      <c r="XK33" s="149"/>
      <c r="XL33" s="149"/>
      <c r="XM33" s="149"/>
      <c r="XN33" s="149"/>
      <c r="XO33" s="149"/>
      <c r="XP33" s="149"/>
      <c r="XQ33" s="149"/>
      <c r="XR33" s="149"/>
      <c r="XS33" s="149"/>
      <c r="XT33" s="149"/>
      <c r="XU33" s="149"/>
      <c r="XV33" s="149"/>
      <c r="XW33" s="149"/>
      <c r="XX33" s="149"/>
      <c r="XY33" s="149"/>
      <c r="XZ33" s="149"/>
      <c r="YA33" s="149"/>
      <c r="YB33" s="149"/>
      <c r="YC33" s="150"/>
      <c r="YD33" s="150"/>
      <c r="YE33" s="150"/>
      <c r="YF33" s="150"/>
      <c r="YG33" s="150"/>
      <c r="YH33" s="150"/>
      <c r="YI33" s="150"/>
      <c r="YJ33" s="150"/>
      <c r="YK33" s="150"/>
      <c r="YL33" s="150"/>
      <c r="YM33" s="150"/>
    </row>
    <row r="34" spans="1:663" ht="15" customHeight="1" x14ac:dyDescent="0.2">
      <c r="B34" s="80" t="s">
        <v>170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0"/>
      <c r="MI34" s="30"/>
      <c r="MJ34" s="30"/>
      <c r="MK34" s="30"/>
      <c r="ML34" s="30"/>
      <c r="MM34" s="30"/>
      <c r="MN34" s="30"/>
      <c r="MO34" s="30"/>
      <c r="MP34" s="30"/>
      <c r="MQ34" s="30"/>
      <c r="MR34" s="30"/>
      <c r="MS34" s="30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0"/>
      <c r="NO34" s="30"/>
      <c r="NP34" s="30"/>
      <c r="NQ34" s="30"/>
      <c r="NR34" s="30"/>
      <c r="NS34" s="30"/>
      <c r="NT34" s="30"/>
      <c r="NU34" s="30"/>
      <c r="NV34" s="30"/>
      <c r="NW34" s="30"/>
      <c r="NX34" s="30"/>
      <c r="NY34" s="30"/>
      <c r="NZ34" s="30"/>
      <c r="OA34" s="30"/>
      <c r="OB34" s="30"/>
      <c r="OC34" s="30"/>
      <c r="OD34" s="30"/>
      <c r="OE34" s="30"/>
      <c r="OF34" s="30"/>
      <c r="OG34" s="30"/>
      <c r="OH34" s="30"/>
      <c r="OI34" s="30"/>
      <c r="OJ34" s="30"/>
      <c r="OK34" s="30"/>
      <c r="OL34" s="30"/>
      <c r="OM34" s="30"/>
      <c r="ON34" s="30"/>
      <c r="OO34" s="30"/>
      <c r="OP34" s="30"/>
      <c r="OQ34" s="30"/>
      <c r="OR34" s="30"/>
      <c r="OS34" s="30"/>
      <c r="OT34" s="44">
        <v>1068311.23</v>
      </c>
      <c r="OU34" s="44">
        <v>457759.97000000003</v>
      </c>
      <c r="OV34" s="44">
        <v>339322.13</v>
      </c>
      <c r="OW34" s="44">
        <v>213326.29</v>
      </c>
      <c r="OX34" s="44">
        <v>335975.56000000006</v>
      </c>
      <c r="OY34" s="44">
        <v>269388.80000000005</v>
      </c>
      <c r="OZ34" s="44">
        <v>367339.62</v>
      </c>
      <c r="PA34" s="44">
        <v>266494.5</v>
      </c>
      <c r="PB34" s="44">
        <v>338282.62</v>
      </c>
      <c r="PC34" s="44">
        <v>147724.89000000001</v>
      </c>
      <c r="PD34" s="44">
        <v>403294.95999999996</v>
      </c>
      <c r="PE34" s="44">
        <v>281981.55</v>
      </c>
      <c r="PF34" s="44">
        <v>394547.06</v>
      </c>
      <c r="PG34" s="44">
        <v>156755.89999999997</v>
      </c>
      <c r="PH34" s="44">
        <v>637458.22</v>
      </c>
      <c r="PI34" s="44">
        <v>258335.49999999994</v>
      </c>
      <c r="PJ34" s="44">
        <v>152024.53000000003</v>
      </c>
      <c r="PK34" s="44">
        <v>170037.94</v>
      </c>
      <c r="PL34" s="44">
        <v>221288.28</v>
      </c>
      <c r="PM34" s="44">
        <v>577505.11</v>
      </c>
      <c r="PN34" s="44">
        <v>321025.19</v>
      </c>
      <c r="PO34" s="44">
        <v>302276.83999999997</v>
      </c>
      <c r="PP34" s="44">
        <v>19059</v>
      </c>
      <c r="PQ34" s="44">
        <v>225418.61</v>
      </c>
      <c r="PR34" s="44">
        <v>222040.19999999995</v>
      </c>
      <c r="PS34" s="44">
        <v>254192.4</v>
      </c>
      <c r="PT34" s="44">
        <v>327932.92999999993</v>
      </c>
      <c r="PU34" s="44">
        <v>425872.60000000003</v>
      </c>
      <c r="PV34" s="44">
        <v>534035.41999999993</v>
      </c>
      <c r="PW34" s="44">
        <v>151498.82999999999</v>
      </c>
      <c r="PX34" s="44">
        <v>82565.790000000008</v>
      </c>
      <c r="PY34" s="44">
        <v>210652.08000000002</v>
      </c>
      <c r="PZ34" s="44">
        <v>140721.78000000003</v>
      </c>
      <c r="QA34" s="44">
        <v>361329.58</v>
      </c>
      <c r="QB34" s="44">
        <v>228391.34</v>
      </c>
      <c r="QC34" s="44">
        <v>396651.94999999995</v>
      </c>
      <c r="QD34" s="44">
        <v>64995.649999999994</v>
      </c>
      <c r="QE34" s="44">
        <v>252718.94999999998</v>
      </c>
      <c r="QF34" s="44">
        <v>247552.48</v>
      </c>
      <c r="QG34" s="44">
        <v>244191.98</v>
      </c>
      <c r="QH34" s="44">
        <v>336743.38000000006</v>
      </c>
      <c r="QI34" s="44">
        <v>510567.01999999996</v>
      </c>
      <c r="QJ34" s="44">
        <v>446316.3000000001</v>
      </c>
      <c r="QK34" s="44">
        <v>425020.64999999997</v>
      </c>
      <c r="QL34" s="44">
        <v>198354.84</v>
      </c>
      <c r="QM34" s="44">
        <v>409427.27</v>
      </c>
      <c r="QN34" s="44">
        <v>543179.64</v>
      </c>
      <c r="QO34" s="44">
        <v>563275.02</v>
      </c>
      <c r="QP34" s="44">
        <v>149519.96</v>
      </c>
      <c r="QQ34" s="44">
        <v>146397.18000000002</v>
      </c>
      <c r="QR34" s="44">
        <v>129807.43000000001</v>
      </c>
      <c r="QS34" s="44">
        <v>318157.57</v>
      </c>
      <c r="QT34" s="44">
        <v>315122.84000000003</v>
      </c>
      <c r="QU34" s="44">
        <v>347369.39</v>
      </c>
      <c r="QV34" s="44">
        <v>402624.42000000004</v>
      </c>
      <c r="QW34" s="44">
        <v>404753.83000000007</v>
      </c>
      <c r="QX34" s="44">
        <v>392592.42999999993</v>
      </c>
      <c r="QY34" s="44">
        <v>320679.76</v>
      </c>
      <c r="QZ34" s="44">
        <v>172808.35</v>
      </c>
      <c r="RA34" s="44">
        <v>311472.73</v>
      </c>
      <c r="RB34" s="44">
        <v>261618.93000000002</v>
      </c>
      <c r="RC34" s="44">
        <v>372146.09999999992</v>
      </c>
      <c r="RD34" s="44">
        <v>250474.56000000003</v>
      </c>
      <c r="RE34" s="44">
        <v>286004.56</v>
      </c>
      <c r="RF34" s="44">
        <v>262663.97999999992</v>
      </c>
      <c r="RG34" s="44">
        <v>466377.24000000005</v>
      </c>
      <c r="RH34" s="44">
        <v>181222.8</v>
      </c>
      <c r="RI34" s="44">
        <v>239738.77999999997</v>
      </c>
      <c r="RJ34" s="44">
        <v>451024.11</v>
      </c>
      <c r="RK34" s="44">
        <v>384774.11999999994</v>
      </c>
      <c r="RL34" s="44">
        <v>373236.58999999997</v>
      </c>
      <c r="RM34" s="44">
        <v>398672.9</v>
      </c>
      <c r="RN34" s="44">
        <v>218570.04000000004</v>
      </c>
      <c r="RO34" s="44">
        <v>232537.5</v>
      </c>
      <c r="RP34" s="44">
        <v>410680.06</v>
      </c>
      <c r="RQ34" s="44">
        <v>939267.32999999984</v>
      </c>
      <c r="RR34" s="44">
        <v>227967.94</v>
      </c>
      <c r="RS34" s="44">
        <v>483017.76999999996</v>
      </c>
      <c r="RT34" s="44">
        <v>152620.90999999997</v>
      </c>
      <c r="RU34" s="44">
        <v>323175.24999999994</v>
      </c>
      <c r="RV34" s="44">
        <v>187116.47999999998</v>
      </c>
      <c r="RW34" s="44">
        <v>291324.57999999996</v>
      </c>
      <c r="RX34" s="44">
        <v>304844</v>
      </c>
      <c r="RY34" s="44">
        <v>212340.31</v>
      </c>
      <c r="RZ34" s="44">
        <v>234906.58</v>
      </c>
      <c r="SA34" s="44">
        <v>423390.56000000006</v>
      </c>
      <c r="SB34" s="44">
        <v>144176.51</v>
      </c>
      <c r="SC34" s="44">
        <v>244661.20999999996</v>
      </c>
      <c r="SD34" s="44">
        <v>199848.87</v>
      </c>
      <c r="SE34" s="44">
        <v>488395.52000000008</v>
      </c>
      <c r="SF34" s="44">
        <v>343157.12</v>
      </c>
      <c r="SG34" s="44">
        <v>387134.68</v>
      </c>
      <c r="SH34" s="44">
        <v>185531.59</v>
      </c>
      <c r="SI34" s="44">
        <v>192861.18000000002</v>
      </c>
      <c r="SJ34" s="44">
        <v>275567.35000000003</v>
      </c>
      <c r="SK34" s="44">
        <v>417554.03</v>
      </c>
      <c r="SL34" s="44">
        <v>330660.38999999996</v>
      </c>
      <c r="SM34" s="44">
        <v>243643.18000000002</v>
      </c>
      <c r="SN34" s="44">
        <v>306838.03000000003</v>
      </c>
      <c r="SO34" s="44">
        <v>226200.00999999998</v>
      </c>
      <c r="SP34" s="44">
        <v>262106.06</v>
      </c>
      <c r="SQ34" s="44">
        <v>276881.84000000003</v>
      </c>
      <c r="SR34" s="44">
        <v>380265.9</v>
      </c>
      <c r="SS34" s="44">
        <v>477623.13999999996</v>
      </c>
      <c r="ST34" s="44">
        <v>430274.76999999996</v>
      </c>
      <c r="SU34" s="44">
        <v>619123.66</v>
      </c>
      <c r="SV34" s="44">
        <v>903267.63000000012</v>
      </c>
      <c r="SW34" s="44">
        <v>411154.66999999993</v>
      </c>
      <c r="SX34" s="44">
        <v>479297.02999999991</v>
      </c>
      <c r="SY34" s="44">
        <v>199943.32</v>
      </c>
      <c r="SZ34" s="44">
        <v>247159.04000000001</v>
      </c>
      <c r="TA34" s="44">
        <v>428254.36000000004</v>
      </c>
      <c r="TB34" s="44">
        <v>254459.35</v>
      </c>
      <c r="TC34" s="44">
        <v>284870.52</v>
      </c>
      <c r="TD34" s="44">
        <v>237843.24000000002</v>
      </c>
      <c r="TE34" s="44">
        <v>175654.40000000002</v>
      </c>
      <c r="TF34" s="44">
        <v>584277.72</v>
      </c>
      <c r="TG34" s="44">
        <v>368415.27</v>
      </c>
      <c r="TH34" s="115">
        <v>659572.77999999991</v>
      </c>
      <c r="TI34" s="115">
        <v>425384.97999999992</v>
      </c>
      <c r="TJ34" s="115">
        <v>448205.25</v>
      </c>
      <c r="TK34" s="115">
        <v>323263.04000000004</v>
      </c>
      <c r="TL34" s="115">
        <v>438876.07999999996</v>
      </c>
      <c r="TM34" s="115">
        <v>221242.08</v>
      </c>
      <c r="TN34" s="115">
        <v>184680.62999999998</v>
      </c>
      <c r="TO34" s="115">
        <v>367653.17999999993</v>
      </c>
      <c r="TP34" s="115">
        <v>325373.67000000004</v>
      </c>
      <c r="TQ34" s="115">
        <v>228816.44000000003</v>
      </c>
      <c r="TR34" s="115">
        <v>261589.84</v>
      </c>
      <c r="TS34" s="115">
        <v>308997.08000000007</v>
      </c>
      <c r="TT34" s="115">
        <v>327839</v>
      </c>
      <c r="TU34" s="115">
        <v>347535.75000000006</v>
      </c>
      <c r="TV34" s="115">
        <v>297835.99</v>
      </c>
      <c r="TW34" s="115">
        <v>600823.79999999981</v>
      </c>
      <c r="TX34" s="115">
        <v>413275.74999999994</v>
      </c>
      <c r="TY34" s="115">
        <v>225506.69</v>
      </c>
      <c r="TZ34" s="115">
        <v>622298.32999999984</v>
      </c>
      <c r="UA34" s="115">
        <v>254825.15</v>
      </c>
      <c r="UB34" s="115">
        <v>759960.47999999986</v>
      </c>
      <c r="UC34" s="115">
        <v>164358.82</v>
      </c>
      <c r="UD34" s="115">
        <v>428274.40999999992</v>
      </c>
      <c r="UE34" s="115">
        <v>201436.87</v>
      </c>
      <c r="UF34" s="115">
        <v>196977.68999999997</v>
      </c>
      <c r="UG34" s="115">
        <v>170007.47000000003</v>
      </c>
      <c r="UH34" s="115">
        <v>291863.5</v>
      </c>
      <c r="UI34" s="115">
        <v>341907.42000000004</v>
      </c>
      <c r="UJ34" s="115">
        <v>278338.41000000003</v>
      </c>
      <c r="UK34" s="115">
        <v>375486.36999999994</v>
      </c>
      <c r="UL34" s="115">
        <v>267055.64</v>
      </c>
      <c r="UM34" s="115">
        <v>347620.40000000008</v>
      </c>
      <c r="UN34" s="115">
        <v>426453.75</v>
      </c>
      <c r="UO34" s="115">
        <v>330798.14</v>
      </c>
      <c r="UP34" s="115">
        <v>328320.98000000004</v>
      </c>
      <c r="UQ34" s="115">
        <v>139072.93</v>
      </c>
      <c r="UR34" s="115">
        <v>149407.39000000001</v>
      </c>
      <c r="US34" s="115">
        <v>129089.7</v>
      </c>
      <c r="UT34" s="115">
        <v>312351.82999999996</v>
      </c>
      <c r="UU34" s="115">
        <v>140471.18</v>
      </c>
      <c r="UV34" s="115">
        <v>175487.59999999998</v>
      </c>
      <c r="UW34" s="115">
        <v>227834.21</v>
      </c>
      <c r="UX34" s="115">
        <v>321911.13</v>
      </c>
      <c r="UY34" s="115">
        <v>240587.45</v>
      </c>
      <c r="UZ34" s="115">
        <v>261928.88</v>
      </c>
      <c r="VA34" s="115">
        <v>257896.41999999998</v>
      </c>
      <c r="VB34" s="115">
        <v>345325.08</v>
      </c>
      <c r="VC34" s="115">
        <v>234024.81</v>
      </c>
      <c r="VD34" s="115">
        <v>396171.82</v>
      </c>
      <c r="VE34" s="115">
        <v>603202.92999999982</v>
      </c>
      <c r="VF34" s="115">
        <v>603202.92999999982</v>
      </c>
      <c r="VG34" s="115">
        <v>560868.18000000005</v>
      </c>
      <c r="VH34" s="115">
        <v>429003.96</v>
      </c>
      <c r="VI34" s="115">
        <v>172395.04</v>
      </c>
      <c r="VJ34" s="115">
        <v>384809.77</v>
      </c>
      <c r="VK34" s="115">
        <v>178356</v>
      </c>
      <c r="VL34" s="115">
        <v>174293.47</v>
      </c>
      <c r="VM34" s="115">
        <v>238884.36</v>
      </c>
      <c r="VN34" s="115">
        <v>154795.37</v>
      </c>
      <c r="VO34" s="115">
        <v>264944.49</v>
      </c>
      <c r="VP34" s="115">
        <v>119958.37</v>
      </c>
      <c r="VQ34" s="115">
        <v>349622.92</v>
      </c>
      <c r="VR34" s="115">
        <v>303816.94</v>
      </c>
      <c r="VS34" s="115">
        <v>376056.84</v>
      </c>
      <c r="VT34" s="115">
        <v>549440.46</v>
      </c>
      <c r="VU34" s="115">
        <v>249722.39</v>
      </c>
      <c r="VV34" s="115">
        <v>456573.25</v>
      </c>
      <c r="VW34" s="115">
        <v>160374.41</v>
      </c>
      <c r="VX34" s="115">
        <v>257516.43</v>
      </c>
      <c r="VY34" s="115">
        <v>165347.24</v>
      </c>
      <c r="VZ34" s="115">
        <v>363636.98</v>
      </c>
      <c r="WA34" s="115">
        <v>194973.86</v>
      </c>
      <c r="WB34" s="115">
        <v>422176.05</v>
      </c>
      <c r="WC34" s="115">
        <v>162929.24</v>
      </c>
      <c r="WD34" s="115">
        <v>138987.45000000001</v>
      </c>
      <c r="WE34" s="115">
        <v>241066.79</v>
      </c>
      <c r="WF34" s="115">
        <v>442540.51</v>
      </c>
      <c r="WG34" s="115">
        <v>426252.13</v>
      </c>
      <c r="WH34" s="115">
        <v>533935.99</v>
      </c>
      <c r="WI34" s="115">
        <v>354161.01</v>
      </c>
      <c r="WJ34" s="115">
        <v>601420.19999999995</v>
      </c>
      <c r="WK34" s="115">
        <v>607743.14</v>
      </c>
      <c r="WL34" s="115">
        <v>536752.75</v>
      </c>
      <c r="WM34" s="115">
        <v>984710.06</v>
      </c>
      <c r="WN34" s="115">
        <v>256956.44</v>
      </c>
      <c r="WO34" s="115">
        <v>261991.35</v>
      </c>
      <c r="WP34" s="115">
        <v>383828.92</v>
      </c>
      <c r="WQ34" s="115">
        <v>215443.41</v>
      </c>
      <c r="WR34" s="115">
        <v>433803.79</v>
      </c>
      <c r="WS34" s="115">
        <v>248031.75</v>
      </c>
      <c r="WT34" s="115">
        <v>426080.85</v>
      </c>
      <c r="WU34" s="115">
        <v>467194.51</v>
      </c>
      <c r="WV34" s="115">
        <v>328887.15999999997</v>
      </c>
      <c r="WW34" s="115">
        <v>462143.57</v>
      </c>
      <c r="WX34" s="115">
        <v>529195.65</v>
      </c>
      <c r="WY34" s="115">
        <v>386524.47</v>
      </c>
      <c r="WZ34" s="115">
        <v>455909.19</v>
      </c>
      <c r="XA34" s="115">
        <v>487747.5</v>
      </c>
      <c r="XB34" s="115">
        <v>369144.38</v>
      </c>
      <c r="XC34" s="115">
        <v>341706.62</v>
      </c>
      <c r="XD34" s="115">
        <v>567730.44999999995</v>
      </c>
      <c r="XE34" s="115">
        <v>338786.13</v>
      </c>
      <c r="XF34" s="115">
        <v>134774.79</v>
      </c>
      <c r="XG34" s="115">
        <v>207830.56</v>
      </c>
      <c r="XH34" s="115">
        <v>294738.36</v>
      </c>
      <c r="XI34" s="115">
        <v>482312.42</v>
      </c>
      <c r="XJ34" s="115">
        <v>421903.21</v>
      </c>
      <c r="XK34" s="115">
        <v>631523.46</v>
      </c>
      <c r="XL34" s="115">
        <v>493076.81</v>
      </c>
      <c r="XM34" s="115">
        <v>393845.5</v>
      </c>
      <c r="XN34" s="115">
        <v>307673.27</v>
      </c>
      <c r="XO34" s="115">
        <v>832589.15</v>
      </c>
      <c r="XP34" s="115">
        <v>861931.67</v>
      </c>
      <c r="XQ34" s="115">
        <v>1081610.42</v>
      </c>
      <c r="XR34" s="115">
        <v>187419.07</v>
      </c>
      <c r="XS34" s="115">
        <v>382661.91</v>
      </c>
      <c r="XT34" s="115">
        <v>248561.47</v>
      </c>
      <c r="XU34" s="115">
        <v>347883.19</v>
      </c>
      <c r="XV34" s="115">
        <v>457562.76</v>
      </c>
      <c r="XW34" s="115">
        <v>732418.07</v>
      </c>
      <c r="XX34" s="115">
        <v>411477.58</v>
      </c>
      <c r="XY34" s="115">
        <v>400113.65</v>
      </c>
      <c r="XZ34" s="115">
        <v>415562.43</v>
      </c>
      <c r="YA34" s="115">
        <v>254557.07</v>
      </c>
      <c r="YB34" s="115">
        <v>560287.84</v>
      </c>
      <c r="YC34" s="165">
        <v>953608</v>
      </c>
      <c r="YD34" s="165">
        <v>659844.86</v>
      </c>
      <c r="YE34" s="165">
        <v>821526.17</v>
      </c>
      <c r="YF34" s="165">
        <v>306077.01</v>
      </c>
      <c r="YG34" s="165">
        <v>282789.19</v>
      </c>
      <c r="YH34" s="165">
        <v>228801.98</v>
      </c>
      <c r="YI34" s="165">
        <v>544810.02</v>
      </c>
      <c r="YJ34" s="165">
        <v>514253.89</v>
      </c>
      <c r="YK34" s="165">
        <v>510173.74</v>
      </c>
      <c r="YL34" s="165">
        <v>350220.87</v>
      </c>
      <c r="YM34" s="165">
        <v>390536.62</v>
      </c>
    </row>
    <row r="35" spans="1:663" ht="15.75" customHeight="1" x14ac:dyDescent="0.2">
      <c r="A35" s="7"/>
      <c r="B35" s="30" t="s">
        <v>164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  <c r="HU35" s="64"/>
      <c r="HV35" s="64"/>
      <c r="HW35" s="64"/>
      <c r="HX35" s="64"/>
      <c r="HY35" s="64"/>
      <c r="HZ35" s="64"/>
      <c r="IA35" s="64"/>
      <c r="IB35" s="64"/>
      <c r="IC35" s="64"/>
      <c r="ID35" s="64"/>
      <c r="IE35" s="64"/>
      <c r="IF35" s="64"/>
      <c r="IG35" s="64"/>
      <c r="IH35" s="64"/>
      <c r="II35" s="64"/>
      <c r="IJ35" s="64"/>
      <c r="IK35" s="64"/>
      <c r="IL35" s="64"/>
      <c r="IM35" s="64"/>
      <c r="IN35" s="64"/>
      <c r="IO35" s="64"/>
      <c r="IP35" s="64"/>
      <c r="IQ35" s="64"/>
      <c r="IR35" s="64"/>
      <c r="IS35" s="64"/>
      <c r="IT35" s="64"/>
      <c r="IU35" s="64"/>
      <c r="IV35" s="64"/>
      <c r="IW35" s="64"/>
      <c r="IX35" s="64"/>
      <c r="IY35" s="64"/>
      <c r="IZ35" s="64"/>
      <c r="JA35" s="64"/>
      <c r="JB35" s="64"/>
      <c r="JC35" s="64"/>
      <c r="JD35" s="64"/>
      <c r="JE35" s="64"/>
      <c r="JF35" s="64"/>
      <c r="JG35" s="64"/>
      <c r="JH35" s="64"/>
      <c r="JI35" s="64"/>
      <c r="JJ35" s="64"/>
      <c r="JK35" s="64"/>
      <c r="JL35" s="64"/>
      <c r="JM35" s="64"/>
      <c r="JN35" s="64"/>
      <c r="JO35" s="64"/>
      <c r="JP35" s="64"/>
      <c r="JQ35" s="64"/>
      <c r="JR35" s="64"/>
      <c r="JS35" s="64"/>
      <c r="JT35" s="64"/>
      <c r="JU35" s="64"/>
      <c r="JV35" s="64"/>
      <c r="JW35" s="64"/>
      <c r="JX35" s="64"/>
      <c r="JY35" s="64"/>
      <c r="JZ35" s="64"/>
      <c r="KA35" s="64"/>
      <c r="KB35" s="64"/>
      <c r="KC35" s="64"/>
      <c r="KD35" s="64"/>
      <c r="KE35" s="64"/>
      <c r="KF35" s="64"/>
      <c r="KG35" s="64"/>
      <c r="KH35" s="64"/>
      <c r="KI35" s="64"/>
      <c r="KJ35" s="64"/>
      <c r="KK35" s="64"/>
      <c r="KL35" s="64"/>
      <c r="KM35" s="64"/>
      <c r="KN35" s="64"/>
      <c r="KO35" s="64"/>
      <c r="KP35" s="64"/>
      <c r="KQ35" s="64"/>
      <c r="KR35" s="64"/>
      <c r="KS35" s="64"/>
      <c r="KT35" s="64"/>
      <c r="KU35" s="64"/>
      <c r="KV35" s="64"/>
      <c r="KW35" s="64"/>
      <c r="KX35" s="64"/>
      <c r="KY35" s="64"/>
      <c r="KZ35" s="64"/>
      <c r="LA35" s="64"/>
      <c r="LB35" s="64"/>
      <c r="LC35" s="64"/>
      <c r="LD35" s="64"/>
      <c r="LE35" s="64"/>
      <c r="LF35" s="64"/>
      <c r="LG35" s="64"/>
      <c r="LH35" s="64"/>
      <c r="LI35" s="64"/>
      <c r="LJ35" s="64"/>
      <c r="LK35" s="64"/>
      <c r="LL35" s="64"/>
      <c r="LM35" s="64"/>
      <c r="LN35" s="64"/>
      <c r="LO35" s="64"/>
      <c r="LP35" s="64"/>
      <c r="LQ35" s="64"/>
      <c r="LR35" s="64"/>
      <c r="LS35" s="64"/>
      <c r="LT35" s="64"/>
      <c r="LU35" s="64"/>
      <c r="LV35" s="64"/>
      <c r="LW35" s="64"/>
      <c r="LX35" s="64"/>
      <c r="LY35" s="64"/>
      <c r="LZ35" s="64"/>
      <c r="MA35" s="64"/>
      <c r="MB35" s="64"/>
      <c r="MC35" s="64"/>
      <c r="MD35" s="64"/>
      <c r="ME35" s="64"/>
      <c r="MF35" s="64"/>
      <c r="MG35" s="64"/>
      <c r="MH35" s="64"/>
      <c r="MI35" s="64"/>
      <c r="MJ35" s="64"/>
      <c r="MK35" s="64"/>
      <c r="ML35" s="64"/>
      <c r="MM35" s="64"/>
      <c r="MN35" s="64"/>
      <c r="MO35" s="64"/>
      <c r="MP35" s="64"/>
      <c r="MQ35" s="64"/>
      <c r="MR35" s="64"/>
      <c r="MS35" s="64"/>
      <c r="MT35" s="64"/>
      <c r="MU35" s="64"/>
      <c r="MV35" s="64"/>
      <c r="MW35" s="64"/>
      <c r="MX35" s="64"/>
      <c r="MY35" s="64"/>
      <c r="MZ35" s="64"/>
      <c r="NA35" s="64"/>
      <c r="NB35" s="64"/>
      <c r="NC35" s="64"/>
      <c r="ND35" s="64"/>
      <c r="NE35" s="64"/>
      <c r="NF35" s="64"/>
      <c r="NG35" s="64"/>
      <c r="NH35" s="64"/>
      <c r="NI35" s="64"/>
      <c r="NJ35" s="64"/>
      <c r="NK35" s="64"/>
      <c r="NL35" s="64"/>
      <c r="NM35" s="64"/>
      <c r="NN35" s="64"/>
      <c r="NO35" s="64"/>
      <c r="NP35" s="64"/>
      <c r="NQ35" s="64"/>
      <c r="NR35" s="64"/>
      <c r="NS35" s="64"/>
      <c r="NT35" s="64"/>
      <c r="NU35" s="64"/>
      <c r="NV35" s="64"/>
      <c r="NW35" s="64"/>
      <c r="NX35" s="64"/>
      <c r="NY35" s="64"/>
      <c r="NZ35" s="64"/>
      <c r="OA35" s="64"/>
      <c r="OB35" s="64"/>
      <c r="OC35" s="64"/>
      <c r="OD35" s="64"/>
      <c r="OE35" s="64"/>
      <c r="OF35" s="64"/>
      <c r="OG35" s="64"/>
      <c r="OH35" s="64"/>
      <c r="OI35" s="64"/>
      <c r="OJ35" s="64"/>
      <c r="OK35" s="64"/>
      <c r="OL35" s="64"/>
      <c r="OM35" s="64"/>
      <c r="ON35" s="64"/>
      <c r="OO35" s="64"/>
      <c r="OP35" s="64"/>
      <c r="OQ35" s="64"/>
      <c r="OR35" s="64"/>
      <c r="OS35" s="64"/>
      <c r="OT35" s="64">
        <v>89</v>
      </c>
      <c r="OU35" s="64">
        <v>39</v>
      </c>
      <c r="OV35" s="64">
        <v>26</v>
      </c>
      <c r="OW35" s="64">
        <v>18</v>
      </c>
      <c r="OX35" s="64">
        <v>23</v>
      </c>
      <c r="OY35" s="64">
        <v>24</v>
      </c>
      <c r="OZ35" s="64">
        <v>31</v>
      </c>
      <c r="PA35" s="64">
        <f>COUNT(OO35:OQ58)</f>
        <v>39</v>
      </c>
      <c r="PB35" s="64">
        <v>30</v>
      </c>
      <c r="PC35" s="64">
        <v>12</v>
      </c>
      <c r="PD35" s="64">
        <v>26</v>
      </c>
      <c r="PE35" s="64">
        <v>22</v>
      </c>
      <c r="PF35" s="64">
        <v>40</v>
      </c>
      <c r="PG35" s="64">
        <v>17</v>
      </c>
      <c r="PH35" s="64">
        <v>60</v>
      </c>
      <c r="PI35" s="64">
        <v>23</v>
      </c>
      <c r="PJ35" s="64">
        <v>17</v>
      </c>
      <c r="PK35" s="64">
        <v>16</v>
      </c>
      <c r="PL35" s="64">
        <v>20</v>
      </c>
      <c r="PM35" s="64">
        <v>43</v>
      </c>
      <c r="PN35" s="64">
        <v>23</v>
      </c>
      <c r="PO35" s="64">
        <v>26</v>
      </c>
      <c r="PP35" s="64">
        <v>3</v>
      </c>
      <c r="PQ35" s="64">
        <v>22</v>
      </c>
      <c r="PR35" s="64">
        <v>22</v>
      </c>
      <c r="PS35" s="64">
        <v>20</v>
      </c>
      <c r="PT35" s="64">
        <v>31</v>
      </c>
      <c r="PU35" s="64">
        <v>34</v>
      </c>
      <c r="PV35" s="64">
        <v>41</v>
      </c>
      <c r="PW35" s="64">
        <v>19</v>
      </c>
      <c r="PX35" s="64">
        <v>10</v>
      </c>
      <c r="PY35" s="64">
        <v>17</v>
      </c>
      <c r="PZ35" s="64">
        <v>15</v>
      </c>
      <c r="QA35" s="64">
        <v>33</v>
      </c>
      <c r="QB35" s="64">
        <v>25</v>
      </c>
      <c r="QC35" s="64">
        <v>21</v>
      </c>
      <c r="QD35" s="64">
        <v>5</v>
      </c>
      <c r="QE35" s="64">
        <v>25</v>
      </c>
      <c r="QF35" s="64">
        <v>20</v>
      </c>
      <c r="QG35" s="64">
        <v>22</v>
      </c>
      <c r="QH35" s="64">
        <v>29</v>
      </c>
      <c r="QI35" s="64">
        <v>31</v>
      </c>
      <c r="QJ35" s="64">
        <v>35</v>
      </c>
      <c r="QK35" s="64">
        <v>41</v>
      </c>
      <c r="QL35" s="64">
        <v>19</v>
      </c>
      <c r="QM35" s="64">
        <v>39</v>
      </c>
      <c r="QN35" s="64">
        <v>51</v>
      </c>
      <c r="QO35" s="64">
        <v>48</v>
      </c>
      <c r="QP35" s="64">
        <v>17</v>
      </c>
      <c r="QQ35" s="64">
        <v>15</v>
      </c>
      <c r="QR35" s="64">
        <v>6</v>
      </c>
      <c r="QS35" s="64">
        <v>20</v>
      </c>
      <c r="QT35" s="64">
        <v>32</v>
      </c>
      <c r="QU35" s="64">
        <v>27</v>
      </c>
      <c r="QV35" s="64">
        <v>38</v>
      </c>
      <c r="QW35" s="64">
        <v>33</v>
      </c>
      <c r="QX35" s="64">
        <v>28</v>
      </c>
      <c r="QY35" s="64">
        <v>29</v>
      </c>
      <c r="QZ35" s="64">
        <v>16</v>
      </c>
      <c r="RA35" s="64">
        <v>34</v>
      </c>
      <c r="RB35" s="64">
        <v>21</v>
      </c>
      <c r="RC35" s="64">
        <v>36</v>
      </c>
      <c r="RD35" s="64">
        <v>24</v>
      </c>
      <c r="RE35" s="64">
        <v>22</v>
      </c>
      <c r="RF35" s="64">
        <v>24</v>
      </c>
      <c r="RG35" s="64">
        <v>33</v>
      </c>
      <c r="RH35" s="64">
        <v>16</v>
      </c>
      <c r="RI35" s="64">
        <v>21</v>
      </c>
      <c r="RJ35" s="64">
        <v>47</v>
      </c>
      <c r="RK35" s="64">
        <v>34</v>
      </c>
      <c r="RL35" s="64">
        <v>30</v>
      </c>
      <c r="RM35" s="64">
        <v>37</v>
      </c>
      <c r="RN35" s="64">
        <v>22</v>
      </c>
      <c r="RO35" s="64">
        <v>24</v>
      </c>
      <c r="RP35" s="64">
        <v>37</v>
      </c>
      <c r="RQ35" s="64">
        <v>67</v>
      </c>
      <c r="RR35" s="64">
        <v>21</v>
      </c>
      <c r="RS35" s="64">
        <v>42</v>
      </c>
      <c r="RT35" s="64">
        <v>15</v>
      </c>
      <c r="RU35" s="64">
        <v>18</v>
      </c>
      <c r="RV35" s="64">
        <v>14</v>
      </c>
      <c r="RW35" s="64">
        <v>20</v>
      </c>
      <c r="RX35" s="64">
        <v>31</v>
      </c>
      <c r="RY35" s="64">
        <v>27</v>
      </c>
      <c r="RZ35" s="64">
        <v>17</v>
      </c>
      <c r="SA35" s="64">
        <v>27</v>
      </c>
      <c r="SB35" s="64">
        <v>12</v>
      </c>
      <c r="SC35" s="64">
        <v>20</v>
      </c>
      <c r="SD35" s="64">
        <v>19</v>
      </c>
      <c r="SE35" s="64">
        <v>41</v>
      </c>
      <c r="SF35" s="64">
        <v>39</v>
      </c>
      <c r="SG35" s="64">
        <v>41</v>
      </c>
      <c r="SH35" s="64">
        <v>17</v>
      </c>
      <c r="SI35" s="64">
        <v>16</v>
      </c>
      <c r="SJ35" s="64">
        <v>26</v>
      </c>
      <c r="SK35" s="64">
        <v>30</v>
      </c>
      <c r="SL35" s="64">
        <v>24</v>
      </c>
      <c r="SM35" s="64">
        <v>28</v>
      </c>
      <c r="SN35" s="64">
        <v>30</v>
      </c>
      <c r="SO35" s="64">
        <v>19</v>
      </c>
      <c r="SP35" s="64">
        <v>22</v>
      </c>
      <c r="SQ35" s="64">
        <v>22</v>
      </c>
      <c r="SR35" s="64">
        <v>27</v>
      </c>
      <c r="SS35" s="64">
        <v>40</v>
      </c>
      <c r="ST35" s="64">
        <v>35</v>
      </c>
      <c r="SU35" s="64">
        <v>37</v>
      </c>
      <c r="SV35" s="64">
        <v>79</v>
      </c>
      <c r="SW35" s="64">
        <v>37</v>
      </c>
      <c r="SX35" s="64">
        <v>41</v>
      </c>
      <c r="SY35" s="64">
        <v>20</v>
      </c>
      <c r="SZ35" s="64">
        <v>25</v>
      </c>
      <c r="TA35" s="64">
        <v>37</v>
      </c>
      <c r="TB35" s="64">
        <v>22</v>
      </c>
      <c r="TC35" s="64">
        <v>20</v>
      </c>
      <c r="TD35" s="64">
        <v>18</v>
      </c>
      <c r="TE35" s="64">
        <v>19</v>
      </c>
      <c r="TF35" s="64">
        <v>34</v>
      </c>
      <c r="TG35" s="64">
        <v>40</v>
      </c>
      <c r="TH35" s="65">
        <v>38</v>
      </c>
      <c r="TI35" s="65">
        <v>36</v>
      </c>
      <c r="TJ35" s="65">
        <v>44</v>
      </c>
      <c r="TK35" s="65">
        <v>28</v>
      </c>
      <c r="TL35" s="65">
        <v>41</v>
      </c>
      <c r="TM35" s="65">
        <v>20</v>
      </c>
      <c r="TN35" s="65">
        <v>18</v>
      </c>
      <c r="TO35" s="65">
        <v>25</v>
      </c>
      <c r="TP35" s="65">
        <v>24</v>
      </c>
      <c r="TQ35" s="65">
        <v>21</v>
      </c>
      <c r="TR35" s="65">
        <v>16</v>
      </c>
      <c r="TS35" s="65">
        <v>15</v>
      </c>
      <c r="TT35" s="65">
        <v>28</v>
      </c>
      <c r="TU35" s="65">
        <v>33</v>
      </c>
      <c r="TV35" s="65">
        <v>23</v>
      </c>
      <c r="TW35" s="65">
        <v>51</v>
      </c>
      <c r="TX35" s="65">
        <v>30</v>
      </c>
      <c r="TY35" s="65">
        <v>22</v>
      </c>
      <c r="TZ35" s="65">
        <v>51</v>
      </c>
      <c r="UA35" s="65">
        <v>28</v>
      </c>
      <c r="UB35" s="65">
        <v>57</v>
      </c>
      <c r="UC35" s="65">
        <v>16</v>
      </c>
      <c r="UD35" s="65">
        <v>27</v>
      </c>
      <c r="UE35" s="65">
        <v>11</v>
      </c>
      <c r="UF35" s="65">
        <v>19</v>
      </c>
      <c r="UG35" s="65">
        <v>13</v>
      </c>
      <c r="UH35" s="65">
        <v>28</v>
      </c>
      <c r="UI35" s="65">
        <v>23</v>
      </c>
      <c r="UJ35" s="65">
        <v>24</v>
      </c>
      <c r="UK35" s="65">
        <v>29</v>
      </c>
      <c r="UL35" s="65">
        <v>19</v>
      </c>
      <c r="UM35" s="65">
        <v>23</v>
      </c>
      <c r="UN35" s="65">
        <v>32</v>
      </c>
      <c r="UO35" s="65">
        <v>24</v>
      </c>
      <c r="UP35" s="65">
        <v>31</v>
      </c>
      <c r="UQ35" s="65">
        <v>11</v>
      </c>
      <c r="UR35" s="65">
        <v>17</v>
      </c>
      <c r="US35" s="65">
        <v>12</v>
      </c>
      <c r="UT35" s="65">
        <v>19</v>
      </c>
      <c r="UU35" s="65">
        <v>11</v>
      </c>
      <c r="UV35" s="65">
        <v>14</v>
      </c>
      <c r="UW35" s="65">
        <v>23</v>
      </c>
      <c r="UX35" s="65">
        <v>32</v>
      </c>
      <c r="UY35" s="65">
        <v>20</v>
      </c>
      <c r="UZ35" s="65">
        <v>15</v>
      </c>
      <c r="VA35" s="65">
        <v>20</v>
      </c>
      <c r="VB35" s="65">
        <v>30</v>
      </c>
      <c r="VC35" s="65">
        <v>22</v>
      </c>
      <c r="VD35" s="65">
        <v>33</v>
      </c>
      <c r="VE35" s="65">
        <v>38</v>
      </c>
      <c r="VF35" s="65">
        <v>38</v>
      </c>
      <c r="VG35" s="65">
        <v>47</v>
      </c>
      <c r="VH35" s="65">
        <v>40</v>
      </c>
      <c r="VI35" s="65">
        <v>16</v>
      </c>
      <c r="VJ35" s="65">
        <v>28</v>
      </c>
      <c r="VK35" s="65">
        <v>12</v>
      </c>
      <c r="VL35" s="65">
        <v>15</v>
      </c>
      <c r="VM35" s="65">
        <v>24</v>
      </c>
      <c r="VN35" s="65">
        <v>14</v>
      </c>
      <c r="VO35" s="65">
        <v>14</v>
      </c>
      <c r="VP35" s="65">
        <v>12</v>
      </c>
      <c r="VQ35" s="65">
        <v>22</v>
      </c>
      <c r="VR35" s="65">
        <v>25</v>
      </c>
      <c r="VS35" s="65">
        <v>40</v>
      </c>
      <c r="VT35" s="65">
        <v>43</v>
      </c>
      <c r="VU35" s="65">
        <v>24</v>
      </c>
      <c r="VV35" s="65">
        <v>39</v>
      </c>
      <c r="VW35" s="65">
        <v>13</v>
      </c>
      <c r="VX35" s="65">
        <v>14</v>
      </c>
      <c r="VY35" s="65">
        <v>14</v>
      </c>
      <c r="VZ35" s="65">
        <v>25</v>
      </c>
      <c r="WA35" s="65">
        <v>15</v>
      </c>
      <c r="WB35" s="65">
        <v>35</v>
      </c>
      <c r="WC35" s="65">
        <v>13</v>
      </c>
      <c r="WD35" s="65">
        <v>14</v>
      </c>
      <c r="WE35" s="65">
        <v>22</v>
      </c>
      <c r="WF35" s="65">
        <v>33</v>
      </c>
      <c r="WG35" s="65">
        <v>31</v>
      </c>
      <c r="WH35" s="65">
        <v>40</v>
      </c>
      <c r="WI35" s="65">
        <v>38</v>
      </c>
      <c r="WJ35" s="65">
        <v>44</v>
      </c>
      <c r="WK35" s="65">
        <v>44</v>
      </c>
      <c r="WL35" s="65">
        <v>41</v>
      </c>
      <c r="WM35" s="65">
        <v>74</v>
      </c>
      <c r="WN35" s="65">
        <v>23</v>
      </c>
      <c r="WO35" s="65">
        <v>21</v>
      </c>
      <c r="WP35" s="65">
        <v>28</v>
      </c>
      <c r="WQ35" s="65">
        <v>19</v>
      </c>
      <c r="WR35" s="65">
        <v>30</v>
      </c>
      <c r="WS35" s="65">
        <v>19</v>
      </c>
      <c r="WT35" s="65">
        <v>33</v>
      </c>
      <c r="WU35" s="65">
        <v>38</v>
      </c>
      <c r="WV35" s="65">
        <v>24</v>
      </c>
      <c r="WW35" s="65">
        <v>28</v>
      </c>
      <c r="WX35" s="65">
        <v>50</v>
      </c>
      <c r="WY35" s="65">
        <v>34</v>
      </c>
      <c r="WZ35" s="65">
        <v>36</v>
      </c>
      <c r="XA35" s="65">
        <v>45</v>
      </c>
      <c r="XB35" s="65">
        <v>29</v>
      </c>
      <c r="XC35" s="65">
        <v>27</v>
      </c>
      <c r="XD35" s="65">
        <v>39</v>
      </c>
      <c r="XE35" s="65">
        <v>40</v>
      </c>
      <c r="XF35" s="65">
        <v>13</v>
      </c>
      <c r="XG35" s="65">
        <v>21</v>
      </c>
      <c r="XH35" s="65">
        <v>25</v>
      </c>
      <c r="XI35" s="65">
        <v>39</v>
      </c>
      <c r="XJ35" s="65">
        <v>37</v>
      </c>
      <c r="XK35" s="65">
        <v>50</v>
      </c>
      <c r="XL35" s="65">
        <v>37</v>
      </c>
      <c r="XM35" s="65">
        <v>32</v>
      </c>
      <c r="XN35" s="65">
        <v>29</v>
      </c>
      <c r="XO35" s="65">
        <v>67</v>
      </c>
      <c r="XP35" s="65">
        <v>68</v>
      </c>
      <c r="XQ35" s="65">
        <v>68</v>
      </c>
      <c r="XR35" s="65">
        <v>21</v>
      </c>
      <c r="XS35" s="65">
        <v>31</v>
      </c>
      <c r="XT35" s="65">
        <v>23</v>
      </c>
      <c r="XU35" s="65">
        <v>24</v>
      </c>
      <c r="XV35" s="65">
        <v>44</v>
      </c>
      <c r="XW35" s="65">
        <v>59</v>
      </c>
      <c r="XX35" s="65">
        <v>33</v>
      </c>
      <c r="XY35" s="65">
        <v>29</v>
      </c>
      <c r="XZ35" s="65">
        <v>33</v>
      </c>
      <c r="YA35" s="65">
        <v>28</v>
      </c>
      <c r="YB35" s="65">
        <v>44</v>
      </c>
      <c r="YC35" s="158">
        <v>84</v>
      </c>
      <c r="YD35" s="158">
        <v>58</v>
      </c>
      <c r="YE35" s="158">
        <v>66</v>
      </c>
      <c r="YF35" s="158">
        <v>32</v>
      </c>
      <c r="YG35" s="158">
        <v>23</v>
      </c>
      <c r="YH35" s="158">
        <v>17</v>
      </c>
      <c r="YI35" s="158">
        <v>47</v>
      </c>
      <c r="YJ35" s="158">
        <v>45</v>
      </c>
      <c r="YK35" s="158">
        <v>32</v>
      </c>
      <c r="YL35" s="158">
        <v>32</v>
      </c>
      <c r="YM35" s="158">
        <v>34</v>
      </c>
    </row>
    <row r="36" spans="1:663" ht="15.75" customHeight="1" x14ac:dyDescent="0.2">
      <c r="B36" s="8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0"/>
      <c r="MI36" s="30"/>
      <c r="MJ36" s="30"/>
      <c r="MK36" s="30"/>
      <c r="ML36" s="30"/>
      <c r="MM36" s="30"/>
      <c r="MN36" s="30"/>
      <c r="MO36" s="30"/>
      <c r="MP36" s="30"/>
      <c r="MQ36" s="30"/>
      <c r="MR36" s="30"/>
      <c r="MS36" s="30"/>
      <c r="MT36" s="30"/>
      <c r="MU36" s="30"/>
      <c r="MV36" s="30"/>
      <c r="MW36" s="30"/>
      <c r="MX36" s="30"/>
      <c r="MY36" s="30"/>
      <c r="MZ36" s="30"/>
      <c r="NA36" s="30"/>
      <c r="NB36" s="30"/>
      <c r="NC36" s="30"/>
      <c r="ND36" s="30"/>
      <c r="NE36" s="30"/>
      <c r="NF36" s="30"/>
      <c r="NG36" s="30"/>
      <c r="NH36" s="30"/>
      <c r="NI36" s="30"/>
      <c r="NJ36" s="30"/>
      <c r="NK36" s="30"/>
      <c r="NL36" s="30"/>
      <c r="NM36" s="30"/>
      <c r="NN36" s="30"/>
      <c r="NO36" s="30"/>
      <c r="NP36" s="30"/>
      <c r="NQ36" s="30"/>
      <c r="NR36" s="30"/>
      <c r="NS36" s="30"/>
      <c r="NT36" s="30"/>
      <c r="NU36" s="30"/>
      <c r="NV36" s="30"/>
      <c r="NW36" s="30"/>
      <c r="NX36" s="30"/>
      <c r="NY36" s="30"/>
      <c r="NZ36" s="30"/>
      <c r="OA36" s="30"/>
      <c r="OB36" s="30"/>
      <c r="OC36" s="30"/>
      <c r="OD36" s="30"/>
      <c r="OE36" s="30"/>
      <c r="OF36" s="30"/>
      <c r="OG36" s="30"/>
      <c r="OH36" s="30"/>
      <c r="OI36" s="30"/>
      <c r="OJ36" s="30"/>
      <c r="OK36" s="30"/>
      <c r="OL36" s="30"/>
      <c r="OM36" s="30"/>
      <c r="ON36" s="30"/>
      <c r="OO36" s="30"/>
      <c r="OP36" s="30"/>
      <c r="OQ36" s="30"/>
      <c r="OR36" s="30"/>
      <c r="OS36" s="30"/>
      <c r="OT36" s="30"/>
      <c r="OU36" s="30"/>
      <c r="OV36" s="30"/>
      <c r="OW36" s="30"/>
      <c r="OX36" s="30"/>
      <c r="OY36" s="30"/>
      <c r="OZ36" s="30"/>
      <c r="PA36" s="30"/>
      <c r="PB36" s="30"/>
      <c r="PC36" s="30"/>
      <c r="PD36" s="30"/>
      <c r="PE36" s="30"/>
      <c r="PF36" s="30"/>
      <c r="PG36" s="30"/>
      <c r="PH36" s="30"/>
      <c r="PI36" s="30"/>
      <c r="PJ36" s="30"/>
      <c r="PK36" s="30"/>
      <c r="PL36" s="30"/>
      <c r="PM36" s="30"/>
      <c r="PN36" s="30"/>
      <c r="PO36" s="30"/>
      <c r="PP36" s="30"/>
      <c r="PQ36" s="30"/>
      <c r="PR36" s="30"/>
      <c r="PS36" s="30"/>
      <c r="PT36" s="30"/>
      <c r="PU36" s="30"/>
      <c r="PV36" s="30"/>
      <c r="PW36" s="30"/>
      <c r="PX36" s="30"/>
      <c r="PY36" s="30"/>
      <c r="PZ36" s="30"/>
      <c r="QA36" s="30"/>
      <c r="QB36" s="30"/>
      <c r="QC36" s="30"/>
      <c r="QD36" s="30"/>
      <c r="QE36" s="30"/>
      <c r="QF36" s="30"/>
      <c r="QG36" s="30"/>
      <c r="QH36" s="30"/>
      <c r="QI36" s="30"/>
      <c r="QJ36" s="30"/>
      <c r="QK36" s="30"/>
      <c r="QL36" s="30"/>
      <c r="QM36" s="30"/>
      <c r="QN36" s="30"/>
      <c r="QO36" s="30"/>
      <c r="QP36" s="30"/>
      <c r="QQ36" s="30"/>
      <c r="QR36" s="30"/>
      <c r="QS36" s="30"/>
      <c r="QT36" s="30"/>
      <c r="QU36" s="30"/>
      <c r="QV36" s="30"/>
      <c r="QW36" s="30"/>
      <c r="QX36" s="30"/>
      <c r="QY36" s="30"/>
      <c r="QZ36" s="30"/>
      <c r="RA36" s="30"/>
      <c r="RB36" s="30"/>
      <c r="RC36" s="30"/>
      <c r="RD36" s="30"/>
      <c r="RE36" s="30"/>
      <c r="RF36" s="30"/>
      <c r="RG36" s="30"/>
      <c r="RH36" s="30"/>
      <c r="RI36" s="30"/>
      <c r="RJ36" s="30"/>
      <c r="RK36" s="30"/>
      <c r="RL36" s="30"/>
      <c r="RM36" s="30"/>
      <c r="RN36" s="30"/>
      <c r="RO36" s="30"/>
      <c r="RP36" s="30"/>
      <c r="RQ36" s="30"/>
      <c r="RR36" s="30"/>
      <c r="RS36" s="30"/>
      <c r="RT36" s="30"/>
      <c r="RU36" s="30"/>
      <c r="RV36" s="30"/>
      <c r="RW36" s="30"/>
      <c r="RX36" s="30"/>
      <c r="RY36" s="30"/>
      <c r="RZ36" s="30"/>
      <c r="SA36" s="30"/>
      <c r="SB36" s="30"/>
      <c r="SC36" s="30"/>
      <c r="SD36" s="30"/>
      <c r="SE36" s="30"/>
      <c r="SF36" s="30"/>
      <c r="SG36" s="30"/>
      <c r="SH36" s="30"/>
      <c r="SI36" s="30"/>
      <c r="SJ36" s="30"/>
      <c r="SK36" s="30"/>
      <c r="SL36" s="30"/>
      <c r="SM36" s="30"/>
      <c r="SN36" s="30"/>
      <c r="SO36" s="30"/>
      <c r="SP36" s="30"/>
      <c r="SQ36" s="30"/>
      <c r="SR36" s="30"/>
      <c r="SS36" s="30"/>
      <c r="ST36" s="30"/>
      <c r="SU36" s="30"/>
      <c r="SV36" s="30"/>
      <c r="SW36" s="30"/>
      <c r="SX36" s="30"/>
      <c r="SY36" s="30"/>
      <c r="SZ36" s="30"/>
      <c r="TA36" s="30"/>
      <c r="TB36" s="30"/>
      <c r="TC36" s="30"/>
      <c r="TD36" s="30"/>
      <c r="TE36" s="30"/>
      <c r="TF36" s="30"/>
      <c r="TG36" s="30"/>
      <c r="TH36" s="30"/>
      <c r="TI36" s="30"/>
      <c r="TJ36" s="30"/>
      <c r="TK36" s="30"/>
      <c r="TL36" s="30"/>
      <c r="TM36" s="30"/>
      <c r="TN36" s="30"/>
      <c r="TO36" s="30"/>
      <c r="TP36" s="30"/>
      <c r="TQ36" s="30"/>
      <c r="TR36" s="30"/>
      <c r="TS36" s="30"/>
      <c r="TT36" s="30"/>
      <c r="TU36" s="30"/>
      <c r="TV36" s="30"/>
      <c r="TW36" s="30"/>
      <c r="TX36" s="30"/>
      <c r="TY36" s="30"/>
      <c r="TZ36" s="30"/>
      <c r="UA36" s="30"/>
      <c r="UB36" s="30"/>
      <c r="UC36" s="30"/>
      <c r="UD36" s="30"/>
      <c r="UE36" s="30"/>
      <c r="UF36" s="30"/>
      <c r="UG36" s="30"/>
      <c r="UH36" s="30"/>
      <c r="UI36" s="30"/>
      <c r="UJ36" s="30"/>
      <c r="UK36" s="30"/>
      <c r="UL36" s="30"/>
      <c r="UM36" s="30"/>
      <c r="UN36" s="30"/>
      <c r="UO36" s="30"/>
      <c r="UP36" s="30"/>
      <c r="UQ36" s="30"/>
      <c r="UR36" s="30"/>
      <c r="US36" s="30"/>
      <c r="UT36" s="30"/>
      <c r="UU36" s="30"/>
      <c r="UV36" s="30"/>
      <c r="UW36" s="30"/>
      <c r="UX36" s="30"/>
      <c r="UY36" s="30"/>
      <c r="UZ36" s="30"/>
      <c r="VA36" s="30"/>
      <c r="VB36" s="30"/>
      <c r="VC36" s="30"/>
      <c r="VD36" s="30"/>
      <c r="VE36" s="30"/>
      <c r="VF36" s="30"/>
      <c r="VG36" s="149"/>
      <c r="VH36" s="149"/>
      <c r="VI36" s="149"/>
      <c r="VJ36" s="149"/>
      <c r="VK36" s="149"/>
      <c r="VL36" s="149"/>
      <c r="VM36" s="149"/>
      <c r="VN36" s="149"/>
      <c r="VO36" s="149"/>
      <c r="VP36" s="149"/>
      <c r="VQ36" s="149"/>
      <c r="VR36" s="149"/>
      <c r="VS36" s="149"/>
      <c r="VT36" s="149"/>
      <c r="VU36" s="149"/>
      <c r="VV36" s="149"/>
      <c r="VW36" s="149"/>
      <c r="VX36" s="149"/>
      <c r="VY36" s="149"/>
      <c r="VZ36" s="149"/>
      <c r="WA36" s="149"/>
      <c r="WB36" s="149"/>
      <c r="WC36" s="149"/>
      <c r="WD36" s="149"/>
      <c r="WE36" s="149"/>
      <c r="WF36" s="149"/>
      <c r="WG36" s="149"/>
      <c r="WH36" s="149"/>
      <c r="WI36" s="149"/>
      <c r="WJ36" s="149"/>
      <c r="WK36" s="149"/>
      <c r="WL36" s="149"/>
      <c r="WM36" s="149"/>
      <c r="WN36" s="149"/>
      <c r="WO36" s="149"/>
      <c r="WP36" s="149"/>
      <c r="WQ36" s="149"/>
      <c r="WR36" s="149"/>
      <c r="WS36" s="149"/>
      <c r="WT36" s="149"/>
      <c r="WU36" s="149"/>
      <c r="WV36" s="149"/>
      <c r="WW36" s="149"/>
      <c r="WX36" s="149"/>
      <c r="WY36" s="149"/>
      <c r="WZ36" s="149"/>
      <c r="XA36" s="149"/>
      <c r="XB36" s="149"/>
      <c r="XC36" s="149"/>
      <c r="XD36" s="149"/>
      <c r="XE36" s="149"/>
      <c r="XF36" s="149"/>
      <c r="XG36" s="149"/>
      <c r="XH36" s="149"/>
      <c r="XI36" s="149"/>
      <c r="XJ36" s="149"/>
      <c r="XK36" s="149"/>
      <c r="XL36" s="149"/>
      <c r="XM36" s="149"/>
      <c r="XN36" s="149"/>
      <c r="XO36" s="149"/>
      <c r="XP36" s="149"/>
      <c r="XQ36" s="149"/>
      <c r="XR36" s="149"/>
      <c r="XS36" s="149"/>
      <c r="XT36" s="149"/>
      <c r="XU36" s="149"/>
      <c r="XV36" s="149"/>
      <c r="XW36" s="149"/>
      <c r="XX36" s="149"/>
      <c r="XY36" s="149"/>
      <c r="XZ36" s="149"/>
      <c r="YA36" s="149"/>
      <c r="YB36" s="149"/>
      <c r="YC36" s="150"/>
      <c r="YD36" s="150"/>
      <c r="YE36" s="150"/>
      <c r="YF36" s="150"/>
      <c r="YG36" s="150"/>
      <c r="YH36" s="150"/>
      <c r="YI36" s="150"/>
      <c r="YJ36" s="150"/>
      <c r="YK36" s="150"/>
      <c r="YL36" s="150"/>
      <c r="YM36" s="150"/>
    </row>
    <row r="37" spans="1:663" ht="15.75" customHeight="1" x14ac:dyDescent="0.2">
      <c r="B37" s="63" t="s">
        <v>171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  <c r="NC37" s="30"/>
      <c r="ND37" s="30"/>
      <c r="NE37" s="30"/>
      <c r="NF37" s="30"/>
      <c r="NG37" s="30"/>
      <c r="NH37" s="30"/>
      <c r="NI37" s="30"/>
      <c r="NJ37" s="30"/>
      <c r="NK37" s="30"/>
      <c r="NL37" s="30"/>
      <c r="NM37" s="30"/>
      <c r="NN37" s="30"/>
      <c r="NO37" s="30"/>
      <c r="NP37" s="30"/>
      <c r="NQ37" s="30"/>
      <c r="NR37" s="30"/>
      <c r="NS37" s="30"/>
      <c r="NT37" s="30"/>
      <c r="NU37" s="30"/>
      <c r="NV37" s="30"/>
      <c r="NW37" s="30"/>
      <c r="NX37" s="30"/>
      <c r="NY37" s="30"/>
      <c r="NZ37" s="30"/>
      <c r="OA37" s="30"/>
      <c r="OB37" s="30"/>
      <c r="OC37" s="30"/>
      <c r="OD37" s="30"/>
      <c r="OE37" s="30"/>
      <c r="OF37" s="30"/>
      <c r="OG37" s="30"/>
      <c r="OH37" s="30"/>
      <c r="OI37" s="30"/>
      <c r="OJ37" s="30"/>
      <c r="OK37" s="30"/>
      <c r="OL37" s="30"/>
      <c r="OM37" s="30"/>
      <c r="ON37" s="30"/>
      <c r="OO37" s="30"/>
      <c r="OP37" s="30"/>
      <c r="OQ37" s="30"/>
      <c r="OR37" s="30"/>
      <c r="OS37" s="30"/>
      <c r="OT37" s="30"/>
      <c r="OU37" s="30"/>
      <c r="OV37" s="30"/>
      <c r="OW37" s="30"/>
      <c r="OX37" s="30"/>
      <c r="OY37" s="30"/>
      <c r="OZ37" s="30"/>
      <c r="PA37" s="30"/>
      <c r="PB37" s="30"/>
      <c r="PC37" s="30"/>
      <c r="PD37" s="30"/>
      <c r="PE37" s="30"/>
      <c r="PF37" s="30"/>
      <c r="PG37" s="30"/>
      <c r="PH37" s="30"/>
      <c r="PI37" s="30"/>
      <c r="PJ37" s="30"/>
      <c r="PK37" s="30"/>
      <c r="PL37" s="30"/>
      <c r="PM37" s="30"/>
      <c r="PN37" s="30"/>
      <c r="PO37" s="30"/>
      <c r="PP37" s="30"/>
      <c r="PQ37" s="30"/>
      <c r="PR37" s="30"/>
      <c r="PS37" s="30"/>
      <c r="PT37" s="30"/>
      <c r="PU37" s="30"/>
      <c r="PV37" s="30"/>
      <c r="PW37" s="30"/>
      <c r="PX37" s="30"/>
      <c r="PY37" s="30"/>
      <c r="PZ37" s="30"/>
      <c r="QA37" s="30"/>
      <c r="QB37" s="30"/>
      <c r="QC37" s="30"/>
      <c r="QD37" s="30"/>
      <c r="QE37" s="30"/>
      <c r="QF37" s="30"/>
      <c r="QG37" s="30"/>
      <c r="QH37" s="30"/>
      <c r="QI37" s="30"/>
      <c r="QJ37" s="30"/>
      <c r="QK37" s="30"/>
      <c r="QL37" s="30"/>
      <c r="QM37" s="30"/>
      <c r="QN37" s="30"/>
      <c r="QO37" s="30"/>
      <c r="QP37" s="30"/>
      <c r="QQ37" s="30"/>
      <c r="QR37" s="30"/>
      <c r="QS37" s="30"/>
      <c r="QT37" s="30"/>
      <c r="QU37" s="30"/>
      <c r="QV37" s="30"/>
      <c r="QW37" s="30"/>
      <c r="QX37" s="30"/>
      <c r="QY37" s="30"/>
      <c r="QZ37" s="30"/>
      <c r="RA37" s="30"/>
      <c r="RB37" s="30"/>
      <c r="RC37" s="30"/>
      <c r="RD37" s="30"/>
      <c r="RE37" s="30"/>
      <c r="RF37" s="30"/>
      <c r="RG37" s="30"/>
      <c r="RH37" s="30"/>
      <c r="RI37" s="30"/>
      <c r="RJ37" s="30"/>
      <c r="RK37" s="30"/>
      <c r="RL37" s="30"/>
      <c r="RM37" s="30"/>
      <c r="RN37" s="30"/>
      <c r="RO37" s="30"/>
      <c r="RP37" s="30"/>
      <c r="RQ37" s="30"/>
      <c r="RR37" s="30"/>
      <c r="RS37" s="30"/>
      <c r="RT37" s="30"/>
      <c r="RU37" s="30"/>
      <c r="RV37" s="30"/>
      <c r="RW37" s="30"/>
      <c r="RX37" s="30"/>
      <c r="RY37" s="30"/>
      <c r="RZ37" s="30"/>
      <c r="SA37" s="30"/>
      <c r="SB37" s="30"/>
      <c r="SC37" s="30"/>
      <c r="SD37" s="30"/>
      <c r="SE37" s="30"/>
      <c r="SF37" s="30"/>
      <c r="SG37" s="30"/>
      <c r="SH37" s="30"/>
      <c r="SI37" s="30"/>
      <c r="SJ37" s="30"/>
      <c r="SK37" s="30"/>
      <c r="SL37" s="30"/>
      <c r="SM37" s="30"/>
      <c r="SN37" s="30"/>
      <c r="SO37" s="30"/>
      <c r="SP37" s="30"/>
      <c r="SQ37" s="30"/>
      <c r="SR37" s="30"/>
      <c r="SS37" s="30"/>
      <c r="ST37" s="30"/>
      <c r="SU37" s="30"/>
      <c r="SV37" s="30"/>
      <c r="SW37" s="30"/>
      <c r="SX37" s="30"/>
      <c r="SY37" s="30"/>
      <c r="SZ37" s="30"/>
      <c r="TA37" s="30"/>
      <c r="TB37" s="30"/>
      <c r="TC37" s="30"/>
      <c r="TD37" s="30"/>
      <c r="TE37" s="30"/>
      <c r="TF37" s="30"/>
      <c r="TG37" s="30"/>
      <c r="TH37" s="30"/>
      <c r="TI37" s="30"/>
      <c r="TJ37" s="30"/>
      <c r="TK37" s="30"/>
      <c r="TL37" s="30"/>
      <c r="TM37" s="30"/>
      <c r="TN37" s="30"/>
      <c r="TO37" s="30"/>
      <c r="TP37" s="30"/>
      <c r="TQ37" s="30"/>
      <c r="TR37" s="30"/>
      <c r="TS37" s="30"/>
      <c r="TT37" s="30"/>
      <c r="TU37" s="30"/>
      <c r="TV37" s="30"/>
      <c r="TW37" s="30"/>
      <c r="TX37" s="30"/>
      <c r="TY37" s="30"/>
      <c r="TZ37" s="30"/>
      <c r="UA37" s="30"/>
      <c r="UB37" s="30"/>
      <c r="UC37" s="30"/>
      <c r="UD37" s="30"/>
      <c r="UE37" s="30"/>
      <c r="UF37" s="30"/>
      <c r="UG37" s="30"/>
      <c r="UH37" s="30"/>
      <c r="UI37" s="30"/>
      <c r="UJ37" s="30"/>
      <c r="UK37" s="30"/>
      <c r="UL37" s="30"/>
      <c r="UM37" s="30"/>
      <c r="UN37" s="30"/>
      <c r="UO37" s="30"/>
      <c r="UP37" s="30"/>
      <c r="UQ37" s="30"/>
      <c r="UR37" s="30"/>
      <c r="US37" s="30"/>
      <c r="UT37" s="30"/>
      <c r="UU37" s="30" t="s">
        <v>172</v>
      </c>
      <c r="UV37" s="30"/>
      <c r="UW37" s="30"/>
      <c r="UX37" s="30"/>
      <c r="UY37" s="30"/>
      <c r="UZ37" s="30"/>
      <c r="VA37" s="30"/>
      <c r="VB37" s="30"/>
      <c r="VC37" s="30"/>
      <c r="VD37" s="30"/>
      <c r="VE37" s="30"/>
      <c r="VF37" s="30"/>
      <c r="VG37" s="149"/>
      <c r="VH37" s="149"/>
      <c r="VI37" s="149"/>
      <c r="VJ37" s="149"/>
      <c r="VK37" s="149"/>
      <c r="VL37" s="149"/>
      <c r="VM37" s="149"/>
      <c r="VN37" s="149"/>
      <c r="VO37" s="149"/>
      <c r="VP37" s="149"/>
      <c r="VQ37" s="149"/>
      <c r="VR37" s="149"/>
      <c r="VS37" s="149"/>
      <c r="VT37" s="149"/>
      <c r="VU37" s="149"/>
      <c r="VV37" s="149"/>
      <c r="VW37" s="149"/>
      <c r="VX37" s="149"/>
      <c r="VY37" s="149"/>
      <c r="VZ37" s="149"/>
      <c r="WA37" s="149"/>
      <c r="WB37" s="149"/>
      <c r="WC37" s="149"/>
      <c r="WD37" s="149"/>
      <c r="WE37" s="149"/>
      <c r="WF37" s="149"/>
      <c r="WG37" s="149"/>
      <c r="WH37" s="149"/>
      <c r="WI37" s="149"/>
      <c r="WJ37" s="149"/>
      <c r="WK37" s="149"/>
      <c r="WL37" s="149"/>
      <c r="WM37" s="149"/>
      <c r="WN37" s="149"/>
      <c r="WO37" s="149"/>
      <c r="WP37" s="149"/>
      <c r="WQ37" s="149"/>
      <c r="WR37" s="149"/>
      <c r="WS37" s="149"/>
      <c r="WT37" s="149"/>
      <c r="WU37" s="149"/>
      <c r="WV37" s="149"/>
      <c r="WW37" s="149"/>
      <c r="WX37" s="149"/>
      <c r="WY37" s="149"/>
      <c r="WZ37" s="149"/>
      <c r="XA37" s="149"/>
      <c r="XB37" s="149"/>
      <c r="XC37" s="149"/>
      <c r="XD37" s="149"/>
      <c r="XE37" s="149"/>
      <c r="XF37" s="149"/>
      <c r="XG37" s="149"/>
      <c r="XH37" s="149"/>
      <c r="XI37" s="149"/>
      <c r="XJ37" s="149"/>
      <c r="XK37" s="149"/>
      <c r="XL37" s="149"/>
      <c r="XM37" s="149"/>
      <c r="XN37" s="149"/>
      <c r="XO37" s="149"/>
      <c r="XP37" s="149"/>
      <c r="XQ37" s="149"/>
      <c r="XR37" s="149"/>
      <c r="XS37" s="149"/>
      <c r="XT37" s="149"/>
      <c r="XU37" s="149"/>
      <c r="XV37" s="149"/>
      <c r="XW37" s="149"/>
      <c r="XX37" s="149"/>
      <c r="XY37" s="149"/>
      <c r="XZ37" s="149"/>
      <c r="YA37" s="149"/>
      <c r="YB37" s="149"/>
      <c r="YC37" s="150"/>
      <c r="YD37" s="150"/>
      <c r="YE37" s="150"/>
      <c r="YF37" s="150"/>
      <c r="YG37" s="150"/>
      <c r="YH37" s="150"/>
      <c r="YI37" s="150"/>
      <c r="YJ37" s="150"/>
      <c r="YK37" s="150"/>
      <c r="YL37" s="150"/>
      <c r="YM37" s="150"/>
    </row>
    <row r="38" spans="1:663" ht="15.75" customHeight="1" x14ac:dyDescent="0.2">
      <c r="B38" s="30" t="s">
        <v>93</v>
      </c>
      <c r="C38" s="44">
        <v>0</v>
      </c>
      <c r="D38" s="44">
        <v>28611.690013033836</v>
      </c>
      <c r="E38" s="44">
        <v>10666.765541888662</v>
      </c>
      <c r="F38" s="44">
        <v>0</v>
      </c>
      <c r="G38" s="44">
        <v>0</v>
      </c>
      <c r="H38" s="44">
        <v>16747.754305326547</v>
      </c>
      <c r="I38" s="44">
        <v>5052.1026474274486</v>
      </c>
      <c r="J38" s="44">
        <v>3356.518425902229</v>
      </c>
      <c r="K38" s="44">
        <v>9474.4782133336394</v>
      </c>
      <c r="L38" s="44">
        <v>5116.9262656884312</v>
      </c>
      <c r="M38" s="44">
        <v>0</v>
      </c>
      <c r="N38" s="44">
        <v>0</v>
      </c>
      <c r="O38" s="44">
        <v>14553.940335523095</v>
      </c>
      <c r="P38" s="44">
        <v>7479.8752750428666</v>
      </c>
      <c r="Q38" s="44">
        <v>4793.2852259196306</v>
      </c>
      <c r="R38" s="44">
        <v>11605.04403040165</v>
      </c>
      <c r="S38" s="44">
        <v>15504.995396204798</v>
      </c>
      <c r="T38" s="44">
        <v>0</v>
      </c>
      <c r="U38" s="44">
        <v>0</v>
      </c>
      <c r="V38" s="44">
        <v>13694.8</v>
      </c>
      <c r="W38" s="44">
        <v>23145.043415692668</v>
      </c>
      <c r="X38" s="44">
        <v>5034.3321145791379</v>
      </c>
      <c r="Y38" s="44">
        <v>7880.880716907991</v>
      </c>
      <c r="Z38" s="44">
        <v>3711.1813117708789</v>
      </c>
      <c r="AA38" s="44">
        <v>0</v>
      </c>
      <c r="AB38" s="44">
        <v>0</v>
      </c>
      <c r="AC38" s="44">
        <v>17934.675424476689</v>
      </c>
      <c r="AD38" s="44">
        <v>6203.1458343496624</v>
      </c>
      <c r="AE38" s="44">
        <v>2428.25027267308</v>
      </c>
      <c r="AF38" s="44">
        <v>8795.8368883256444</v>
      </c>
      <c r="AG38" s="44">
        <v>8482.5020374126525</v>
      </c>
      <c r="AH38" s="44">
        <v>0</v>
      </c>
      <c r="AI38" s="44">
        <v>0</v>
      </c>
      <c r="AJ38" s="44">
        <v>27224.558076870235</v>
      </c>
      <c r="AK38" s="44">
        <v>10816.750833061207</v>
      </c>
      <c r="AL38" s="44">
        <v>4818.7825044046085</v>
      </c>
      <c r="AM38" s="44">
        <v>9819.0411568529817</v>
      </c>
      <c r="AN38" s="44">
        <v>6633.0697137397628</v>
      </c>
      <c r="AO38" s="44">
        <v>0</v>
      </c>
      <c r="AP38" s="44">
        <v>0</v>
      </c>
      <c r="AQ38" s="44">
        <v>15719.573826872151</v>
      </c>
      <c r="AR38" s="44">
        <v>6778.4933666884799</v>
      </c>
      <c r="AS38" s="44">
        <v>6109.9783865460868</v>
      </c>
      <c r="AT38" s="44">
        <v>16037.470169635331</v>
      </c>
      <c r="AU38" s="44">
        <v>6294.5813716723578</v>
      </c>
      <c r="AV38" s="44">
        <v>0</v>
      </c>
      <c r="AW38" s="44">
        <v>0</v>
      </c>
      <c r="AX38" s="44">
        <v>16492.48</v>
      </c>
      <c r="AY38" s="44">
        <v>31941.719278396748</v>
      </c>
      <c r="AZ38" s="44">
        <v>5726.7960110763079</v>
      </c>
      <c r="BA38" s="44">
        <v>8616.9564132058804</v>
      </c>
      <c r="BB38" s="44">
        <v>9804.201054085237</v>
      </c>
      <c r="BC38" s="44">
        <v>0</v>
      </c>
      <c r="BD38" s="44">
        <v>0</v>
      </c>
      <c r="BE38" s="44">
        <v>18359.522912876575</v>
      </c>
      <c r="BF38" s="44">
        <v>7226.6229419762258</v>
      </c>
      <c r="BG38" s="44">
        <v>4457.1149128074831</v>
      </c>
      <c r="BH38" s="44">
        <v>8063.479523422815</v>
      </c>
      <c r="BI38" s="44">
        <v>9844.3141412022524</v>
      </c>
      <c r="BJ38" s="44">
        <v>0</v>
      </c>
      <c r="BK38" s="44">
        <v>0</v>
      </c>
      <c r="BL38" s="44">
        <v>38574.720873055485</v>
      </c>
      <c r="BM38" s="44">
        <v>13323.939359571177</v>
      </c>
      <c r="BN38" s="44">
        <v>7253.8554669642272</v>
      </c>
      <c r="BO38" s="44">
        <v>6400.1942585407887</v>
      </c>
      <c r="BP38" s="44">
        <v>10344.894538158977</v>
      </c>
      <c r="BQ38" s="44">
        <v>0</v>
      </c>
      <c r="BR38" s="44">
        <v>0</v>
      </c>
      <c r="BS38" s="44">
        <v>19777.45871838423</v>
      </c>
      <c r="BT38" s="44">
        <v>11273.309521758096</v>
      </c>
      <c r="BU38" s="44">
        <v>5698.0418092094542</v>
      </c>
      <c r="BV38" s="44">
        <v>4526.6868338352688</v>
      </c>
      <c r="BW38" s="44">
        <v>7988.1250731028867</v>
      </c>
      <c r="BX38" s="44">
        <v>0</v>
      </c>
      <c r="BY38" s="44">
        <v>0</v>
      </c>
      <c r="BZ38" s="44">
        <v>26773.588699598164</v>
      </c>
      <c r="CA38" s="44">
        <v>12551.132640742973</v>
      </c>
      <c r="CB38" s="44">
        <v>2756.9038131276238</v>
      </c>
      <c r="CC38" s="44">
        <v>10110.225640872233</v>
      </c>
      <c r="CD38" s="44">
        <v>7642.1930308692727</v>
      </c>
      <c r="CE38" s="44">
        <v>0</v>
      </c>
      <c r="CF38" s="44">
        <v>0</v>
      </c>
      <c r="CG38" s="44">
        <v>21964.113105315235</v>
      </c>
      <c r="CH38" s="44">
        <v>12009.495798768041</v>
      </c>
      <c r="CI38" s="44">
        <v>8992.374526958336</v>
      </c>
      <c r="CJ38" s="44">
        <v>7815.6890221852154</v>
      </c>
      <c r="CK38" s="44">
        <v>9401.9851122403124</v>
      </c>
      <c r="CL38" s="44">
        <v>0</v>
      </c>
      <c r="CM38" s="44">
        <v>0</v>
      </c>
      <c r="CN38" s="44">
        <v>18200.12636250813</v>
      </c>
      <c r="CO38" s="44">
        <v>2499.216497593296</v>
      </c>
      <c r="CP38" s="44">
        <v>23640.72077291855</v>
      </c>
      <c r="CQ38" s="44">
        <v>12937.040333095803</v>
      </c>
      <c r="CR38" s="44">
        <v>9227.7829782896915</v>
      </c>
      <c r="CS38" s="44">
        <v>0</v>
      </c>
      <c r="CT38" s="44">
        <v>0</v>
      </c>
      <c r="CU38" s="44">
        <v>24611.795363660323</v>
      </c>
      <c r="CV38" s="44">
        <v>12746.601952762905</v>
      </c>
      <c r="CW38" s="44">
        <v>7777.5398123554251</v>
      </c>
      <c r="CX38" s="44">
        <v>14211.869986010366</v>
      </c>
      <c r="CY38" s="44">
        <v>8426.3077595228424</v>
      </c>
      <c r="CZ38" s="44">
        <v>0</v>
      </c>
      <c r="DA38" s="44">
        <v>0</v>
      </c>
      <c r="DB38" s="44">
        <v>34723.812381215765</v>
      </c>
      <c r="DC38" s="44">
        <v>8790.4613716596941</v>
      </c>
      <c r="DD38" s="44">
        <v>15177.956025927646</v>
      </c>
      <c r="DE38" s="44">
        <v>5557.2494780973484</v>
      </c>
      <c r="DF38" s="44">
        <v>4552.398633369161</v>
      </c>
      <c r="DG38" s="44">
        <v>0</v>
      </c>
      <c r="DH38" s="44">
        <v>0</v>
      </c>
      <c r="DI38" s="44">
        <v>36929.340717184765</v>
      </c>
      <c r="DJ38" s="44">
        <v>14215.477828581945</v>
      </c>
      <c r="DK38" s="44">
        <v>8323.0033249815497</v>
      </c>
      <c r="DL38" s="44">
        <v>10236.889819610838</v>
      </c>
      <c r="DM38" s="44">
        <v>10387.515133000001</v>
      </c>
      <c r="DN38" s="44">
        <v>0</v>
      </c>
      <c r="DO38" s="44">
        <v>0</v>
      </c>
      <c r="DP38" s="44">
        <v>28939.05</v>
      </c>
      <c r="DQ38" s="44">
        <v>11601.871396</v>
      </c>
      <c r="DR38" s="44">
        <v>6163.6985889999996</v>
      </c>
      <c r="DS38" s="44">
        <v>4421.5027957379907</v>
      </c>
      <c r="DT38" s="44">
        <v>30004.99333773593</v>
      </c>
      <c r="DU38" s="44">
        <v>0</v>
      </c>
      <c r="DV38" s="44">
        <v>0</v>
      </c>
      <c r="DW38" s="44">
        <v>33149.493187052125</v>
      </c>
      <c r="DX38" s="44">
        <v>16774.374951065896</v>
      </c>
      <c r="DY38" s="44">
        <v>10566.17851748326</v>
      </c>
      <c r="DZ38" s="44">
        <v>9348.1534007266746</v>
      </c>
      <c r="EA38" s="44">
        <v>10722.425339845971</v>
      </c>
      <c r="EB38" s="44">
        <v>-8.56</v>
      </c>
      <c r="EC38" s="44">
        <v>0</v>
      </c>
      <c r="ED38" s="44">
        <v>10163.603751345845</v>
      </c>
      <c r="EE38" s="44">
        <v>32453.556843149792</v>
      </c>
      <c r="EF38" s="44">
        <v>7853.9943355198402</v>
      </c>
      <c r="EG38" s="44">
        <v>3834.2031203576989</v>
      </c>
      <c r="EH38" s="44">
        <v>10140.986106990222</v>
      </c>
      <c r="EI38" s="44">
        <v>0</v>
      </c>
      <c r="EJ38" s="44">
        <v>0</v>
      </c>
      <c r="EK38" s="44">
        <v>41700.031938071501</v>
      </c>
      <c r="EL38" s="44">
        <v>10329.388583338594</v>
      </c>
      <c r="EM38" s="44">
        <v>16722.593510400213</v>
      </c>
      <c r="EN38" s="44">
        <v>10899.565508497317</v>
      </c>
      <c r="EO38" s="44">
        <v>12970.27606081271</v>
      </c>
      <c r="EP38" s="44">
        <v>0</v>
      </c>
      <c r="EQ38" s="44">
        <v>0</v>
      </c>
      <c r="ER38" s="44">
        <v>17451.36</v>
      </c>
      <c r="ES38" s="44">
        <v>29118.752265865915</v>
      </c>
      <c r="ET38" s="44">
        <v>11681.557328723153</v>
      </c>
      <c r="EU38" s="44">
        <v>10089.824585716693</v>
      </c>
      <c r="EV38" s="44">
        <v>9960.3462634950847</v>
      </c>
      <c r="EW38" s="44">
        <v>0</v>
      </c>
      <c r="EX38" s="44">
        <v>0</v>
      </c>
      <c r="EY38" s="44">
        <v>47584.87602139813</v>
      </c>
      <c r="EZ38" s="44">
        <v>23878.028496399646</v>
      </c>
      <c r="FA38" s="44">
        <v>15880.710803096919</v>
      </c>
      <c r="FB38" s="44">
        <v>15114.281325500157</v>
      </c>
      <c r="FC38" s="44">
        <v>6962.3192108441208</v>
      </c>
      <c r="FD38" s="44">
        <v>0</v>
      </c>
      <c r="FE38" s="44">
        <v>0</v>
      </c>
      <c r="FF38" s="44">
        <v>46369.463323877178</v>
      </c>
      <c r="FG38" s="44">
        <v>19977.203128917987</v>
      </c>
      <c r="FH38" s="44">
        <v>9931.5752815878186</v>
      </c>
      <c r="FI38" s="44">
        <v>5191.2145997395637</v>
      </c>
      <c r="FJ38" s="44">
        <v>16107.966237037663</v>
      </c>
      <c r="FK38" s="44">
        <v>0</v>
      </c>
      <c r="FL38" s="44">
        <v>0</v>
      </c>
      <c r="FM38" s="44">
        <v>46518.99007034165</v>
      </c>
      <c r="FN38" s="44">
        <v>21086.457331592152</v>
      </c>
      <c r="FO38" s="44">
        <v>12325.415100813512</v>
      </c>
      <c r="FP38" s="44">
        <v>9420.18</v>
      </c>
      <c r="FQ38" s="44">
        <v>17771.987138649431</v>
      </c>
      <c r="FR38" s="44">
        <v>0</v>
      </c>
      <c r="FS38" s="44">
        <v>0</v>
      </c>
      <c r="FT38" s="44">
        <v>33712.494033476469</v>
      </c>
      <c r="FU38" s="44">
        <v>22094.436974078126</v>
      </c>
      <c r="FV38" s="44">
        <v>15653.120082306559</v>
      </c>
      <c r="FW38" s="44">
        <v>20836.046441769016</v>
      </c>
      <c r="FX38" s="44">
        <v>23081.785833154932</v>
      </c>
      <c r="FY38" s="44">
        <v>0</v>
      </c>
      <c r="FZ38" s="44">
        <v>0</v>
      </c>
      <c r="GA38" s="44">
        <v>39571.688676510064</v>
      </c>
      <c r="GB38" s="44">
        <v>22810.128439194046</v>
      </c>
      <c r="GC38" s="44">
        <v>27343.869407291571</v>
      </c>
      <c r="GD38" s="44">
        <v>19344.326493562497</v>
      </c>
      <c r="GE38" s="44">
        <v>12082.64</v>
      </c>
      <c r="GF38" s="44">
        <v>-46.6</v>
      </c>
      <c r="GG38" s="44">
        <v>0</v>
      </c>
      <c r="GH38" s="44">
        <v>47787.811713047166</v>
      </c>
      <c r="GI38" s="44">
        <v>26529.211310098432</v>
      </c>
      <c r="GJ38" s="44">
        <v>19840.361910661835</v>
      </c>
      <c r="GK38" s="44">
        <v>12315.704483400035</v>
      </c>
      <c r="GL38" s="44">
        <v>14878.869006169913</v>
      </c>
      <c r="GM38" s="44">
        <v>0</v>
      </c>
      <c r="GN38" s="44">
        <v>0</v>
      </c>
      <c r="GO38" s="44">
        <v>34590.770281269455</v>
      </c>
      <c r="GP38" s="44">
        <v>23421.80726836772</v>
      </c>
      <c r="GQ38" s="44">
        <v>21274.169708985999</v>
      </c>
      <c r="GR38" s="44">
        <v>22653.438080490741</v>
      </c>
      <c r="GS38" s="44">
        <v>13874.947364453081</v>
      </c>
      <c r="GT38" s="44">
        <v>0</v>
      </c>
      <c r="GU38" s="44">
        <v>0</v>
      </c>
      <c r="GV38" s="44">
        <v>53542.455299524314</v>
      </c>
      <c r="GW38" s="44">
        <v>24209.64215052619</v>
      </c>
      <c r="GX38" s="44">
        <v>31268.481618816568</v>
      </c>
      <c r="GY38" s="44">
        <v>31452.952978382</v>
      </c>
      <c r="GZ38" s="44">
        <v>14052.608556220581</v>
      </c>
      <c r="HA38" s="44">
        <v>0</v>
      </c>
      <c r="HB38" s="44">
        <v>0</v>
      </c>
      <c r="HC38" s="44">
        <v>46769.038473778695</v>
      </c>
      <c r="HD38" s="44">
        <v>23904.719279917765</v>
      </c>
      <c r="HE38" s="44">
        <v>14795.340501310713</v>
      </c>
      <c r="HF38" s="44">
        <v>17917.378542290498</v>
      </c>
      <c r="HG38" s="44">
        <v>20354.86298633878</v>
      </c>
      <c r="HH38" s="44">
        <v>-12.15</v>
      </c>
      <c r="HI38" s="44">
        <v>0</v>
      </c>
      <c r="HJ38" s="44">
        <v>67976.092547764041</v>
      </c>
      <c r="HK38" s="44">
        <v>25393.746162979762</v>
      </c>
      <c r="HL38" s="44">
        <v>16013.508405669738</v>
      </c>
      <c r="HM38" s="44">
        <v>16905.521399709411</v>
      </c>
      <c r="HN38" s="44">
        <v>15594.068614038179</v>
      </c>
      <c r="HO38" s="44">
        <v>0</v>
      </c>
      <c r="HP38" s="44">
        <v>0</v>
      </c>
      <c r="HQ38" s="44">
        <v>59565.684311202611</v>
      </c>
      <c r="HR38" s="44">
        <v>26817.499596851336</v>
      </c>
      <c r="HS38" s="44">
        <v>22307.619871701922</v>
      </c>
      <c r="HT38" s="44">
        <v>12666.415984420553</v>
      </c>
      <c r="HU38" s="44">
        <v>20306.261293097425</v>
      </c>
      <c r="HV38" s="44">
        <v>0</v>
      </c>
      <c r="HW38" s="44">
        <v>0</v>
      </c>
      <c r="HX38" s="44">
        <v>58411.930168213541</v>
      </c>
      <c r="HY38" s="44">
        <v>33972.884973470762</v>
      </c>
      <c r="HZ38" s="44">
        <v>30710.337679613171</v>
      </c>
      <c r="IA38" s="44">
        <v>7085.1923016234041</v>
      </c>
      <c r="IB38" s="44">
        <v>21435.356673728958</v>
      </c>
      <c r="IC38" s="44">
        <v>0</v>
      </c>
      <c r="ID38" s="44">
        <v>-5.98</v>
      </c>
      <c r="IE38" s="44">
        <v>21747.471548165839</v>
      </c>
      <c r="IF38" s="44">
        <v>62853.601344704366</v>
      </c>
      <c r="IG38" s="44">
        <v>15772.139923283796</v>
      </c>
      <c r="IH38" s="44">
        <v>30645.619696092646</v>
      </c>
      <c r="II38" s="44">
        <v>23983.047161859482</v>
      </c>
      <c r="IJ38" s="44">
        <v>0</v>
      </c>
      <c r="IK38" s="44">
        <v>0</v>
      </c>
      <c r="IL38" s="44">
        <v>41717.610000000066</v>
      </c>
      <c r="IM38" s="44">
        <v>89277.470683531094</v>
      </c>
      <c r="IN38" s="44">
        <v>35684.790644756984</v>
      </c>
      <c r="IO38" s="44">
        <v>25438.839962049955</v>
      </c>
      <c r="IP38" s="44">
        <v>21534.850896023418</v>
      </c>
      <c r="IQ38" s="44">
        <v>0</v>
      </c>
      <c r="IR38" s="44">
        <v>0</v>
      </c>
      <c r="IS38" s="44">
        <v>64816.592691806232</v>
      </c>
      <c r="IT38" s="44">
        <v>31230.872621735711</v>
      </c>
      <c r="IU38" s="44">
        <v>22307.431309749532</v>
      </c>
      <c r="IV38" s="44">
        <v>22412.296011101309</v>
      </c>
      <c r="IW38" s="44">
        <v>21646.683242091109</v>
      </c>
      <c r="IX38" s="44">
        <v>-9.1</v>
      </c>
      <c r="IY38" s="44">
        <v>0</v>
      </c>
      <c r="IZ38" s="44">
        <v>79112.343816819615</v>
      </c>
      <c r="JA38" s="44">
        <v>46318.458918257769</v>
      </c>
      <c r="JB38" s="44">
        <v>31341.554655437132</v>
      </c>
      <c r="JC38" s="44">
        <v>13364.978103359059</v>
      </c>
      <c r="JD38" s="44">
        <v>44668.367266666159</v>
      </c>
      <c r="JE38" s="44">
        <v>0</v>
      </c>
      <c r="JF38" s="44">
        <v>0</v>
      </c>
      <c r="JG38" s="44">
        <v>68678.786220004898</v>
      </c>
      <c r="JH38" s="44">
        <v>39471.59106342282</v>
      </c>
      <c r="JI38" s="44">
        <v>20578.303737752431</v>
      </c>
      <c r="JJ38" s="44">
        <v>24500.113679080616</v>
      </c>
      <c r="JK38" s="44">
        <v>29695.082674960966</v>
      </c>
      <c r="JL38" s="44">
        <v>-43.247819999999997</v>
      </c>
      <c r="JM38" s="44">
        <v>0</v>
      </c>
      <c r="JN38" s="44">
        <v>66407.01902186028</v>
      </c>
      <c r="JO38" s="44">
        <v>38220.749464431865</v>
      </c>
      <c r="JP38" s="44">
        <v>28668.889547640691</v>
      </c>
      <c r="JQ38" s="44">
        <v>54978.718272029364</v>
      </c>
      <c r="JR38" s="44">
        <v>34411.923529676838</v>
      </c>
      <c r="JS38" s="44">
        <v>0</v>
      </c>
      <c r="JT38" s="44">
        <v>0</v>
      </c>
      <c r="JU38" s="44">
        <v>90612.701049822281</v>
      </c>
      <c r="JV38" s="44">
        <v>39519.700323375859</v>
      </c>
      <c r="JW38" s="44">
        <v>28501.371140499941</v>
      </c>
      <c r="JX38" s="44">
        <v>27822.847006211236</v>
      </c>
      <c r="JY38" s="44">
        <v>29791.138113725046</v>
      </c>
      <c r="JZ38" s="44">
        <v>-85.78</v>
      </c>
      <c r="KA38" s="44">
        <v>0</v>
      </c>
      <c r="KB38" s="44">
        <v>43097.830000000016</v>
      </c>
      <c r="KC38" s="44">
        <v>66521.770668473881</v>
      </c>
      <c r="KD38" s="44">
        <v>29295.183435972627</v>
      </c>
      <c r="KE38" s="44">
        <v>44380.839672261238</v>
      </c>
      <c r="KF38" s="44">
        <v>42111.247479765858</v>
      </c>
      <c r="KG38" s="44">
        <v>-309.24</v>
      </c>
      <c r="KH38" s="44">
        <v>0</v>
      </c>
      <c r="KI38" s="44">
        <v>76629.368340356392</v>
      </c>
      <c r="KJ38" s="44">
        <v>44437.471557527402</v>
      </c>
      <c r="KK38" s="44">
        <v>25859.732574941489</v>
      </c>
      <c r="KL38" s="44">
        <v>27763.510131042221</v>
      </c>
      <c r="KM38" s="44">
        <v>17825.408571931355</v>
      </c>
      <c r="KN38" s="44">
        <v>0</v>
      </c>
      <c r="KO38" s="44">
        <v>0</v>
      </c>
      <c r="KP38" s="44">
        <v>58392.010105768306</v>
      </c>
      <c r="KQ38" s="44">
        <v>34301.878057679642</v>
      </c>
      <c r="KR38" s="44">
        <v>21503.846832974916</v>
      </c>
      <c r="KS38" s="44">
        <v>27409.921428868722</v>
      </c>
      <c r="KT38" s="44">
        <v>13655.336862754804</v>
      </c>
      <c r="KU38" s="44">
        <v>0</v>
      </c>
      <c r="KV38" s="44">
        <v>0</v>
      </c>
      <c r="KW38" s="44">
        <v>112095.39012771458</v>
      </c>
      <c r="KX38" s="44">
        <v>62241.641131089273</v>
      </c>
      <c r="KY38" s="44">
        <v>31155.520582875622</v>
      </c>
      <c r="KZ38" s="44">
        <v>29772.264073583967</v>
      </c>
      <c r="LA38" s="44">
        <v>29621.058679593945</v>
      </c>
      <c r="LB38" s="44">
        <v>0</v>
      </c>
      <c r="LC38" s="44">
        <v>0</v>
      </c>
      <c r="LD38" s="44">
        <v>93402.936638540617</v>
      </c>
      <c r="LE38" s="44">
        <v>27030.169999999995</v>
      </c>
      <c r="LF38" s="44">
        <v>39339.300035402164</v>
      </c>
      <c r="LG38" s="44">
        <v>28645.973722087576</v>
      </c>
      <c r="LH38" s="44">
        <v>26921.495010274262</v>
      </c>
      <c r="LI38" s="44">
        <v>0</v>
      </c>
      <c r="LJ38" s="44">
        <v>0</v>
      </c>
      <c r="LK38" s="44">
        <v>85657.888452773535</v>
      </c>
      <c r="LL38" s="44">
        <v>38330.971396921625</v>
      </c>
      <c r="LM38" s="44">
        <v>29265.248763319913</v>
      </c>
      <c r="LN38" s="44">
        <v>31558.222514939273</v>
      </c>
      <c r="LO38" s="44">
        <v>23347.468123074155</v>
      </c>
      <c r="LP38" s="44">
        <v>-40.199495281550597</v>
      </c>
      <c r="LQ38" s="44">
        <v>0</v>
      </c>
      <c r="LR38" s="44">
        <v>74412.13136391851</v>
      </c>
      <c r="LS38" s="44">
        <v>42048.51215194293</v>
      </c>
      <c r="LT38" s="44">
        <v>24587.536570341632</v>
      </c>
      <c r="LU38" s="44">
        <v>13922.59</v>
      </c>
      <c r="LV38" s="44">
        <v>47910.393334581735</v>
      </c>
      <c r="LW38" s="44">
        <v>0</v>
      </c>
      <c r="LX38" s="44">
        <v>0</v>
      </c>
      <c r="LY38" s="44">
        <v>89776.571919986309</v>
      </c>
      <c r="LZ38" s="44">
        <v>60180.612881307992</v>
      </c>
      <c r="MA38" s="44">
        <v>42850.62989077378</v>
      </c>
      <c r="MB38" s="44">
        <v>27349.41</v>
      </c>
      <c r="MC38" s="44">
        <v>31467.723519262661</v>
      </c>
      <c r="MD38" s="44">
        <v>-88.77</v>
      </c>
      <c r="ME38" s="44">
        <v>0</v>
      </c>
      <c r="MF38" s="44">
        <v>49199.433798944832</v>
      </c>
      <c r="MG38" s="44">
        <v>93600.722218107403</v>
      </c>
      <c r="MH38" s="44">
        <v>32784.659145893442</v>
      </c>
      <c r="MI38" s="44">
        <v>25375.360141368088</v>
      </c>
      <c r="MJ38" s="44">
        <v>24078.585081541896</v>
      </c>
      <c r="MK38" s="44">
        <v>0</v>
      </c>
      <c r="ML38" s="44">
        <v>0</v>
      </c>
      <c r="MM38" s="44">
        <v>76079.62289747606</v>
      </c>
      <c r="MN38" s="44">
        <v>51455.215584206402</v>
      </c>
      <c r="MO38" s="44">
        <v>31165.696062797935</v>
      </c>
      <c r="MP38" s="44">
        <v>25702.205441600243</v>
      </c>
      <c r="MQ38" s="44">
        <v>27522.950700569803</v>
      </c>
      <c r="MR38" s="44">
        <v>0</v>
      </c>
      <c r="MS38" s="44">
        <v>0</v>
      </c>
      <c r="MT38" s="44">
        <v>81992.66593982128</v>
      </c>
      <c r="MU38" s="44">
        <v>45353.271513068656</v>
      </c>
      <c r="MV38" s="44">
        <v>15760.590787757867</v>
      </c>
      <c r="MW38" s="44">
        <v>0</v>
      </c>
      <c r="MX38" s="44">
        <v>77209.608958126249</v>
      </c>
      <c r="MY38" s="44">
        <v>0</v>
      </c>
      <c r="MZ38" s="44">
        <v>0</v>
      </c>
      <c r="NA38" s="44">
        <v>64647.641952769511</v>
      </c>
      <c r="NB38" s="44">
        <v>17634.325890082648</v>
      </c>
      <c r="NC38" s="44">
        <v>19577.591503246869</v>
      </c>
      <c r="ND38" s="44">
        <v>0</v>
      </c>
      <c r="NE38" s="44">
        <v>107778.35730173191</v>
      </c>
      <c r="NF38" s="44">
        <v>0</v>
      </c>
      <c r="NG38" s="44">
        <v>0</v>
      </c>
      <c r="NH38" s="44">
        <v>86358.090362282688</v>
      </c>
      <c r="NI38" s="44">
        <v>37985.606235663618</v>
      </c>
      <c r="NJ38" s="44">
        <v>24271.073684636984</v>
      </c>
      <c r="NK38" s="44">
        <v>16041.489538515045</v>
      </c>
      <c r="NL38" s="44">
        <v>20637.841714265855</v>
      </c>
      <c r="NM38" s="44">
        <v>0</v>
      </c>
      <c r="NN38" s="44">
        <v>0</v>
      </c>
      <c r="NO38" s="44">
        <v>68681.021681840648</v>
      </c>
      <c r="NP38" s="44">
        <v>34028.790260538241</v>
      </c>
      <c r="NQ38" s="44">
        <v>27097.296572650423</v>
      </c>
      <c r="NR38" s="44">
        <v>27579.986548439694</v>
      </c>
      <c r="NS38" s="44">
        <v>27546.997514206421</v>
      </c>
      <c r="NT38" s="44">
        <v>0</v>
      </c>
      <c r="NU38" s="44">
        <v>0</v>
      </c>
      <c r="NV38" s="44">
        <v>33601.590000000171</v>
      </c>
      <c r="NW38" s="44">
        <v>68057.299009469076</v>
      </c>
      <c r="NX38" s="44">
        <v>34429.30692966011</v>
      </c>
      <c r="NY38" s="44">
        <v>22401.794965084009</v>
      </c>
      <c r="NZ38" s="44">
        <v>27873.481501649781</v>
      </c>
      <c r="OA38" s="44">
        <v>0</v>
      </c>
      <c r="OB38" s="44">
        <v>0</v>
      </c>
      <c r="OC38" s="44">
        <v>70796.051776677268</v>
      </c>
      <c r="OD38" s="44">
        <v>37681.22242633217</v>
      </c>
      <c r="OE38" s="44">
        <v>26929.619060000001</v>
      </c>
      <c r="OF38" s="44">
        <v>24793.718718958196</v>
      </c>
      <c r="OG38" s="44">
        <v>21055.592540174846</v>
      </c>
      <c r="OH38" s="44">
        <v>0</v>
      </c>
      <c r="OI38" s="44">
        <v>0</v>
      </c>
      <c r="OJ38" s="44">
        <v>86371.670596665703</v>
      </c>
      <c r="OK38" s="44">
        <v>50868.353409453848</v>
      </c>
      <c r="OL38" s="44">
        <v>29638.116600000001</v>
      </c>
      <c r="OM38" s="44">
        <v>35705.413495958826</v>
      </c>
      <c r="ON38" s="44">
        <v>20093.581733441475</v>
      </c>
      <c r="OO38" s="44">
        <v>-980</v>
      </c>
      <c r="OP38" s="44">
        <v>0</v>
      </c>
      <c r="OQ38" s="44">
        <v>73367.238229960043</v>
      </c>
      <c r="OR38" s="44">
        <v>31044.140259469939</v>
      </c>
      <c r="OS38" s="44">
        <v>27213.023178330863</v>
      </c>
      <c r="OT38" s="44">
        <v>20801.080685636458</v>
      </c>
      <c r="OU38" s="44">
        <v>22847.492417663831</v>
      </c>
      <c r="OV38" s="44">
        <v>0</v>
      </c>
      <c r="OW38" s="44">
        <v>0</v>
      </c>
      <c r="OX38" s="44">
        <v>45463.930000000029</v>
      </c>
      <c r="OY38" s="44">
        <v>63486.641960166526</v>
      </c>
      <c r="OZ38" s="44">
        <v>71628.372152460448</v>
      </c>
      <c r="PA38" s="44">
        <v>39229.487317283143</v>
      </c>
      <c r="PB38" s="44">
        <v>26323.694725707559</v>
      </c>
      <c r="PC38" s="44">
        <v>-11.642866894197955</v>
      </c>
      <c r="PD38" s="44">
        <v>0</v>
      </c>
      <c r="PE38" s="44">
        <v>81592.606977627409</v>
      </c>
      <c r="PF38" s="44">
        <v>47414.173844913821</v>
      </c>
      <c r="PG38" s="44">
        <v>37813.579624198886</v>
      </c>
      <c r="PH38" s="44">
        <v>14667.650449377566</v>
      </c>
      <c r="PI38" s="44">
        <v>34677.862965578417</v>
      </c>
      <c r="PJ38" s="44">
        <v>0</v>
      </c>
      <c r="PK38" s="44">
        <v>0</v>
      </c>
      <c r="PL38" s="44">
        <v>106040.95823653424</v>
      </c>
      <c r="PM38" s="44">
        <v>79257.459005537487</v>
      </c>
      <c r="PN38" s="44">
        <v>52887.858102289887</v>
      </c>
      <c r="PO38" s="44">
        <v>42735.063988188718</v>
      </c>
      <c r="PP38" s="44">
        <v>33711.04613038039</v>
      </c>
      <c r="PQ38" s="44">
        <v>0</v>
      </c>
      <c r="PR38" s="44">
        <v>0</v>
      </c>
      <c r="PS38" s="44">
        <v>90241.657128176201</v>
      </c>
      <c r="PT38" s="44">
        <v>56705.758634567712</v>
      </c>
      <c r="PU38" s="44">
        <v>39137.85395775643</v>
      </c>
      <c r="PV38" s="44">
        <v>24064.927035205525</v>
      </c>
      <c r="PW38" s="44">
        <v>27194.495019999064</v>
      </c>
      <c r="PX38" s="44">
        <v>0</v>
      </c>
      <c r="PY38" s="44">
        <v>0</v>
      </c>
      <c r="PZ38" s="44">
        <v>117407.33563502535</v>
      </c>
      <c r="QA38" s="44">
        <v>61439.679744648878</v>
      </c>
      <c r="QB38" s="44">
        <v>46477.285201618048</v>
      </c>
      <c r="QC38" s="44">
        <v>57219.262680348344</v>
      </c>
      <c r="QD38" s="44">
        <v>21870.822724137885</v>
      </c>
      <c r="QE38" s="44">
        <v>0</v>
      </c>
      <c r="QF38" s="44">
        <v>0</v>
      </c>
      <c r="QG38" s="44">
        <v>140619.92004699179</v>
      </c>
      <c r="QH38" s="44">
        <v>60322.036449995634</v>
      </c>
      <c r="QI38" s="44">
        <v>38023.413650781469</v>
      </c>
      <c r="QJ38" s="44">
        <v>39219.230576114598</v>
      </c>
      <c r="QK38" s="44">
        <v>48668.530849169678</v>
      </c>
      <c r="QL38" s="44">
        <v>0</v>
      </c>
      <c r="QM38" s="44">
        <v>0</v>
      </c>
      <c r="QN38" s="44">
        <v>119144.02773784781</v>
      </c>
      <c r="QO38" s="44">
        <v>62144.799833784818</v>
      </c>
      <c r="QP38" s="44">
        <v>51831.269398475604</v>
      </c>
      <c r="QQ38" s="44">
        <v>42601.580049923541</v>
      </c>
      <c r="QR38" s="44">
        <v>34902.82139850274</v>
      </c>
      <c r="QS38" s="44">
        <v>0</v>
      </c>
      <c r="QT38" s="44">
        <v>0</v>
      </c>
      <c r="QU38" s="44">
        <v>207480.09239167723</v>
      </c>
      <c r="QV38" s="44">
        <v>74757.881208330829</v>
      </c>
      <c r="QW38" s="44">
        <v>45924.732858035502</v>
      </c>
      <c r="QX38" s="44">
        <v>26103.217737484247</v>
      </c>
      <c r="QY38" s="44">
        <v>75626.75529231166</v>
      </c>
      <c r="QZ38" s="44">
        <v>0</v>
      </c>
      <c r="RA38" s="44">
        <v>0</v>
      </c>
      <c r="RB38" s="44">
        <v>117994.5457932975</v>
      </c>
      <c r="RC38" s="44">
        <v>65976.200466646711</v>
      </c>
      <c r="RD38" s="44">
        <v>49355.643190347095</v>
      </c>
      <c r="RE38" s="44">
        <v>55943.490522573207</v>
      </c>
      <c r="RF38" s="44">
        <v>72391.214076168384</v>
      </c>
      <c r="RG38" s="44">
        <v>-138.02453900709222</v>
      </c>
      <c r="RH38" s="44">
        <v>0</v>
      </c>
      <c r="RI38" s="44">
        <v>137341.11856596608</v>
      </c>
      <c r="RJ38" s="44">
        <v>68451.004594786064</v>
      </c>
      <c r="RK38" s="44">
        <v>47325.704617060561</v>
      </c>
      <c r="RL38" s="44">
        <v>42866.173073041064</v>
      </c>
      <c r="RM38" s="44">
        <v>40801.302892058731</v>
      </c>
      <c r="RN38" s="44">
        <v>0</v>
      </c>
      <c r="RO38" s="44">
        <v>0</v>
      </c>
      <c r="RP38" s="44">
        <v>121846.10914010048</v>
      </c>
      <c r="RQ38" s="44">
        <v>62660.710427080543</v>
      </c>
      <c r="RR38" s="44">
        <v>33024.086517106327</v>
      </c>
      <c r="RS38" s="44">
        <v>46532.812309309513</v>
      </c>
      <c r="RT38" s="44">
        <v>17220.225135009132</v>
      </c>
      <c r="RU38" s="44">
        <v>0</v>
      </c>
      <c r="RV38" s="44">
        <v>0</v>
      </c>
      <c r="RW38" s="44">
        <v>195468.3366267675</v>
      </c>
      <c r="RX38" s="44">
        <v>81319.472224285622</v>
      </c>
      <c r="RY38" s="44">
        <v>54782.882348370942</v>
      </c>
      <c r="RZ38" s="44">
        <v>51906.551270663469</v>
      </c>
      <c r="SA38" s="44">
        <v>43383.548704338573</v>
      </c>
      <c r="SB38" s="44">
        <v>0</v>
      </c>
      <c r="SC38" s="44">
        <v>0</v>
      </c>
      <c r="SD38" s="44">
        <v>123954.04954009775</v>
      </c>
      <c r="SE38" s="44">
        <v>65488.295453206934</v>
      </c>
      <c r="SF38" s="44">
        <v>42025.98984697392</v>
      </c>
      <c r="SG38" s="44">
        <v>44616.111372201995</v>
      </c>
      <c r="SH38" s="44">
        <v>50680.522603141188</v>
      </c>
      <c r="SI38" s="44">
        <v>0</v>
      </c>
      <c r="SJ38" s="44">
        <v>0</v>
      </c>
      <c r="SK38" s="44">
        <v>151770.72846172075</v>
      </c>
      <c r="SL38" s="44">
        <v>78668.428883969405</v>
      </c>
      <c r="SM38" s="44">
        <v>63733.15146720504</v>
      </c>
      <c r="SN38" s="44">
        <v>54355.492006196058</v>
      </c>
      <c r="SO38" s="44">
        <v>52822.259123807016</v>
      </c>
      <c r="SP38" s="44">
        <v>0</v>
      </c>
      <c r="SQ38" s="44">
        <v>0</v>
      </c>
      <c r="SR38" s="44">
        <v>63461.299999999974</v>
      </c>
      <c r="SS38" s="44">
        <v>146432.28304818796</v>
      </c>
      <c r="ST38" s="44">
        <v>31616.131171773715</v>
      </c>
      <c r="SU38" s="44">
        <v>77664.861591884051</v>
      </c>
      <c r="SV38" s="44">
        <v>54525.918753975973</v>
      </c>
      <c r="SW38" s="44">
        <v>-217.23999999999998</v>
      </c>
      <c r="SX38" s="44">
        <v>0</v>
      </c>
      <c r="SY38" s="44">
        <v>151248.44253577315</v>
      </c>
      <c r="SZ38" s="44">
        <v>97698.072478384129</v>
      </c>
      <c r="TA38" s="44">
        <v>74830.735344054949</v>
      </c>
      <c r="TB38" s="44">
        <v>82382.815845656296</v>
      </c>
      <c r="TC38" s="44">
        <v>59163.095003706832</v>
      </c>
      <c r="TD38" s="44">
        <v>0</v>
      </c>
      <c r="TE38" s="44">
        <v>0</v>
      </c>
      <c r="TF38" s="44">
        <v>196521.28513873462</v>
      </c>
      <c r="TG38" s="44">
        <v>87609.563139458944</v>
      </c>
      <c r="TH38" s="115">
        <v>65776.879440891236</v>
      </c>
      <c r="TI38" s="115">
        <v>50341.284539928165</v>
      </c>
      <c r="TJ38" s="115">
        <v>30885.472058561925</v>
      </c>
      <c r="TK38" s="115">
        <v>0</v>
      </c>
      <c r="TL38" s="115">
        <v>0</v>
      </c>
      <c r="TM38" s="115">
        <v>164800.66551155821</v>
      </c>
      <c r="TN38" s="115">
        <v>82188.643842888123</v>
      </c>
      <c r="TO38" s="115">
        <v>73249.913758769573</v>
      </c>
      <c r="TP38" s="115">
        <v>60131.677516003489</v>
      </c>
      <c r="TQ38" s="115">
        <v>20556.419999999998</v>
      </c>
      <c r="TR38" s="115">
        <v>0</v>
      </c>
      <c r="TS38" s="115">
        <v>0</v>
      </c>
      <c r="TT38" s="115">
        <v>207227.07624976285</v>
      </c>
      <c r="TU38" s="115">
        <v>75304.821673046361</v>
      </c>
      <c r="TV38" s="115">
        <v>58447.27522635943</v>
      </c>
      <c r="TW38" s="115">
        <v>53580.693976832685</v>
      </c>
      <c r="TX38" s="115">
        <v>58545.338332868276</v>
      </c>
      <c r="TY38" s="115">
        <v>0</v>
      </c>
      <c r="TZ38" s="115">
        <v>0</v>
      </c>
      <c r="UA38" s="115">
        <v>141453.48240611385</v>
      </c>
      <c r="UB38" s="115">
        <v>71297.127694561117</v>
      </c>
      <c r="UC38" s="115">
        <v>52062.304112632046</v>
      </c>
      <c r="UD38" s="115">
        <v>81979.159839691507</v>
      </c>
      <c r="UE38" s="115">
        <v>63053.62004095719</v>
      </c>
      <c r="UF38" s="115">
        <v>0</v>
      </c>
      <c r="UG38" s="115">
        <v>0</v>
      </c>
      <c r="UH38" s="115">
        <v>161002.17857828885</v>
      </c>
      <c r="UI38" s="115">
        <v>102228.43483210838</v>
      </c>
      <c r="UJ38" s="115">
        <v>68007.906802344689</v>
      </c>
      <c r="UK38" s="115">
        <v>65376.226042078815</v>
      </c>
      <c r="UL38" s="115">
        <v>57269.598499779997</v>
      </c>
      <c r="UM38" s="115">
        <v>0</v>
      </c>
      <c r="UN38" s="115">
        <v>0</v>
      </c>
      <c r="UO38" s="115">
        <v>139287.32397933726</v>
      </c>
      <c r="UP38" s="115">
        <v>80946.810074952082</v>
      </c>
      <c r="UQ38" s="115">
        <v>56232.666712573657</v>
      </c>
      <c r="UR38" s="115">
        <v>59708.836020285933</v>
      </c>
      <c r="US38" s="115">
        <v>76148.517497564637</v>
      </c>
      <c r="UT38" s="115">
        <v>0</v>
      </c>
      <c r="UU38" s="115">
        <v>0</v>
      </c>
      <c r="UV38" s="115">
        <v>162525.52512150916</v>
      </c>
      <c r="UW38" s="115">
        <v>76826.88747694128</v>
      </c>
      <c r="UX38" s="115">
        <v>52759.726291583516</v>
      </c>
      <c r="UY38" s="115">
        <v>53852.23952878546</v>
      </c>
      <c r="UZ38" s="115">
        <v>53009.514564428799</v>
      </c>
      <c r="VA38" s="115">
        <v>0</v>
      </c>
      <c r="VB38" s="115">
        <v>0</v>
      </c>
      <c r="VC38" s="115">
        <v>140464.69613247164</v>
      </c>
      <c r="VD38" s="115">
        <v>74402.51991857402</v>
      </c>
      <c r="VE38" s="115">
        <v>48861.933887744191</v>
      </c>
      <c r="VF38" s="115">
        <v>48861.933887744191</v>
      </c>
      <c r="VG38" s="115">
        <v>41150.239999999998</v>
      </c>
      <c r="VH38" s="115">
        <v>44314.01</v>
      </c>
      <c r="VI38" s="115">
        <v>0</v>
      </c>
      <c r="VJ38" s="115">
        <v>0</v>
      </c>
      <c r="VK38" s="115">
        <v>208904.56</v>
      </c>
      <c r="VL38" s="115">
        <v>88895.54</v>
      </c>
      <c r="VM38" s="115">
        <v>64780.38</v>
      </c>
      <c r="VN38" s="115">
        <v>50335.21</v>
      </c>
      <c r="VO38" s="115">
        <v>65938.33</v>
      </c>
      <c r="VP38" s="115">
        <v>0</v>
      </c>
      <c r="VQ38" s="115">
        <v>0</v>
      </c>
      <c r="VR38" s="115">
        <v>154254.56</v>
      </c>
      <c r="VS38" s="115">
        <v>75510.73</v>
      </c>
      <c r="VT38" s="115">
        <v>51445.57</v>
      </c>
      <c r="VU38" s="115">
        <v>48149.120000000003</v>
      </c>
      <c r="VV38" s="115">
        <v>55861.21</v>
      </c>
      <c r="VW38" s="115">
        <v>0</v>
      </c>
      <c r="VX38" s="115">
        <v>0</v>
      </c>
      <c r="VY38" s="115">
        <v>167518.79</v>
      </c>
      <c r="VZ38" s="115">
        <v>83513.070000000007</v>
      </c>
      <c r="WA38" s="115">
        <v>67411.75</v>
      </c>
      <c r="WB38" s="115">
        <v>56992.87</v>
      </c>
      <c r="WC38" s="115">
        <v>38803.03</v>
      </c>
      <c r="WD38" s="115">
        <v>0</v>
      </c>
      <c r="WE38" s="115">
        <v>0</v>
      </c>
      <c r="WF38" s="115">
        <v>210928.66</v>
      </c>
      <c r="WG38" s="115">
        <v>95017.73</v>
      </c>
      <c r="WH38" s="115">
        <v>66250.880000000005</v>
      </c>
      <c r="WI38" s="115">
        <v>77676.67</v>
      </c>
      <c r="WJ38" s="115">
        <v>63288.13</v>
      </c>
      <c r="WK38" s="115"/>
      <c r="WL38" s="115"/>
      <c r="WM38" s="115">
        <v>103895.43</v>
      </c>
      <c r="WN38" s="115">
        <v>174151.03</v>
      </c>
      <c r="WO38" s="115">
        <v>85903.58</v>
      </c>
      <c r="WP38" s="115">
        <v>83096.92</v>
      </c>
      <c r="WQ38" s="115">
        <v>77396.77</v>
      </c>
      <c r="WR38" s="115">
        <v>0</v>
      </c>
      <c r="WS38" s="115">
        <v>0</v>
      </c>
      <c r="WT38" s="115">
        <v>103446.98</v>
      </c>
      <c r="WU38" s="115">
        <v>230315.4</v>
      </c>
      <c r="WV38" s="115">
        <v>95522.63</v>
      </c>
      <c r="WW38" s="115">
        <v>80468.92</v>
      </c>
      <c r="WX38" s="115">
        <v>78004.62</v>
      </c>
      <c r="WY38" s="115">
        <v>0</v>
      </c>
      <c r="WZ38" s="115">
        <v>0</v>
      </c>
      <c r="XA38" s="115">
        <v>229600.99</v>
      </c>
      <c r="XB38" s="115">
        <v>121010.99</v>
      </c>
      <c r="XC38" s="115">
        <v>67173.86</v>
      </c>
      <c r="XD38" s="115">
        <v>94234.5</v>
      </c>
      <c r="XE38" s="115">
        <v>81889.66</v>
      </c>
      <c r="XF38" s="115">
        <v>0</v>
      </c>
      <c r="XG38" s="115">
        <v>0</v>
      </c>
      <c r="XH38" s="115">
        <v>236188.89</v>
      </c>
      <c r="XI38" s="115">
        <v>119394.54</v>
      </c>
      <c r="XJ38" s="115">
        <v>75153.23</v>
      </c>
      <c r="XK38" s="115">
        <v>81673.03</v>
      </c>
      <c r="XL38" s="115">
        <v>90830.52</v>
      </c>
      <c r="XM38" s="115">
        <v>0</v>
      </c>
      <c r="XN38" s="115">
        <v>0</v>
      </c>
      <c r="XO38" s="115">
        <v>218636.87</v>
      </c>
      <c r="XP38" s="115">
        <v>135691.6</v>
      </c>
      <c r="XQ38" s="115">
        <v>71078.009999999995</v>
      </c>
      <c r="XR38" s="115">
        <v>86993.76</v>
      </c>
      <c r="XS38" s="115">
        <v>117779.33</v>
      </c>
      <c r="XT38" s="115">
        <v>0</v>
      </c>
      <c r="XU38" s="115">
        <v>0</v>
      </c>
      <c r="XV38" s="115">
        <v>274244.49</v>
      </c>
      <c r="XW38" s="115">
        <v>130004.88</v>
      </c>
      <c r="XX38" s="115">
        <v>90604.31</v>
      </c>
      <c r="XY38" s="115">
        <v>95235.73</v>
      </c>
      <c r="XZ38" s="115">
        <v>91645.48</v>
      </c>
      <c r="YA38" s="115">
        <v>0</v>
      </c>
      <c r="YB38" s="115">
        <v>0</v>
      </c>
      <c r="YC38" s="165">
        <v>127910</v>
      </c>
      <c r="YD38" s="165">
        <v>274825.02</v>
      </c>
      <c r="YE38" s="165">
        <v>90524.24</v>
      </c>
      <c r="YF38" s="165">
        <v>94619.72</v>
      </c>
      <c r="YG38" s="165">
        <v>97057.34</v>
      </c>
      <c r="YH38" s="165">
        <v>0</v>
      </c>
      <c r="YI38" s="165">
        <v>0</v>
      </c>
      <c r="YJ38" s="165">
        <v>282938.06</v>
      </c>
      <c r="YK38" s="165">
        <v>130396.74</v>
      </c>
      <c r="YL38" s="165">
        <v>88055.09</v>
      </c>
      <c r="YM38" s="165">
        <v>81433.58</v>
      </c>
    </row>
    <row r="39" spans="1:663" ht="15.75" customHeight="1" x14ac:dyDescent="0.2">
      <c r="A39" s="52"/>
      <c r="B39" s="53" t="s">
        <v>159</v>
      </c>
      <c r="C39" s="54">
        <f>IFERROR(C38/296-1,"")</f>
        <v>-1</v>
      </c>
      <c r="D39" s="54" t="str">
        <f t="shared" ref="D39:AF39" si="67">IFERROR(D38/C38-1,"")</f>
        <v/>
      </c>
      <c r="E39" s="54">
        <f t="shared" si="67"/>
        <v>-0.62718855345386804</v>
      </c>
      <c r="F39" s="54">
        <f t="shared" si="67"/>
        <v>-1</v>
      </c>
      <c r="G39" s="54" t="str">
        <f t="shared" si="67"/>
        <v/>
      </c>
      <c r="H39" s="54" t="str">
        <f t="shared" si="67"/>
        <v/>
      </c>
      <c r="I39" s="54">
        <f t="shared" si="67"/>
        <v>-0.69834148774079818</v>
      </c>
      <c r="J39" s="54">
        <f t="shared" si="67"/>
        <v>-0.33561951129172285</v>
      </c>
      <c r="K39" s="54">
        <f t="shared" si="67"/>
        <v>1.8227100260255265</v>
      </c>
      <c r="L39" s="54">
        <f t="shared" si="67"/>
        <v>-0.45992526971171144</v>
      </c>
      <c r="M39" s="54">
        <f t="shared" si="67"/>
        <v>-1</v>
      </c>
      <c r="N39" s="54" t="str">
        <f t="shared" si="67"/>
        <v/>
      </c>
      <c r="O39" s="54" t="str">
        <f t="shared" si="67"/>
        <v/>
      </c>
      <c r="P39" s="54">
        <f t="shared" si="67"/>
        <v>-0.48605840737260197</v>
      </c>
      <c r="Q39" s="54">
        <f t="shared" si="67"/>
        <v>-0.35917578172556353</v>
      </c>
      <c r="R39" s="54">
        <f t="shared" si="67"/>
        <v>1.4211044165799938</v>
      </c>
      <c r="S39" s="54">
        <f t="shared" si="67"/>
        <v>0.33605657639785536</v>
      </c>
      <c r="T39" s="54">
        <f t="shared" si="67"/>
        <v>-1</v>
      </c>
      <c r="U39" s="54" t="str">
        <f t="shared" si="67"/>
        <v/>
      </c>
      <c r="V39" s="54" t="str">
        <f t="shared" si="67"/>
        <v/>
      </c>
      <c r="W39" s="54">
        <f t="shared" si="67"/>
        <v>0.69006071032017036</v>
      </c>
      <c r="X39" s="54">
        <f t="shared" si="67"/>
        <v>-0.78248767893147309</v>
      </c>
      <c r="Y39" s="54">
        <f t="shared" si="67"/>
        <v>0.56542725778567759</v>
      </c>
      <c r="Z39" s="54">
        <f t="shared" si="67"/>
        <v>-0.52909053631420333</v>
      </c>
      <c r="AA39" s="54">
        <f t="shared" si="67"/>
        <v>-1</v>
      </c>
      <c r="AB39" s="54" t="str">
        <f t="shared" si="67"/>
        <v/>
      </c>
      <c r="AC39" s="54" t="str">
        <f t="shared" si="67"/>
        <v/>
      </c>
      <c r="AD39" s="54">
        <f t="shared" si="67"/>
        <v>-0.65412555914539716</v>
      </c>
      <c r="AE39" s="54">
        <f t="shared" si="67"/>
        <v>-0.60854535142044464</v>
      </c>
      <c r="AF39" s="54">
        <f t="shared" si="67"/>
        <v>2.6222942039013803</v>
      </c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E39" s="54"/>
      <c r="FF39" s="54"/>
      <c r="FG39" s="54"/>
      <c r="FH39" s="54"/>
      <c r="FI39" s="54"/>
      <c r="FJ39" s="54"/>
      <c r="FK39" s="54"/>
      <c r="FL39" s="54"/>
      <c r="FM39" s="54"/>
      <c r="FN39" s="54"/>
      <c r="FO39" s="54"/>
      <c r="FP39" s="54"/>
      <c r="FQ39" s="54"/>
      <c r="FR39" s="54"/>
      <c r="FS39" s="54"/>
      <c r="FT39" s="54"/>
      <c r="FU39" s="54"/>
      <c r="FV39" s="54"/>
      <c r="FW39" s="54"/>
      <c r="FX39" s="54"/>
      <c r="FY39" s="54"/>
      <c r="FZ39" s="54"/>
      <c r="GA39" s="54"/>
      <c r="GB39" s="54"/>
      <c r="GC39" s="54"/>
      <c r="GD39" s="54"/>
      <c r="GE39" s="54"/>
      <c r="GF39" s="54"/>
      <c r="GG39" s="54"/>
      <c r="GH39" s="54"/>
      <c r="GI39" s="54"/>
      <c r="GJ39" s="54"/>
      <c r="GK39" s="54"/>
      <c r="GL39" s="54"/>
      <c r="GM39" s="54"/>
      <c r="GN39" s="54"/>
      <c r="GO39" s="54"/>
      <c r="GP39" s="54"/>
      <c r="GQ39" s="54"/>
      <c r="GR39" s="54"/>
      <c r="GS39" s="54"/>
      <c r="GT39" s="54"/>
      <c r="GU39" s="54"/>
      <c r="GV39" s="54"/>
      <c r="GW39" s="54"/>
      <c r="GX39" s="54"/>
      <c r="GY39" s="54"/>
      <c r="GZ39" s="54"/>
      <c r="HA39" s="54"/>
      <c r="HB39" s="54"/>
      <c r="HC39" s="54"/>
      <c r="HD39" s="54"/>
      <c r="HE39" s="54"/>
      <c r="HF39" s="54"/>
      <c r="HG39" s="54"/>
      <c r="HH39" s="54"/>
      <c r="HI39" s="54"/>
      <c r="HJ39" s="54"/>
      <c r="HK39" s="54"/>
      <c r="HL39" s="54"/>
      <c r="HM39" s="54"/>
      <c r="HN39" s="54"/>
      <c r="HO39" s="54"/>
      <c r="HP39" s="54"/>
      <c r="HQ39" s="54"/>
      <c r="HR39" s="54"/>
      <c r="HS39" s="54"/>
      <c r="HT39" s="54"/>
      <c r="HU39" s="54"/>
      <c r="HV39" s="54"/>
      <c r="HW39" s="54"/>
      <c r="HX39" s="54"/>
      <c r="HY39" s="54"/>
      <c r="HZ39" s="54"/>
      <c r="IA39" s="54"/>
      <c r="IB39" s="54"/>
      <c r="IC39" s="54"/>
      <c r="ID39" s="54"/>
      <c r="IE39" s="54"/>
      <c r="IF39" s="54"/>
      <c r="IG39" s="54"/>
      <c r="IH39" s="54"/>
      <c r="II39" s="54"/>
      <c r="IJ39" s="54"/>
      <c r="IK39" s="54"/>
      <c r="IL39" s="54"/>
      <c r="IM39" s="54"/>
      <c r="IN39" s="54"/>
      <c r="IO39" s="54"/>
      <c r="IP39" s="54"/>
      <c r="IQ39" s="54"/>
      <c r="IR39" s="54"/>
      <c r="IS39" s="54"/>
      <c r="IT39" s="54"/>
      <c r="IU39" s="54"/>
      <c r="IV39" s="54"/>
      <c r="IW39" s="54"/>
      <c r="IX39" s="54"/>
      <c r="IY39" s="54"/>
      <c r="IZ39" s="54"/>
      <c r="JA39" s="54"/>
      <c r="JB39" s="54"/>
      <c r="JC39" s="54"/>
      <c r="JD39" s="54"/>
      <c r="JE39" s="54"/>
      <c r="JF39" s="54"/>
      <c r="JG39" s="54"/>
      <c r="JH39" s="54"/>
      <c r="JI39" s="54"/>
      <c r="JJ39" s="54"/>
      <c r="JK39" s="54"/>
      <c r="JL39" s="54"/>
      <c r="JM39" s="54"/>
      <c r="JN39" s="54"/>
      <c r="JO39" s="54"/>
      <c r="JP39" s="54"/>
      <c r="JQ39" s="54"/>
      <c r="JR39" s="54"/>
      <c r="JS39" s="54"/>
      <c r="JT39" s="54"/>
      <c r="JU39" s="54"/>
      <c r="JV39" s="54"/>
      <c r="JW39" s="54"/>
      <c r="JX39" s="54"/>
      <c r="JY39" s="54"/>
      <c r="JZ39" s="54"/>
      <c r="KA39" s="54"/>
      <c r="KB39" s="54"/>
      <c r="KC39" s="54"/>
      <c r="KD39" s="54"/>
      <c r="KE39" s="54"/>
      <c r="KF39" s="54"/>
      <c r="KG39" s="54"/>
      <c r="KH39" s="54"/>
      <c r="KI39" s="54"/>
      <c r="KJ39" s="54"/>
      <c r="KK39" s="54"/>
      <c r="KL39" s="54"/>
      <c r="KM39" s="54"/>
      <c r="KN39" s="54"/>
      <c r="KO39" s="54"/>
      <c r="KP39" s="54"/>
      <c r="KQ39" s="54"/>
      <c r="KR39" s="54"/>
      <c r="KS39" s="54"/>
      <c r="KT39" s="54"/>
      <c r="KU39" s="54"/>
      <c r="KV39" s="54"/>
      <c r="KW39" s="54"/>
      <c r="KX39" s="54"/>
      <c r="KY39" s="54"/>
      <c r="KZ39" s="54"/>
      <c r="LA39" s="54"/>
      <c r="LB39" s="54"/>
      <c r="LC39" s="54"/>
      <c r="LD39" s="54"/>
      <c r="LE39" s="54"/>
      <c r="LF39" s="54"/>
      <c r="LG39" s="54"/>
      <c r="LH39" s="54"/>
      <c r="LI39" s="54"/>
      <c r="LJ39" s="54"/>
      <c r="LK39" s="54"/>
      <c r="LL39" s="54"/>
      <c r="LM39" s="54"/>
      <c r="LN39" s="54"/>
      <c r="LO39" s="54"/>
      <c r="LP39" s="54"/>
      <c r="LQ39" s="54"/>
      <c r="LR39" s="54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/>
      <c r="MH39" s="54"/>
      <c r="MI39" s="54"/>
      <c r="MJ39" s="54"/>
      <c r="MK39" s="54"/>
      <c r="ML39" s="54"/>
      <c r="MM39" s="54"/>
      <c r="MN39" s="54"/>
      <c r="MO39" s="54"/>
      <c r="MP39" s="54"/>
      <c r="MQ39" s="54"/>
      <c r="MR39" s="54"/>
      <c r="MS39" s="54"/>
      <c r="MT39" s="54"/>
      <c r="MU39" s="54"/>
      <c r="MV39" s="54"/>
      <c r="MW39" s="54"/>
      <c r="MX39" s="54"/>
      <c r="MY39" s="54"/>
      <c r="MZ39" s="54"/>
      <c r="NA39" s="54"/>
      <c r="NB39" s="54"/>
      <c r="NC39" s="54"/>
      <c r="ND39" s="54"/>
      <c r="NE39" s="54"/>
      <c r="NF39" s="54"/>
      <c r="NG39" s="54"/>
      <c r="NH39" s="54"/>
      <c r="NI39" s="54"/>
      <c r="NJ39" s="54"/>
      <c r="NK39" s="54"/>
      <c r="NL39" s="54"/>
      <c r="NM39" s="54"/>
      <c r="NN39" s="54"/>
      <c r="NO39" s="54"/>
      <c r="NP39" s="54"/>
      <c r="NQ39" s="54"/>
      <c r="NR39" s="54"/>
      <c r="NS39" s="54"/>
      <c r="NT39" s="54"/>
      <c r="NU39" s="54"/>
      <c r="NV39" s="54"/>
      <c r="NW39" s="54"/>
      <c r="NX39" s="54"/>
      <c r="NY39" s="54"/>
      <c r="NZ39" s="54"/>
      <c r="OA39" s="54"/>
      <c r="OB39" s="54"/>
      <c r="OC39" s="54"/>
      <c r="OD39" s="54"/>
      <c r="OE39" s="54"/>
      <c r="OF39" s="54"/>
      <c r="OG39" s="54"/>
      <c r="OH39" s="54"/>
      <c r="OI39" s="54"/>
      <c r="OJ39" s="54"/>
      <c r="OK39" s="54"/>
      <c r="OL39" s="54"/>
      <c r="OM39" s="54"/>
      <c r="ON39" s="54"/>
      <c r="OO39" s="54"/>
      <c r="OP39" s="54"/>
      <c r="OQ39" s="54"/>
      <c r="OR39" s="54"/>
      <c r="OS39" s="54"/>
      <c r="OT39" s="54"/>
      <c r="OU39" s="54"/>
      <c r="OV39" s="54"/>
      <c r="OW39" s="54"/>
      <c r="OX39" s="54"/>
      <c r="OY39" s="54"/>
      <c r="OZ39" s="54"/>
      <c r="PA39" s="54"/>
      <c r="PB39" s="54"/>
      <c r="PC39" s="54"/>
      <c r="PD39" s="54"/>
      <c r="PE39" s="54"/>
      <c r="PF39" s="54"/>
      <c r="PG39" s="54"/>
      <c r="PH39" s="54"/>
      <c r="PI39" s="54"/>
      <c r="PJ39" s="54"/>
      <c r="PK39" s="54"/>
      <c r="PL39" s="54"/>
      <c r="PM39" s="54"/>
      <c r="PN39" s="54"/>
      <c r="PO39" s="54"/>
      <c r="PP39" s="54"/>
      <c r="PQ39" s="54"/>
      <c r="PR39" s="54"/>
      <c r="PS39" s="54"/>
      <c r="PT39" s="54"/>
      <c r="PU39" s="54"/>
      <c r="PV39" s="54"/>
      <c r="PW39" s="54"/>
      <c r="PX39" s="54"/>
      <c r="PY39" s="54"/>
      <c r="PZ39" s="54"/>
      <c r="QA39" s="54"/>
      <c r="QB39" s="54"/>
      <c r="QC39" s="54"/>
      <c r="QD39" s="54"/>
      <c r="QE39" s="54"/>
      <c r="QF39" s="54"/>
      <c r="QG39" s="54"/>
      <c r="QH39" s="54"/>
      <c r="QI39" s="54"/>
      <c r="QJ39" s="54"/>
      <c r="QK39" s="54"/>
      <c r="QL39" s="54"/>
      <c r="QM39" s="54"/>
      <c r="QN39" s="54"/>
      <c r="QO39" s="54"/>
      <c r="QP39" s="54"/>
      <c r="QQ39" s="54"/>
      <c r="QR39" s="54"/>
      <c r="QS39" s="54"/>
      <c r="QT39" s="54"/>
      <c r="QU39" s="54"/>
      <c r="QV39" s="54"/>
      <c r="QW39" s="54"/>
      <c r="QX39" s="54"/>
      <c r="QY39" s="54"/>
      <c r="QZ39" s="54"/>
      <c r="RA39" s="54"/>
      <c r="RB39" s="54"/>
      <c r="RC39" s="54"/>
      <c r="RD39" s="54"/>
      <c r="RE39" s="54"/>
      <c r="RF39" s="54"/>
      <c r="RG39" s="54"/>
      <c r="RH39" s="54"/>
      <c r="RI39" s="54"/>
      <c r="RJ39" s="54"/>
      <c r="RK39" s="54"/>
      <c r="RL39" s="54"/>
      <c r="RM39" s="54"/>
      <c r="RN39" s="54"/>
      <c r="RO39" s="54"/>
      <c r="RP39" s="54"/>
      <c r="RQ39" s="54"/>
      <c r="RR39" s="54"/>
      <c r="RS39" s="54"/>
      <c r="RT39" s="54"/>
      <c r="RU39" s="54"/>
      <c r="RV39" s="54"/>
      <c r="RW39" s="54"/>
      <c r="RX39" s="54"/>
      <c r="RY39" s="54"/>
      <c r="RZ39" s="54"/>
      <c r="SA39" s="54"/>
      <c r="SB39" s="54"/>
      <c r="SC39" s="54"/>
      <c r="SD39" s="54"/>
      <c r="SE39" s="54"/>
      <c r="SF39" s="54"/>
      <c r="SG39" s="54"/>
      <c r="SH39" s="54"/>
      <c r="SI39" s="54"/>
      <c r="SJ39" s="54"/>
      <c r="SK39" s="54"/>
      <c r="SL39" s="54"/>
      <c r="SM39" s="54"/>
      <c r="SN39" s="54"/>
      <c r="SO39" s="54"/>
      <c r="SP39" s="54"/>
      <c r="SQ39" s="54"/>
      <c r="SR39" s="54"/>
      <c r="SS39" s="54"/>
      <c r="ST39" s="54"/>
      <c r="SU39" s="54"/>
      <c r="SV39" s="54"/>
      <c r="SW39" s="54"/>
      <c r="SX39" s="54"/>
      <c r="SY39" s="54"/>
      <c r="SZ39" s="54"/>
      <c r="TA39" s="54"/>
      <c r="TB39" s="54"/>
      <c r="TC39" s="54"/>
      <c r="TD39" s="54"/>
      <c r="TE39" s="54"/>
      <c r="TF39" s="54"/>
      <c r="TG39" s="54"/>
      <c r="TH39" s="54"/>
      <c r="TI39" s="54"/>
      <c r="TJ39" s="54"/>
      <c r="TK39" s="54"/>
      <c r="TL39" s="54"/>
      <c r="TM39" s="54"/>
      <c r="TN39" s="54"/>
      <c r="TO39" s="54"/>
      <c r="TP39" s="54"/>
      <c r="TQ39" s="54"/>
      <c r="TR39" s="54"/>
      <c r="TS39" s="54"/>
      <c r="TT39" s="54"/>
      <c r="TU39" s="54"/>
      <c r="TV39" s="54"/>
      <c r="TW39" s="54"/>
      <c r="TX39" s="54"/>
      <c r="TY39" s="54"/>
      <c r="TZ39" s="54"/>
      <c r="UA39" s="54"/>
      <c r="UB39" s="54"/>
      <c r="UC39" s="54"/>
      <c r="UD39" s="54"/>
      <c r="UE39" s="54"/>
      <c r="UF39" s="54"/>
      <c r="UG39" s="54"/>
      <c r="UH39" s="54"/>
      <c r="UI39" s="54"/>
      <c r="UJ39" s="54"/>
      <c r="UK39" s="115"/>
      <c r="UL39" s="54"/>
      <c r="UM39" s="54"/>
      <c r="UN39" s="54"/>
      <c r="UO39" s="54"/>
      <c r="UP39" s="54"/>
      <c r="UQ39" s="54"/>
      <c r="UR39" s="54"/>
      <c r="US39" s="54"/>
      <c r="UT39" s="54"/>
      <c r="UU39" s="54"/>
      <c r="UV39" s="54"/>
      <c r="UW39" s="54"/>
      <c r="UX39" s="54"/>
      <c r="UY39" s="54"/>
      <c r="UZ39" s="54"/>
      <c r="VA39" s="54"/>
      <c r="VB39" s="54"/>
      <c r="VC39" s="54"/>
      <c r="VD39" s="54"/>
      <c r="VE39" s="54"/>
      <c r="VF39" s="54"/>
      <c r="VG39" s="156"/>
      <c r="VH39" s="156"/>
      <c r="VI39" s="156"/>
      <c r="VJ39" s="156"/>
      <c r="VK39" s="156"/>
      <c r="VL39" s="156"/>
      <c r="VM39" s="156"/>
      <c r="VN39" s="156"/>
      <c r="VO39" s="156"/>
      <c r="VP39" s="156"/>
      <c r="VQ39" s="156"/>
      <c r="VR39" s="156"/>
      <c r="VS39" s="156"/>
      <c r="VT39" s="156"/>
      <c r="VU39" s="156"/>
      <c r="VV39" s="156"/>
      <c r="VW39" s="156"/>
      <c r="VX39" s="156"/>
      <c r="VY39" s="156"/>
      <c r="VZ39" s="156"/>
      <c r="WA39" s="156"/>
      <c r="WB39" s="156"/>
      <c r="WC39" s="156"/>
      <c r="WD39" s="156"/>
      <c r="WE39" s="156"/>
      <c r="WF39" s="156"/>
      <c r="WG39" s="156"/>
      <c r="WH39" s="156"/>
      <c r="WI39" s="156"/>
      <c r="WJ39" s="156"/>
      <c r="WK39" s="156"/>
      <c r="WL39" s="156"/>
      <c r="WM39" s="156"/>
      <c r="WN39" s="156"/>
      <c r="WO39" s="156"/>
      <c r="WP39" s="156"/>
      <c r="WQ39" s="156"/>
      <c r="WR39" s="156"/>
      <c r="WS39" s="156"/>
      <c r="WT39" s="156"/>
      <c r="WU39" s="156"/>
      <c r="WV39" s="156"/>
      <c r="WW39" s="156"/>
      <c r="WX39" s="156"/>
      <c r="WY39" s="156"/>
      <c r="WZ39" s="115">
        <f>SUM(WN38:WZ38)</f>
        <v>1008306.85</v>
      </c>
      <c r="XA39" s="115"/>
      <c r="XB39" s="115"/>
      <c r="XC39" s="115"/>
      <c r="XD39" s="115"/>
      <c r="XE39" s="115"/>
      <c r="XF39" s="115"/>
      <c r="XG39" s="115"/>
      <c r="XH39" s="115"/>
      <c r="XI39" s="115"/>
      <c r="XJ39" s="115"/>
      <c r="XK39" s="115"/>
      <c r="XL39" s="115"/>
      <c r="XM39" s="115"/>
      <c r="XN39" s="115"/>
      <c r="XO39" s="115"/>
      <c r="XP39" s="115"/>
      <c r="XQ39" s="115"/>
      <c r="XR39" s="115"/>
      <c r="XS39" s="115"/>
      <c r="XT39" s="115"/>
      <c r="XU39" s="115"/>
      <c r="XV39" s="115"/>
      <c r="XW39" s="115"/>
      <c r="XX39" s="115"/>
      <c r="XY39" s="115"/>
      <c r="XZ39" s="115"/>
      <c r="YA39" s="115"/>
      <c r="YB39" s="115"/>
      <c r="YC39" s="165"/>
      <c r="YD39" s="165"/>
      <c r="YE39" s="165"/>
      <c r="YF39" s="165"/>
      <c r="YG39" s="165"/>
      <c r="YH39" s="165"/>
      <c r="YI39" s="165"/>
      <c r="YJ39" s="165"/>
      <c r="YK39" s="165"/>
      <c r="YL39" s="165"/>
      <c r="YM39" s="165"/>
    </row>
    <row r="40" spans="1:663" ht="15.75" customHeight="1" x14ac:dyDescent="0.2">
      <c r="B40" s="8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0"/>
      <c r="KL40" s="30"/>
      <c r="KM40" s="30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110"/>
      <c r="MB40" s="110"/>
      <c r="MC40" s="30"/>
      <c r="MD40" s="30"/>
      <c r="ME40" s="30"/>
      <c r="MF40" s="30"/>
      <c r="MG40" s="30"/>
      <c r="MH40" s="30"/>
      <c r="MI40" s="30"/>
      <c r="MJ40" s="30"/>
      <c r="MK40" s="30"/>
      <c r="ML40" s="30"/>
      <c r="MM40" s="30"/>
      <c r="MN40" s="30"/>
      <c r="MO40" s="30"/>
      <c r="MP40" s="30"/>
      <c r="MQ40" s="30"/>
      <c r="MR40" s="30"/>
      <c r="MS40" s="30"/>
      <c r="MT40" s="30"/>
      <c r="MU40" s="30"/>
      <c r="MV40" s="30"/>
      <c r="MW40" s="30"/>
      <c r="MX40" s="30"/>
      <c r="MY40" s="30"/>
      <c r="MZ40" s="30"/>
      <c r="NA40" s="30"/>
      <c r="NB40" s="30"/>
      <c r="NC40" s="30"/>
      <c r="ND40" s="30"/>
      <c r="NE40" s="30"/>
      <c r="NF40" s="30"/>
      <c r="NG40" s="30"/>
      <c r="NH40" s="30"/>
      <c r="NI40" s="30"/>
      <c r="NJ40" s="30"/>
      <c r="NK40" s="30"/>
      <c r="NL40" s="30"/>
      <c r="NM40" s="30"/>
      <c r="NN40" s="30"/>
      <c r="NO40" s="30"/>
      <c r="NP40" s="30"/>
      <c r="NQ40" s="30"/>
      <c r="NR40" s="30"/>
      <c r="NS40" s="30"/>
      <c r="NT40" s="30"/>
      <c r="NU40" s="30"/>
      <c r="NV40" s="30"/>
      <c r="NW40" s="30"/>
      <c r="NX40" s="30"/>
      <c r="NY40" s="30"/>
      <c r="NZ40" s="30"/>
      <c r="OA40" s="30"/>
      <c r="OB40" s="30"/>
      <c r="OC40" s="30"/>
      <c r="OD40" s="30"/>
      <c r="OE40" s="30"/>
      <c r="OF40" s="30"/>
      <c r="OG40" s="30"/>
      <c r="OH40" s="30"/>
      <c r="OI40" s="30"/>
      <c r="OJ40" s="30"/>
      <c r="OK40" s="30"/>
      <c r="OL40" s="30"/>
      <c r="OM40" s="30"/>
      <c r="ON40" s="30"/>
      <c r="OO40" s="30"/>
      <c r="OP40" s="30"/>
      <c r="OQ40" s="30"/>
      <c r="OR40" s="30"/>
      <c r="OS40" s="30"/>
      <c r="OT40" s="30"/>
      <c r="OU40" s="30"/>
      <c r="OV40" s="30"/>
      <c r="OW40" s="30"/>
      <c r="OX40" s="30"/>
      <c r="OY40" s="30"/>
      <c r="OZ40" s="30"/>
      <c r="PA40" s="30"/>
      <c r="PB40" s="30"/>
      <c r="PC40" s="30"/>
      <c r="PD40" s="30"/>
      <c r="PE40" s="30"/>
      <c r="PF40" s="30"/>
      <c r="PG40" s="30"/>
      <c r="PH40" s="30"/>
      <c r="PI40" s="30"/>
      <c r="PJ40" s="30"/>
      <c r="PK40" s="30"/>
      <c r="PL40" s="30"/>
      <c r="PM40" s="30"/>
      <c r="PN40" s="30"/>
      <c r="PO40" s="30"/>
      <c r="PP40" s="30"/>
      <c r="PQ40" s="30"/>
      <c r="PR40" s="30"/>
      <c r="PS40" s="30"/>
      <c r="PT40" s="30"/>
      <c r="PU40" s="30"/>
      <c r="PV40" s="30"/>
      <c r="PW40" s="30"/>
      <c r="PX40" s="30"/>
      <c r="PY40" s="30"/>
      <c r="PZ40" s="30"/>
      <c r="QA40" s="30"/>
      <c r="QB40" s="30"/>
      <c r="QC40" s="30"/>
      <c r="QD40" s="30"/>
      <c r="QE40" s="30"/>
      <c r="QF40" s="30"/>
      <c r="QG40" s="30"/>
      <c r="QH40" s="30"/>
      <c r="QI40" s="30"/>
      <c r="QJ40" s="30"/>
      <c r="QK40" s="30"/>
      <c r="QL40" s="30"/>
      <c r="QM40" s="30"/>
      <c r="QN40" s="30"/>
      <c r="QO40" s="30"/>
      <c r="QP40" s="30"/>
      <c r="QQ40" s="30"/>
      <c r="QR40" s="30"/>
      <c r="QS40" s="30"/>
      <c r="QT40" s="30"/>
      <c r="QU40" s="30"/>
      <c r="QV40" s="30"/>
      <c r="QW40" s="30"/>
      <c r="QX40" s="30"/>
      <c r="QY40" s="30"/>
      <c r="QZ40" s="30"/>
      <c r="RA40" s="30"/>
      <c r="RB40" s="30"/>
      <c r="RC40" s="30"/>
      <c r="RD40" s="30"/>
      <c r="RE40" s="30"/>
      <c r="RF40" s="30"/>
      <c r="RG40" s="30"/>
      <c r="RH40" s="30"/>
      <c r="RI40" s="30"/>
      <c r="RJ40" s="30"/>
      <c r="RK40" s="30"/>
      <c r="RL40" s="30"/>
      <c r="RM40" s="30"/>
      <c r="RN40" s="30"/>
      <c r="RO40" s="30"/>
      <c r="RP40" s="30"/>
      <c r="RQ40" s="30"/>
      <c r="RR40" s="30"/>
      <c r="RS40" s="30"/>
      <c r="RT40" s="30"/>
      <c r="RU40" s="30"/>
      <c r="RV40" s="30"/>
      <c r="RW40" s="30"/>
      <c r="RX40" s="30"/>
      <c r="RY40" s="30"/>
      <c r="RZ40" s="30"/>
      <c r="SA40" s="30"/>
      <c r="SB40" s="30"/>
      <c r="SC40" s="30"/>
      <c r="SD40" s="30"/>
      <c r="SE40" s="30"/>
      <c r="SF40" s="30"/>
      <c r="SG40" s="30"/>
      <c r="SH40" s="30"/>
      <c r="SI40" s="30"/>
      <c r="SJ40" s="30"/>
      <c r="SK40" s="30"/>
      <c r="SL40" s="30"/>
      <c r="SM40" s="30"/>
      <c r="SN40" s="30"/>
      <c r="SO40" s="30"/>
      <c r="SP40" s="30"/>
      <c r="SQ40" s="30"/>
      <c r="SR40" s="30"/>
      <c r="SS40" s="30"/>
      <c r="ST40" s="30"/>
      <c r="SU40" s="30"/>
      <c r="SV40" s="30"/>
      <c r="SW40" s="30"/>
      <c r="SX40" s="30"/>
      <c r="SY40" s="30"/>
      <c r="SZ40" s="30"/>
      <c r="TA40" s="30"/>
      <c r="TB40" s="30"/>
      <c r="TC40" s="30"/>
      <c r="TD40" s="30"/>
      <c r="TE40" s="30"/>
      <c r="TF40" s="30"/>
      <c r="TG40" s="30"/>
      <c r="TH40" s="30"/>
      <c r="TI40" s="30"/>
      <c r="TJ40" s="30"/>
      <c r="TK40" s="30"/>
      <c r="TL40" s="30"/>
      <c r="TM40" s="30"/>
      <c r="TN40" s="30"/>
      <c r="TO40" s="30"/>
      <c r="TP40" s="30"/>
      <c r="TQ40" s="30"/>
      <c r="TR40" s="30"/>
      <c r="TS40" s="30"/>
      <c r="TT40" s="30"/>
      <c r="TU40" s="30"/>
      <c r="TV40" s="30"/>
      <c r="TW40" s="30"/>
      <c r="TX40" s="30"/>
      <c r="TY40" s="30"/>
      <c r="TZ40" s="30"/>
      <c r="UA40" s="30"/>
      <c r="UB40" s="30"/>
      <c r="UC40" s="30"/>
      <c r="UD40" s="30"/>
      <c r="UE40" s="30"/>
      <c r="UF40" s="30"/>
      <c r="UG40" s="30"/>
      <c r="UH40" s="30"/>
      <c r="UI40" s="30"/>
      <c r="UJ40" s="30"/>
      <c r="UK40" s="30"/>
      <c r="UL40" s="30"/>
      <c r="UM40" s="30"/>
      <c r="UN40" s="30"/>
      <c r="UO40" s="30"/>
      <c r="UP40" s="30"/>
      <c r="UQ40" s="30"/>
      <c r="UR40" s="30"/>
      <c r="US40" s="30"/>
      <c r="UT40" s="30"/>
      <c r="UU40" s="30"/>
      <c r="UV40" s="30"/>
      <c r="UW40" s="30"/>
      <c r="UX40" s="30"/>
      <c r="UY40" s="30"/>
      <c r="UZ40" s="30"/>
      <c r="VA40" s="30"/>
      <c r="VB40" s="30"/>
      <c r="VC40" s="30"/>
      <c r="VD40" s="30"/>
      <c r="VE40" s="30"/>
      <c r="VF40" s="30"/>
      <c r="VG40" s="149"/>
      <c r="VH40" s="149"/>
      <c r="VI40" s="149"/>
      <c r="VJ40" s="149"/>
      <c r="VK40" s="149"/>
      <c r="VL40" s="149"/>
      <c r="VM40" s="149"/>
      <c r="VN40" s="149"/>
      <c r="VO40" s="149"/>
      <c r="VP40" s="149"/>
      <c r="VQ40" s="149"/>
      <c r="VR40" s="149"/>
      <c r="VS40" s="149"/>
      <c r="VT40" s="149"/>
      <c r="VU40" s="149"/>
      <c r="VV40" s="149"/>
      <c r="VW40" s="149"/>
      <c r="VX40" s="149"/>
      <c r="VY40" s="149"/>
      <c r="VZ40" s="149"/>
      <c r="WA40" s="149"/>
      <c r="WB40" s="149"/>
      <c r="WC40" s="149"/>
      <c r="WD40" s="149"/>
      <c r="WE40" s="149"/>
      <c r="WF40" s="149"/>
      <c r="WG40" s="149"/>
      <c r="WH40" s="149"/>
      <c r="WI40" s="149"/>
      <c r="WJ40" s="149"/>
      <c r="WK40" s="149"/>
      <c r="WL40" s="149"/>
      <c r="WM40" s="149"/>
      <c r="WN40" s="149"/>
      <c r="WO40" s="149"/>
      <c r="WP40" s="149"/>
      <c r="WQ40" s="149"/>
      <c r="WR40" s="149"/>
      <c r="WS40" s="149"/>
      <c r="WT40" s="149"/>
      <c r="WU40" s="149"/>
      <c r="WV40" s="149"/>
      <c r="WW40" s="149"/>
      <c r="WX40" s="149"/>
      <c r="WY40" s="149"/>
      <c r="WZ40" s="149"/>
      <c r="XA40" s="149"/>
      <c r="XB40" s="149"/>
      <c r="XC40" s="149"/>
      <c r="XD40" s="149"/>
      <c r="XE40" s="149"/>
      <c r="XF40" s="149"/>
      <c r="XG40" s="149"/>
      <c r="XH40" s="149"/>
      <c r="XI40" s="149"/>
      <c r="XJ40" s="149"/>
      <c r="XK40" s="149"/>
      <c r="XL40" s="149"/>
      <c r="XM40" s="149"/>
      <c r="XN40" s="149"/>
      <c r="XO40" s="149"/>
      <c r="XP40" s="149"/>
      <c r="XQ40" s="149"/>
      <c r="XR40" s="149"/>
      <c r="XS40" s="149"/>
      <c r="XT40" s="149"/>
      <c r="XU40" s="149"/>
      <c r="XV40" s="149"/>
      <c r="XW40" s="149"/>
      <c r="XX40" s="149"/>
      <c r="XY40" s="149"/>
      <c r="XZ40" s="149"/>
      <c r="YA40" s="149"/>
      <c r="YB40" s="149"/>
      <c r="YC40" s="150"/>
      <c r="YD40" s="150"/>
      <c r="YE40" s="150"/>
      <c r="YF40" s="150"/>
      <c r="YG40" s="150"/>
      <c r="YH40" s="150"/>
      <c r="YI40" s="150"/>
      <c r="YJ40" s="150"/>
      <c r="YK40" s="150"/>
      <c r="YL40" s="150"/>
      <c r="YM40" s="150"/>
    </row>
    <row r="41" spans="1:663" ht="15.75" customHeight="1" x14ac:dyDescent="0.2">
      <c r="B41" s="63" t="s">
        <v>173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/>
      <c r="KB41" s="30"/>
      <c r="KC41" s="30"/>
      <c r="KD41" s="30"/>
      <c r="KE41" s="30"/>
      <c r="KF41" s="30"/>
      <c r="KG41" s="30"/>
      <c r="KH41" s="30"/>
      <c r="KI41" s="30"/>
      <c r="KJ41" s="30"/>
      <c r="KK41" s="30"/>
      <c r="KL41" s="30"/>
      <c r="KM41" s="30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0"/>
      <c r="LN41" s="30"/>
      <c r="LO41" s="30"/>
      <c r="LP41" s="30"/>
      <c r="LQ41" s="30"/>
      <c r="LR41" s="30"/>
      <c r="LS41" s="30"/>
      <c r="LT41" s="30"/>
      <c r="LU41" s="30"/>
      <c r="LV41" s="30"/>
      <c r="LW41" s="30"/>
      <c r="LX41" s="30"/>
      <c r="LY41" s="30"/>
      <c r="LZ41" s="30"/>
      <c r="MA41" s="30"/>
      <c r="MB41" s="30"/>
      <c r="MC41" s="30"/>
      <c r="MD41" s="30"/>
      <c r="ME41" s="30"/>
      <c r="MF41" s="30"/>
      <c r="MG41" s="30"/>
      <c r="MH41" s="30"/>
      <c r="MI41" s="30"/>
      <c r="MJ41" s="30"/>
      <c r="MK41" s="30"/>
      <c r="ML41" s="30"/>
      <c r="MM41" s="30"/>
      <c r="MN41" s="30"/>
      <c r="MO41" s="30"/>
      <c r="MP41" s="30"/>
      <c r="MQ41" s="30"/>
      <c r="MR41" s="30"/>
      <c r="MS41" s="30"/>
      <c r="MT41" s="30"/>
      <c r="MU41" s="30"/>
      <c r="MV41" s="30"/>
      <c r="MW41" s="30"/>
      <c r="MX41" s="30"/>
      <c r="MY41" s="30"/>
      <c r="MZ41" s="30"/>
      <c r="NA41" s="30"/>
      <c r="NB41" s="30"/>
      <c r="NC41" s="30"/>
      <c r="ND41" s="30"/>
      <c r="NE41" s="30"/>
      <c r="NF41" s="30"/>
      <c r="NG41" s="30"/>
      <c r="NH41" s="30"/>
      <c r="NI41" s="30"/>
      <c r="NJ41" s="30"/>
      <c r="NK41" s="30"/>
      <c r="NL41" s="30"/>
      <c r="NM41" s="30"/>
      <c r="NN41" s="30"/>
      <c r="NO41" s="30"/>
      <c r="NP41" s="30"/>
      <c r="NQ41" s="30"/>
      <c r="NR41" s="30"/>
      <c r="NS41" s="30"/>
      <c r="NT41" s="30"/>
      <c r="NU41" s="30"/>
      <c r="NV41" s="30"/>
      <c r="NW41" s="30"/>
      <c r="NX41" s="30"/>
      <c r="NY41" s="30"/>
      <c r="NZ41" s="30"/>
      <c r="OA41" s="30"/>
      <c r="OB41" s="30"/>
      <c r="OC41" s="30"/>
      <c r="OD41" s="30"/>
      <c r="OE41" s="30"/>
      <c r="OF41" s="30"/>
      <c r="OG41" s="30"/>
      <c r="OH41" s="30"/>
      <c r="OI41" s="30"/>
      <c r="OJ41" s="30"/>
      <c r="OK41" s="30"/>
      <c r="OL41" s="30"/>
      <c r="OM41" s="30"/>
      <c r="ON41" s="30"/>
      <c r="OO41" s="30"/>
      <c r="OP41" s="30"/>
      <c r="OQ41" s="30"/>
      <c r="OR41" s="30"/>
      <c r="OS41" s="30"/>
      <c r="OT41" s="30"/>
      <c r="OU41" s="30"/>
      <c r="OV41" s="30"/>
      <c r="OW41" s="30"/>
      <c r="OX41" s="30"/>
      <c r="OY41" s="30"/>
      <c r="OZ41" s="30"/>
      <c r="PA41" s="30"/>
      <c r="PB41" s="30"/>
      <c r="PC41" s="30"/>
      <c r="PD41" s="30"/>
      <c r="PE41" s="30"/>
      <c r="PF41" s="30"/>
      <c r="PG41" s="30"/>
      <c r="PH41" s="30"/>
      <c r="PI41" s="30"/>
      <c r="PJ41" s="30"/>
      <c r="PK41" s="30"/>
      <c r="PL41" s="30"/>
      <c r="PM41" s="30"/>
      <c r="PN41" s="30"/>
      <c r="PO41" s="30"/>
      <c r="PP41" s="30"/>
      <c r="PQ41" s="30"/>
      <c r="PR41" s="30"/>
      <c r="PS41" s="30"/>
      <c r="PT41" s="30"/>
      <c r="PU41" s="30"/>
      <c r="PV41" s="30"/>
      <c r="PW41" s="30"/>
      <c r="PX41" s="30"/>
      <c r="PY41" s="30"/>
      <c r="PZ41" s="30"/>
      <c r="QA41" s="30"/>
      <c r="QB41" s="30"/>
      <c r="QC41" s="30"/>
      <c r="QD41" s="30"/>
      <c r="QE41" s="30"/>
      <c r="QF41" s="30"/>
      <c r="QG41" s="30"/>
      <c r="QH41" s="30"/>
      <c r="QI41" s="30"/>
      <c r="QJ41" s="30"/>
      <c r="QK41" s="30"/>
      <c r="QL41" s="30"/>
      <c r="QM41" s="30"/>
      <c r="QN41" s="30"/>
      <c r="QO41" s="30"/>
      <c r="QP41" s="30"/>
      <c r="QQ41" s="30"/>
      <c r="QR41" s="30"/>
      <c r="QS41" s="30"/>
      <c r="QT41" s="30"/>
      <c r="QU41" s="30"/>
      <c r="QV41" s="30"/>
      <c r="QW41" s="30"/>
      <c r="QX41" s="30"/>
      <c r="QY41" s="30"/>
      <c r="QZ41" s="30"/>
      <c r="RA41" s="30"/>
      <c r="RB41" s="30"/>
      <c r="RC41" s="30"/>
      <c r="RD41" s="30"/>
      <c r="RE41" s="30"/>
      <c r="RF41" s="30"/>
      <c r="RG41" s="30"/>
      <c r="RH41" s="30"/>
      <c r="RI41" s="30"/>
      <c r="RJ41" s="30"/>
      <c r="RK41" s="30"/>
      <c r="RL41" s="30"/>
      <c r="RM41" s="30"/>
      <c r="RN41" s="30"/>
      <c r="RO41" s="30"/>
      <c r="RP41" s="30"/>
      <c r="RQ41" s="30"/>
      <c r="RR41" s="30"/>
      <c r="RS41" s="30"/>
      <c r="RT41" s="30"/>
      <c r="RU41" s="30"/>
      <c r="RV41" s="30"/>
      <c r="RW41" s="30"/>
      <c r="RX41" s="30"/>
      <c r="RY41" s="30"/>
      <c r="RZ41" s="30"/>
      <c r="SA41" s="30"/>
      <c r="SB41" s="30"/>
      <c r="SC41" s="30"/>
      <c r="SD41" s="30"/>
      <c r="SE41" s="30"/>
      <c r="SF41" s="30"/>
      <c r="SG41" s="30"/>
      <c r="SH41" s="30"/>
      <c r="SI41" s="30"/>
      <c r="SJ41" s="30"/>
      <c r="SK41" s="30"/>
      <c r="SL41" s="30"/>
      <c r="SM41" s="30"/>
      <c r="SN41" s="30"/>
      <c r="SO41" s="30"/>
      <c r="SP41" s="30"/>
      <c r="SQ41" s="30"/>
      <c r="SR41" s="30"/>
      <c r="SS41" s="30"/>
      <c r="ST41" s="30"/>
      <c r="SU41" s="30"/>
      <c r="SV41" s="30"/>
      <c r="SW41" s="30"/>
      <c r="SX41" s="30"/>
      <c r="SY41" s="30"/>
      <c r="SZ41" s="30"/>
      <c r="TA41" s="30"/>
      <c r="TB41" s="30"/>
      <c r="TC41" s="30"/>
      <c r="TD41" s="30"/>
      <c r="TE41" s="30"/>
      <c r="TF41" s="30"/>
      <c r="TG41" s="30"/>
      <c r="TH41" s="30"/>
      <c r="TI41" s="30"/>
      <c r="TJ41" s="30"/>
      <c r="TK41" s="30"/>
      <c r="TL41" s="30"/>
      <c r="TM41" s="30"/>
      <c r="TN41" s="30"/>
      <c r="TO41" s="30"/>
      <c r="TP41" s="30"/>
      <c r="TQ41" s="30"/>
      <c r="TR41" s="30"/>
      <c r="TS41" s="30"/>
      <c r="TT41" s="30"/>
      <c r="TU41" s="30"/>
      <c r="TV41" s="30"/>
      <c r="TW41" s="30"/>
      <c r="TX41" s="30"/>
      <c r="TY41" s="30"/>
      <c r="TZ41" s="30"/>
      <c r="UA41" s="30"/>
      <c r="UB41" s="30"/>
      <c r="UC41" s="30"/>
      <c r="UD41" s="30"/>
      <c r="UE41" s="30"/>
      <c r="UF41" s="30"/>
      <c r="UG41" s="30"/>
      <c r="UH41" s="30"/>
      <c r="UI41" s="30"/>
      <c r="UJ41" s="30"/>
      <c r="UK41" s="30"/>
      <c r="UL41" s="30"/>
      <c r="UM41" s="30"/>
      <c r="UN41" s="30"/>
      <c r="UO41" s="30"/>
      <c r="UP41" s="30"/>
      <c r="UQ41" s="30"/>
      <c r="UR41" s="30"/>
      <c r="US41" s="30"/>
      <c r="UT41" s="30"/>
      <c r="UU41" s="30"/>
      <c r="UV41" s="30"/>
      <c r="UW41" s="30"/>
      <c r="UX41" s="30"/>
      <c r="UY41" s="30"/>
      <c r="UZ41" s="30"/>
      <c r="VA41" s="30"/>
      <c r="VB41" s="30"/>
      <c r="VC41" s="30"/>
      <c r="VD41" s="30"/>
      <c r="VE41" s="30"/>
      <c r="VF41" s="30"/>
      <c r="VG41" s="149"/>
      <c r="VH41" s="149"/>
      <c r="VI41" s="149"/>
      <c r="VJ41" s="149"/>
      <c r="VK41" s="149"/>
      <c r="VL41" s="149"/>
      <c r="VM41" s="149"/>
      <c r="VN41" s="149"/>
      <c r="VO41" s="149"/>
      <c r="VP41" s="149"/>
      <c r="VQ41" s="149"/>
      <c r="VR41" s="149"/>
      <c r="VS41" s="149"/>
      <c r="VT41" s="149"/>
      <c r="VU41" s="149"/>
      <c r="VV41" s="149"/>
      <c r="VW41" s="149"/>
      <c r="VX41" s="149"/>
      <c r="VY41" s="149"/>
      <c r="VZ41" s="149"/>
      <c r="WA41" s="149"/>
      <c r="WB41" s="149"/>
      <c r="WC41" s="149"/>
      <c r="WD41" s="149"/>
      <c r="WE41" s="149"/>
      <c r="WF41" s="149"/>
      <c r="WG41" s="149"/>
      <c r="WH41" s="149"/>
      <c r="WI41" s="149"/>
      <c r="WJ41" s="149"/>
      <c r="WK41" s="149"/>
      <c r="WL41" s="149"/>
      <c r="WM41" s="149"/>
      <c r="WN41" s="149"/>
      <c r="WO41" s="149"/>
      <c r="WP41" s="149"/>
      <c r="WQ41" s="149"/>
      <c r="WR41" s="149"/>
      <c r="WS41" s="149"/>
      <c r="WT41" s="149"/>
      <c r="WU41" s="149"/>
      <c r="WV41" s="149"/>
      <c r="WW41" s="149"/>
      <c r="WX41" s="149"/>
      <c r="WY41" s="149"/>
      <c r="WZ41" s="149"/>
      <c r="XA41" s="149"/>
      <c r="XB41" s="149"/>
      <c r="XC41" s="149"/>
      <c r="XD41" s="149"/>
      <c r="XE41" s="149"/>
      <c r="XF41" s="149"/>
      <c r="XG41" s="149"/>
      <c r="XH41" s="149"/>
      <c r="XI41" s="149"/>
      <c r="XJ41" s="149"/>
      <c r="XK41" s="149"/>
      <c r="XL41" s="149"/>
      <c r="XM41" s="149"/>
      <c r="XN41" s="149"/>
      <c r="XO41" s="149"/>
      <c r="XP41" s="149"/>
      <c r="XQ41" s="149"/>
      <c r="XR41" s="149"/>
      <c r="XS41" s="149"/>
      <c r="XT41" s="149"/>
      <c r="XU41" s="149"/>
      <c r="XV41" s="149"/>
      <c r="XW41" s="149"/>
      <c r="XX41" s="149"/>
      <c r="XY41" s="149"/>
      <c r="XZ41" s="149"/>
      <c r="YA41" s="149"/>
      <c r="YB41" s="149"/>
      <c r="YC41" s="150"/>
      <c r="YD41" s="150"/>
      <c r="YE41" s="150"/>
      <c r="YF41" s="150"/>
      <c r="YG41" s="150"/>
      <c r="YH41" s="150"/>
      <c r="YI41" s="150"/>
      <c r="YJ41" s="150"/>
      <c r="YK41" s="150"/>
      <c r="YL41" s="150"/>
      <c r="YM41" s="150"/>
    </row>
    <row r="42" spans="1:663" ht="15.75" customHeight="1" x14ac:dyDescent="0.2">
      <c r="A42" s="4"/>
      <c r="B42" s="84" t="s">
        <v>107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  <c r="IX42" s="44"/>
      <c r="IY42" s="44"/>
      <c r="IZ42" s="44"/>
      <c r="JA42" s="44"/>
      <c r="JB42" s="44"/>
      <c r="JC42" s="44"/>
      <c r="JD42" s="44"/>
      <c r="JE42" s="44"/>
      <c r="JF42" s="44"/>
      <c r="JG42" s="44"/>
      <c r="JH42" s="44"/>
      <c r="JI42" s="44"/>
      <c r="JJ42" s="44"/>
      <c r="JK42" s="44"/>
      <c r="JL42" s="44"/>
      <c r="JM42" s="44"/>
      <c r="JN42" s="44"/>
      <c r="JO42" s="123">
        <f t="shared" ref="JO42:TI42" si="68">SUM(JO50:JO55)</f>
        <v>2709078.7600000002</v>
      </c>
      <c r="JP42" s="123">
        <f t="shared" si="68"/>
        <v>2709078.7600000002</v>
      </c>
      <c r="JQ42" s="123">
        <f t="shared" si="68"/>
        <v>2707078.7600000002</v>
      </c>
      <c r="JR42" s="123">
        <f t="shared" si="68"/>
        <v>3189819.45</v>
      </c>
      <c r="JS42" s="123">
        <f t="shared" si="68"/>
        <v>3189819.45</v>
      </c>
      <c r="JT42" s="123">
        <f t="shared" si="68"/>
        <v>3189819.45</v>
      </c>
      <c r="JU42" s="123">
        <f t="shared" si="68"/>
        <v>3189819.45</v>
      </c>
      <c r="JV42" s="123">
        <f t="shared" si="68"/>
        <v>3189819.45</v>
      </c>
      <c r="JW42" s="123">
        <f t="shared" si="68"/>
        <v>3282510.27</v>
      </c>
      <c r="JX42" s="123">
        <f t="shared" si="68"/>
        <v>3282510.27</v>
      </c>
      <c r="JY42" s="123">
        <f t="shared" si="68"/>
        <v>3282510.27</v>
      </c>
      <c r="JZ42" s="123">
        <f t="shared" si="68"/>
        <v>3282510.27</v>
      </c>
      <c r="KA42" s="123">
        <f t="shared" si="68"/>
        <v>3278387.27</v>
      </c>
      <c r="KB42" s="123">
        <f t="shared" si="68"/>
        <v>3278387.27</v>
      </c>
      <c r="KC42" s="123">
        <f t="shared" si="68"/>
        <v>3274570.5100000002</v>
      </c>
      <c r="KD42" s="123">
        <f t="shared" si="68"/>
        <v>3235583.6100000003</v>
      </c>
      <c r="KE42" s="123">
        <f t="shared" si="68"/>
        <v>3234583.6099999994</v>
      </c>
      <c r="KF42" s="123">
        <f t="shared" si="68"/>
        <v>3166509.79</v>
      </c>
      <c r="KG42" s="123">
        <f t="shared" si="68"/>
        <v>3166509.79</v>
      </c>
      <c r="KH42" s="123">
        <f t="shared" si="68"/>
        <v>3884612.74</v>
      </c>
      <c r="KI42" s="123">
        <f t="shared" si="68"/>
        <v>3884612.7399999998</v>
      </c>
      <c r="KJ42" s="123">
        <f t="shared" si="68"/>
        <v>0</v>
      </c>
      <c r="KK42" s="123">
        <f t="shared" si="68"/>
        <v>3884612.7399999998</v>
      </c>
      <c r="KL42" s="123">
        <f t="shared" si="68"/>
        <v>3947240.11</v>
      </c>
      <c r="KM42" s="123">
        <f t="shared" si="68"/>
        <v>3947240.11</v>
      </c>
      <c r="KN42" s="123">
        <f t="shared" si="68"/>
        <v>3947240.11</v>
      </c>
      <c r="KO42" s="123">
        <f t="shared" si="68"/>
        <v>3947240.11</v>
      </c>
      <c r="KP42" s="123">
        <f t="shared" si="68"/>
        <v>3947240.11</v>
      </c>
      <c r="KQ42" s="123">
        <f t="shared" si="68"/>
        <v>3947240.11</v>
      </c>
      <c r="KR42" s="123">
        <f t="shared" si="68"/>
        <v>3944135.7399999998</v>
      </c>
      <c r="KS42" s="123">
        <f t="shared" si="68"/>
        <v>3901393.22</v>
      </c>
      <c r="KT42" s="123">
        <f t="shared" si="68"/>
        <v>3901393.22</v>
      </c>
      <c r="KU42" s="123">
        <f t="shared" si="68"/>
        <v>3901393.22</v>
      </c>
      <c r="KV42" s="123">
        <f t="shared" si="68"/>
        <v>4083704.99</v>
      </c>
      <c r="KW42" s="123">
        <f t="shared" si="68"/>
        <v>4111898.24</v>
      </c>
      <c r="KX42" s="123">
        <f t="shared" si="68"/>
        <v>4111898.24</v>
      </c>
      <c r="KY42" s="123">
        <f t="shared" si="68"/>
        <v>4103884.3899999997</v>
      </c>
      <c r="KZ42" s="123">
        <f t="shared" si="68"/>
        <v>4062355.1299999994</v>
      </c>
      <c r="LA42" s="123">
        <f t="shared" si="68"/>
        <v>4552012.6800000006</v>
      </c>
      <c r="LB42" s="123">
        <f t="shared" si="68"/>
        <v>4638985.1800000006</v>
      </c>
      <c r="LC42" s="123">
        <f t="shared" si="68"/>
        <v>4638985.1800000006</v>
      </c>
      <c r="LD42" s="123">
        <f t="shared" si="68"/>
        <v>4638985.1800000006</v>
      </c>
      <c r="LE42" s="123">
        <f t="shared" si="68"/>
        <v>4633985.1800000006</v>
      </c>
      <c r="LF42" s="123">
        <f t="shared" si="68"/>
        <v>4623432.5500000007</v>
      </c>
      <c r="LG42" s="123">
        <f t="shared" si="68"/>
        <v>4579627.959999999</v>
      </c>
      <c r="LH42" s="123">
        <f t="shared" si="68"/>
        <v>4549097.459999999</v>
      </c>
      <c r="LI42" s="123">
        <f t="shared" si="68"/>
        <v>4489743.09</v>
      </c>
      <c r="LJ42" s="123">
        <f t="shared" si="68"/>
        <v>4478832.4400000004</v>
      </c>
      <c r="LK42" s="123">
        <f t="shared" si="68"/>
        <v>4478832.4400000004</v>
      </c>
      <c r="LL42" s="123">
        <f t="shared" si="68"/>
        <v>5350251.2300000004</v>
      </c>
      <c r="LM42" s="123">
        <f t="shared" si="68"/>
        <v>5670272.4299999997</v>
      </c>
      <c r="LN42" s="123">
        <f t="shared" si="68"/>
        <v>5670272.4299999997</v>
      </c>
      <c r="LO42" s="123">
        <f t="shared" si="68"/>
        <v>5670022.4299999997</v>
      </c>
      <c r="LP42" s="123">
        <f t="shared" si="68"/>
        <v>5721271.7299999995</v>
      </c>
      <c r="LQ42" s="123">
        <f t="shared" si="68"/>
        <v>5727056.3599999994</v>
      </c>
      <c r="LR42" s="123">
        <f t="shared" si="68"/>
        <v>5724863.5499999998</v>
      </c>
      <c r="LS42" s="123">
        <f t="shared" si="68"/>
        <v>5706868.3199999994</v>
      </c>
      <c r="LT42" s="123">
        <f t="shared" si="68"/>
        <v>5706868.3199999994</v>
      </c>
      <c r="LU42" s="123">
        <f t="shared" si="68"/>
        <v>5641493.3199999994</v>
      </c>
      <c r="LV42" s="123">
        <f t="shared" si="68"/>
        <v>5603014.9299999988</v>
      </c>
      <c r="LW42" s="123">
        <f t="shared" si="68"/>
        <v>5595358.6499999994</v>
      </c>
      <c r="LX42" s="123">
        <f t="shared" si="68"/>
        <v>5558731.2400000002</v>
      </c>
      <c r="LY42" s="123">
        <f t="shared" si="68"/>
        <v>5546304.7200000007</v>
      </c>
      <c r="LZ42" s="123">
        <f t="shared" si="68"/>
        <v>5546304.7200000007</v>
      </c>
      <c r="MA42" s="123">
        <f t="shared" si="68"/>
        <v>6487731.1600000001</v>
      </c>
      <c r="MB42" s="123">
        <f t="shared" si="68"/>
        <v>6487731.1600000001</v>
      </c>
      <c r="MC42" s="123">
        <f t="shared" si="68"/>
        <v>6487731.1600000001</v>
      </c>
      <c r="MD42" s="123">
        <f t="shared" si="68"/>
        <v>6487731.1600000001</v>
      </c>
      <c r="ME42" s="123">
        <f t="shared" si="68"/>
        <v>6462816.3399999999</v>
      </c>
      <c r="MF42" s="123">
        <f t="shared" si="68"/>
        <v>6913500.6899999995</v>
      </c>
      <c r="MG42" s="123">
        <f t="shared" si="68"/>
        <v>6908500.6899999995</v>
      </c>
      <c r="MH42" s="123">
        <f t="shared" si="68"/>
        <v>6905000.6899999995</v>
      </c>
      <c r="MI42" s="123">
        <f t="shared" si="68"/>
        <v>6900000.6899999995</v>
      </c>
      <c r="MJ42" s="123">
        <f t="shared" si="68"/>
        <v>6887061.6899999995</v>
      </c>
      <c r="MK42" s="123">
        <f t="shared" si="68"/>
        <v>6887061.6899999995</v>
      </c>
      <c r="ML42" s="123">
        <f t="shared" si="68"/>
        <v>6879067.9100000001</v>
      </c>
      <c r="MM42" s="123">
        <f t="shared" si="68"/>
        <v>6879067.9100000001</v>
      </c>
      <c r="MN42" s="123">
        <f t="shared" si="68"/>
        <v>6867620.1099999994</v>
      </c>
      <c r="MO42" s="123">
        <f t="shared" si="68"/>
        <v>6862620.1099999994</v>
      </c>
      <c r="MP42" s="123">
        <f t="shared" si="68"/>
        <v>6839401.1099999994</v>
      </c>
      <c r="MQ42" s="123">
        <f t="shared" si="68"/>
        <v>6866805.1699999999</v>
      </c>
      <c r="MR42" s="123">
        <f t="shared" si="68"/>
        <v>8174802.6799999997</v>
      </c>
      <c r="MS42" s="123">
        <f t="shared" si="68"/>
        <v>8173548.6800000006</v>
      </c>
      <c r="MT42" s="123">
        <f t="shared" si="68"/>
        <v>8165189.6100000003</v>
      </c>
      <c r="MU42" s="123">
        <f t="shared" si="68"/>
        <v>8188996.7999999998</v>
      </c>
      <c r="MV42" s="123">
        <f t="shared" si="68"/>
        <v>8288353.8300000001</v>
      </c>
      <c r="MW42" s="123">
        <f t="shared" si="68"/>
        <v>8281134.8300000001</v>
      </c>
      <c r="MX42" s="123">
        <f t="shared" si="68"/>
        <v>8281134.8300000001</v>
      </c>
      <c r="MY42" s="123">
        <f t="shared" si="68"/>
        <v>8276134.8300000001</v>
      </c>
      <c r="MZ42" s="123">
        <f t="shared" si="68"/>
        <v>8248846.0900000008</v>
      </c>
      <c r="NA42" s="123">
        <f t="shared" si="68"/>
        <v>8230888.7800000003</v>
      </c>
      <c r="NB42" s="123">
        <f t="shared" si="68"/>
        <v>8169456.3900000006</v>
      </c>
      <c r="NC42" s="123">
        <f t="shared" si="68"/>
        <v>8169456.3900000006</v>
      </c>
      <c r="ND42" s="123">
        <f t="shared" si="68"/>
        <v>8163456.3900000006</v>
      </c>
      <c r="NE42" s="123">
        <f t="shared" si="68"/>
        <v>8158672.3900000006</v>
      </c>
      <c r="NF42" s="123">
        <f t="shared" si="68"/>
        <v>9408937.4100000001</v>
      </c>
      <c r="NG42" s="123">
        <f t="shared" si="68"/>
        <v>9408937.4100000001</v>
      </c>
      <c r="NH42" s="123">
        <f t="shared" si="68"/>
        <v>9400272.2799999993</v>
      </c>
      <c r="NI42" s="123">
        <f t="shared" si="68"/>
        <v>9392609.8699999992</v>
      </c>
      <c r="NJ42" s="123">
        <f t="shared" si="68"/>
        <v>9379909.8699999992</v>
      </c>
      <c r="NK42" s="123">
        <f t="shared" si="68"/>
        <v>10054649.9</v>
      </c>
      <c r="NL42" s="123">
        <f t="shared" si="68"/>
        <v>10038860.42</v>
      </c>
      <c r="NM42" s="123">
        <f t="shared" si="68"/>
        <v>10020860.42</v>
      </c>
      <c r="NN42" s="123">
        <f t="shared" si="68"/>
        <v>10020860.42</v>
      </c>
      <c r="NO42" s="123">
        <f t="shared" si="68"/>
        <v>10013442.42</v>
      </c>
      <c r="NP42" s="123">
        <f t="shared" si="68"/>
        <v>10000905.42</v>
      </c>
      <c r="NQ42" s="123">
        <f t="shared" si="68"/>
        <v>9987267.2300000004</v>
      </c>
      <c r="NR42" s="123">
        <f t="shared" si="68"/>
        <v>9969080.2799999993</v>
      </c>
      <c r="NS42" s="123">
        <f t="shared" si="68"/>
        <v>9909605.2799999993</v>
      </c>
      <c r="NT42" s="123">
        <f t="shared" si="68"/>
        <v>9902380.1600000001</v>
      </c>
      <c r="NU42" s="123">
        <f t="shared" si="68"/>
        <v>9902380.1600000001</v>
      </c>
      <c r="NV42" s="123">
        <f t="shared" si="68"/>
        <v>11522429.01</v>
      </c>
      <c r="NW42" s="123">
        <f t="shared" si="68"/>
        <v>11496690.969999999</v>
      </c>
      <c r="NX42" s="123">
        <f t="shared" si="68"/>
        <v>11496690.969999999</v>
      </c>
      <c r="NY42" s="123">
        <f t="shared" si="68"/>
        <v>11575376.979999999</v>
      </c>
      <c r="NZ42" s="123">
        <f t="shared" si="68"/>
        <v>11569023.130000001</v>
      </c>
      <c r="OA42" s="123">
        <f t="shared" si="68"/>
        <v>11569023.130000001</v>
      </c>
      <c r="OB42" s="123">
        <f t="shared" si="68"/>
        <v>11568623.130000001</v>
      </c>
      <c r="OC42" s="123">
        <f t="shared" si="68"/>
        <v>11568623.130000001</v>
      </c>
      <c r="OD42" s="123">
        <f t="shared" si="68"/>
        <v>11527816.140000001</v>
      </c>
      <c r="OE42" s="123">
        <f t="shared" si="68"/>
        <v>11516851.880000001</v>
      </c>
      <c r="OF42" s="123">
        <f t="shared" si="68"/>
        <v>11508586.880000001</v>
      </c>
      <c r="OG42" s="123">
        <f t="shared" si="68"/>
        <v>11399971.6</v>
      </c>
      <c r="OH42" s="123">
        <f t="shared" si="68"/>
        <v>11372587.949999999</v>
      </c>
      <c r="OI42" s="123">
        <f t="shared" si="68"/>
        <v>11372587.949999999</v>
      </c>
      <c r="OJ42" s="123">
        <f t="shared" si="68"/>
        <v>11365768.120000001</v>
      </c>
      <c r="OK42" s="123">
        <f t="shared" si="68"/>
        <v>12291918.479999999</v>
      </c>
      <c r="OL42" s="123">
        <f t="shared" si="68"/>
        <v>12278350.110000001</v>
      </c>
      <c r="OM42" s="123">
        <f t="shared" si="68"/>
        <v>12278350.109999999</v>
      </c>
      <c r="ON42" s="123">
        <f t="shared" si="68"/>
        <v>12278350.110000001</v>
      </c>
      <c r="OO42" s="123">
        <f t="shared" si="68"/>
        <v>12273675.74</v>
      </c>
      <c r="OP42" s="123">
        <f t="shared" si="68"/>
        <v>12558988.500000002</v>
      </c>
      <c r="OQ42" s="123">
        <f t="shared" si="68"/>
        <v>12548940.200000001</v>
      </c>
      <c r="OR42" s="123">
        <f t="shared" si="68"/>
        <v>12548940.200000001</v>
      </c>
      <c r="OS42" s="123">
        <f t="shared" si="68"/>
        <v>12520526.02</v>
      </c>
      <c r="OT42" s="123">
        <f t="shared" si="68"/>
        <v>12516248.02</v>
      </c>
      <c r="OU42" s="123">
        <f t="shared" si="68"/>
        <v>12377360.75</v>
      </c>
      <c r="OV42" s="123">
        <f t="shared" si="68"/>
        <v>12351091.560000001</v>
      </c>
      <c r="OW42" s="123">
        <f t="shared" si="68"/>
        <v>12272630.18</v>
      </c>
      <c r="OX42" s="123">
        <f t="shared" si="68"/>
        <v>12268295.060000001</v>
      </c>
      <c r="OY42" s="123">
        <f t="shared" si="68"/>
        <v>12250818.680000002</v>
      </c>
      <c r="OZ42" s="123">
        <f t="shared" si="68"/>
        <v>12244670.680000002</v>
      </c>
      <c r="PA42" s="123">
        <f t="shared" si="68"/>
        <v>13717220.59</v>
      </c>
      <c r="PB42" s="123">
        <f t="shared" si="68"/>
        <v>13717220.59</v>
      </c>
      <c r="PC42" s="123">
        <f t="shared" si="68"/>
        <v>13713220.59</v>
      </c>
      <c r="PD42" s="123">
        <f t="shared" si="68"/>
        <v>13713220.59</v>
      </c>
      <c r="PE42" s="123">
        <f t="shared" si="68"/>
        <v>13690510.039999999</v>
      </c>
      <c r="PF42" s="123">
        <f t="shared" si="68"/>
        <v>13690510.039999999</v>
      </c>
      <c r="PG42" s="123">
        <f t="shared" si="68"/>
        <v>13664211.529999999</v>
      </c>
      <c r="PH42" s="123">
        <f t="shared" si="68"/>
        <v>13641205.149999999</v>
      </c>
      <c r="PI42" s="123">
        <f t="shared" si="68"/>
        <v>13580733.359999999</v>
      </c>
      <c r="PJ42" s="123">
        <f t="shared" si="68"/>
        <v>13444713.060000001</v>
      </c>
      <c r="PK42" s="123">
        <f t="shared" si="68"/>
        <v>13421417.790000001</v>
      </c>
      <c r="PL42" s="123">
        <f t="shared" si="68"/>
        <v>13408265.1</v>
      </c>
      <c r="PM42" s="123">
        <f t="shared" si="68"/>
        <v>13400280.390000001</v>
      </c>
      <c r="PN42" s="123">
        <f t="shared" si="68"/>
        <v>13397617.98</v>
      </c>
      <c r="PO42" s="123">
        <f t="shared" si="68"/>
        <v>13393456.940000001</v>
      </c>
      <c r="PP42" s="123">
        <f t="shared" si="68"/>
        <v>14779521.789999999</v>
      </c>
      <c r="PQ42" s="123">
        <f t="shared" si="68"/>
        <v>14725948.139999999</v>
      </c>
      <c r="PR42" s="123">
        <f t="shared" si="68"/>
        <v>14725948.140000002</v>
      </c>
      <c r="PS42" s="123">
        <f t="shared" si="68"/>
        <v>14725948.139999999</v>
      </c>
      <c r="PT42" s="123">
        <f t="shared" si="68"/>
        <v>14642109.040000001</v>
      </c>
      <c r="PU42" s="123">
        <f t="shared" si="68"/>
        <v>14620541.619999999</v>
      </c>
      <c r="PV42" s="123">
        <f t="shared" si="68"/>
        <v>14611881.979999999</v>
      </c>
      <c r="PW42" s="123">
        <f t="shared" si="68"/>
        <v>14544264.139999999</v>
      </c>
      <c r="PX42" s="123">
        <f t="shared" si="68"/>
        <v>14523690.629999999</v>
      </c>
      <c r="PY42" s="123">
        <f t="shared" si="68"/>
        <v>14443540.029999999</v>
      </c>
      <c r="PZ42" s="123">
        <f t="shared" si="68"/>
        <v>14403617.27</v>
      </c>
      <c r="QA42" s="123">
        <f t="shared" si="68"/>
        <v>14398958.099999998</v>
      </c>
      <c r="QB42" s="123">
        <f t="shared" si="68"/>
        <v>14398958.099999998</v>
      </c>
      <c r="QC42" s="123">
        <f t="shared" si="68"/>
        <v>14417736.879999999</v>
      </c>
      <c r="QD42" s="123">
        <f t="shared" si="68"/>
        <v>14410271.880000001</v>
      </c>
      <c r="QE42" s="123">
        <f t="shared" si="68"/>
        <v>14406271.880000001</v>
      </c>
      <c r="QF42" s="123">
        <f t="shared" si="68"/>
        <v>15739396.82</v>
      </c>
      <c r="QG42" s="123">
        <f t="shared" si="68"/>
        <v>15738396.82</v>
      </c>
      <c r="QH42" s="123">
        <f t="shared" si="68"/>
        <v>15738396.819999998</v>
      </c>
      <c r="QI42" s="123">
        <f t="shared" si="68"/>
        <v>15732738.350000001</v>
      </c>
      <c r="QJ42" s="123">
        <f t="shared" si="68"/>
        <v>15729238.350000001</v>
      </c>
      <c r="QK42" s="123">
        <f t="shared" si="68"/>
        <v>15704102.34</v>
      </c>
      <c r="QL42" s="123">
        <f t="shared" si="68"/>
        <v>15695234.82</v>
      </c>
      <c r="QM42" s="123">
        <f t="shared" si="68"/>
        <v>15631901.99</v>
      </c>
      <c r="QN42" s="123">
        <f t="shared" si="68"/>
        <v>15457068.949999999</v>
      </c>
      <c r="QO42" s="123">
        <f t="shared" si="68"/>
        <v>15419582.379999999</v>
      </c>
      <c r="QP42" s="123">
        <f t="shared" si="68"/>
        <v>15417582.379999999</v>
      </c>
      <c r="QQ42" s="123">
        <f t="shared" si="68"/>
        <v>15388495.239999998</v>
      </c>
      <c r="QR42" s="123">
        <f t="shared" si="68"/>
        <v>15998924.880000001</v>
      </c>
      <c r="QS42" s="123">
        <f t="shared" si="68"/>
        <v>15997483.030000001</v>
      </c>
      <c r="QT42" s="123">
        <f t="shared" si="68"/>
        <v>15997483.030000001</v>
      </c>
      <c r="QU42" s="123">
        <f t="shared" si="68"/>
        <v>15943497.939999998</v>
      </c>
      <c r="QV42" s="123">
        <f t="shared" si="68"/>
        <v>15936222.079999998</v>
      </c>
      <c r="QW42" s="123">
        <f t="shared" si="68"/>
        <v>15934274.699999999</v>
      </c>
      <c r="QX42" s="123">
        <f t="shared" si="68"/>
        <v>15904274.699999999</v>
      </c>
      <c r="QY42" s="123">
        <f t="shared" si="68"/>
        <v>15691065.75</v>
      </c>
      <c r="QZ42" s="123">
        <f t="shared" si="68"/>
        <v>15691065.75</v>
      </c>
      <c r="RA42" s="123">
        <f t="shared" si="68"/>
        <v>15624539.950000001</v>
      </c>
      <c r="RB42" s="123">
        <f t="shared" si="68"/>
        <v>15461156.310000001</v>
      </c>
      <c r="RC42" s="123">
        <f t="shared" si="68"/>
        <v>15429849.76</v>
      </c>
      <c r="RD42" s="123">
        <f t="shared" si="68"/>
        <v>15290559.02</v>
      </c>
      <c r="RE42" s="123">
        <f t="shared" si="68"/>
        <v>15280659.02</v>
      </c>
      <c r="RF42" s="123">
        <f t="shared" si="68"/>
        <v>15280659.02</v>
      </c>
      <c r="RG42" s="123">
        <f t="shared" si="68"/>
        <v>15280659.02</v>
      </c>
      <c r="RH42" s="123">
        <f t="shared" si="68"/>
        <v>15870803.530000001</v>
      </c>
      <c r="RI42" s="123">
        <f t="shared" si="68"/>
        <v>15730752.149999999</v>
      </c>
      <c r="RJ42" s="123">
        <f t="shared" si="68"/>
        <v>15722911.280000001</v>
      </c>
      <c r="RK42" s="123">
        <f t="shared" si="68"/>
        <v>15722911.280000001</v>
      </c>
      <c r="RL42" s="123">
        <f t="shared" si="68"/>
        <v>15720646.279999999</v>
      </c>
      <c r="RM42" s="123">
        <f t="shared" si="68"/>
        <v>15710542.130000001</v>
      </c>
      <c r="RN42" s="123">
        <f t="shared" si="68"/>
        <v>15699926.249999998</v>
      </c>
      <c r="RO42" s="123">
        <f t="shared" si="68"/>
        <v>15699926.249999998</v>
      </c>
      <c r="RP42" s="123">
        <f t="shared" si="68"/>
        <v>15699926.249999998</v>
      </c>
      <c r="RQ42" s="123">
        <f t="shared" si="68"/>
        <v>15689662.249999998</v>
      </c>
      <c r="RR42" s="123">
        <f t="shared" si="68"/>
        <v>15681121.65</v>
      </c>
      <c r="RS42" s="123">
        <f t="shared" si="68"/>
        <v>15530398.77</v>
      </c>
      <c r="RT42" s="123">
        <f t="shared" si="68"/>
        <v>15491609.189999998</v>
      </c>
      <c r="RU42" s="123">
        <f t="shared" si="68"/>
        <v>15491609.189999998</v>
      </c>
      <c r="RV42" s="123">
        <f t="shared" si="68"/>
        <v>15687609.189999999</v>
      </c>
      <c r="RW42" s="123">
        <f t="shared" si="68"/>
        <v>16270211.520000001</v>
      </c>
      <c r="RX42" s="123">
        <f t="shared" si="68"/>
        <v>16236233.470000001</v>
      </c>
      <c r="RY42" s="123">
        <f t="shared" si="68"/>
        <v>16235233.470000001</v>
      </c>
      <c r="RZ42" s="123">
        <f t="shared" si="68"/>
        <v>16207807.18</v>
      </c>
      <c r="SA42" s="123">
        <f t="shared" si="68"/>
        <v>16181942.689999999</v>
      </c>
      <c r="SB42" s="123">
        <f t="shared" si="68"/>
        <v>16163069.689999999</v>
      </c>
      <c r="SC42" s="123">
        <f t="shared" si="68"/>
        <v>16153021.389999999</v>
      </c>
      <c r="SD42" s="123">
        <f t="shared" si="68"/>
        <v>16153021.389999999</v>
      </c>
      <c r="SE42" s="123">
        <f t="shared" si="68"/>
        <v>16075771.01</v>
      </c>
      <c r="SF42" s="123">
        <f t="shared" si="68"/>
        <v>16075771.01</v>
      </c>
      <c r="SG42" s="123">
        <f t="shared" si="68"/>
        <v>16035026.41</v>
      </c>
      <c r="SH42" s="123">
        <f t="shared" si="68"/>
        <v>15913574.68</v>
      </c>
      <c r="SI42" s="123">
        <f t="shared" si="68"/>
        <v>15862578.039999999</v>
      </c>
      <c r="SJ42" s="123">
        <f t="shared" si="68"/>
        <v>15850717.84</v>
      </c>
      <c r="SK42" s="123">
        <f t="shared" si="68"/>
        <v>15845680.969999999</v>
      </c>
      <c r="SL42" s="123">
        <f t="shared" si="68"/>
        <v>16023876.199999999</v>
      </c>
      <c r="SM42" s="123">
        <f t="shared" si="68"/>
        <v>17377145.200000003</v>
      </c>
      <c r="SN42" s="123">
        <f t="shared" si="68"/>
        <v>17367659.25</v>
      </c>
      <c r="SO42" s="123">
        <f t="shared" si="68"/>
        <v>17256036.969999999</v>
      </c>
      <c r="SP42" s="123">
        <f t="shared" si="68"/>
        <v>17256036.969999999</v>
      </c>
      <c r="SQ42" s="123">
        <f t="shared" si="68"/>
        <v>17256036.969999999</v>
      </c>
      <c r="SR42" s="123">
        <f t="shared" si="68"/>
        <v>17231971.700000003</v>
      </c>
      <c r="SS42" s="123">
        <f t="shared" si="68"/>
        <v>17165430.91</v>
      </c>
      <c r="ST42" s="123">
        <f t="shared" si="68"/>
        <v>17116438.549999997</v>
      </c>
      <c r="SU42" s="123">
        <f t="shared" si="68"/>
        <v>17097474.549999997</v>
      </c>
      <c r="SV42" s="123">
        <f t="shared" si="68"/>
        <v>17080336.890000001</v>
      </c>
      <c r="SW42" s="123">
        <f t="shared" si="68"/>
        <v>17049050.420000002</v>
      </c>
      <c r="SX42" s="123">
        <f t="shared" si="68"/>
        <v>17043395.16</v>
      </c>
      <c r="SY42" s="123">
        <f t="shared" si="68"/>
        <v>17004450.16</v>
      </c>
      <c r="SZ42" s="123">
        <f t="shared" si="68"/>
        <v>16991766.34</v>
      </c>
      <c r="TA42" s="123">
        <f t="shared" si="68"/>
        <v>18097325.75</v>
      </c>
      <c r="TB42" s="123">
        <f t="shared" si="68"/>
        <v>18097325.75</v>
      </c>
      <c r="TC42" s="123">
        <f t="shared" si="68"/>
        <v>18081278.579999998</v>
      </c>
      <c r="TD42" s="123">
        <f t="shared" si="68"/>
        <v>18081278.579999998</v>
      </c>
      <c r="TE42" s="123">
        <f t="shared" si="68"/>
        <v>18030566.440000001</v>
      </c>
      <c r="TF42" s="123">
        <f t="shared" si="68"/>
        <v>18030566.440000001</v>
      </c>
      <c r="TG42" s="123">
        <f t="shared" si="68"/>
        <v>18030566.440000001</v>
      </c>
      <c r="TH42" s="123">
        <f t="shared" si="68"/>
        <v>18018547.160000004</v>
      </c>
      <c r="TI42" s="123">
        <f t="shared" si="68"/>
        <v>17975457.280000001</v>
      </c>
      <c r="TJ42" s="123">
        <f t="shared" ref="TJ42:WH42" si="69">SUM(TJ50:TJ55)</f>
        <v>17946722.240000002</v>
      </c>
      <c r="TK42" s="123">
        <f t="shared" si="69"/>
        <v>17900835.240000002</v>
      </c>
      <c r="TL42" s="123">
        <f t="shared" si="69"/>
        <v>17899057.460000001</v>
      </c>
      <c r="TM42" s="123">
        <f t="shared" si="69"/>
        <v>17782994.530000001</v>
      </c>
      <c r="TN42" s="123">
        <f t="shared" si="69"/>
        <v>17735313.369999997</v>
      </c>
      <c r="TO42" s="123">
        <f t="shared" si="69"/>
        <v>17734913.369999997</v>
      </c>
      <c r="TP42" s="123">
        <f t="shared" si="69"/>
        <v>17721996.5</v>
      </c>
      <c r="TQ42" s="123">
        <f t="shared" si="69"/>
        <v>18738563.52</v>
      </c>
      <c r="TR42" s="123">
        <f t="shared" si="69"/>
        <v>18738563.52</v>
      </c>
      <c r="TS42" s="123">
        <f t="shared" si="69"/>
        <v>18738563.52</v>
      </c>
      <c r="TT42" s="123">
        <f t="shared" si="69"/>
        <v>18738563.52</v>
      </c>
      <c r="TU42" s="123">
        <f t="shared" si="69"/>
        <v>18729329.119999997</v>
      </c>
      <c r="TV42" s="123">
        <f t="shared" si="69"/>
        <v>18728329.119999997</v>
      </c>
      <c r="TW42" s="123">
        <f t="shared" si="69"/>
        <v>18711849.210000001</v>
      </c>
      <c r="TX42" s="123">
        <f t="shared" si="69"/>
        <v>18701233.329999998</v>
      </c>
      <c r="TY42" s="123">
        <f t="shared" si="69"/>
        <v>18695991.489999998</v>
      </c>
      <c r="TZ42" s="123">
        <f t="shared" si="69"/>
        <v>18693177.299999997</v>
      </c>
      <c r="UA42" s="123">
        <f t="shared" si="69"/>
        <v>18693177.299999997</v>
      </c>
      <c r="UB42" s="123">
        <f t="shared" si="69"/>
        <v>18615458.969999999</v>
      </c>
      <c r="UC42" s="123">
        <f t="shared" si="69"/>
        <v>18592436.670000002</v>
      </c>
      <c r="UD42" s="123">
        <f t="shared" si="69"/>
        <v>18592436.670000002</v>
      </c>
      <c r="UE42" s="123">
        <f t="shared" si="69"/>
        <v>18709058.990000002</v>
      </c>
      <c r="UF42" s="123">
        <f t="shared" si="69"/>
        <v>19499259.609999999</v>
      </c>
      <c r="UG42" s="123">
        <f t="shared" si="69"/>
        <v>19499259.609999999</v>
      </c>
      <c r="UH42" s="123">
        <f t="shared" si="69"/>
        <v>19394799.879999999</v>
      </c>
      <c r="UI42" s="123">
        <f t="shared" si="69"/>
        <v>19330021.68</v>
      </c>
      <c r="UJ42" s="123">
        <f t="shared" si="69"/>
        <v>19325021.68</v>
      </c>
      <c r="UK42" s="123">
        <f t="shared" si="69"/>
        <v>18081775.920000002</v>
      </c>
      <c r="UL42" s="123">
        <f t="shared" si="69"/>
        <v>19285214.560000002</v>
      </c>
      <c r="UM42" s="123">
        <f t="shared" si="69"/>
        <v>19285214.560000002</v>
      </c>
      <c r="UN42" s="123">
        <f t="shared" si="69"/>
        <v>19276716.170000002</v>
      </c>
      <c r="UO42" s="123">
        <f t="shared" si="69"/>
        <v>19258514.289999999</v>
      </c>
      <c r="UP42" s="123">
        <f t="shared" si="69"/>
        <v>19248169.510000002</v>
      </c>
      <c r="UQ42" s="123">
        <f t="shared" si="69"/>
        <v>19225528.09</v>
      </c>
      <c r="UR42" s="123">
        <f t="shared" si="69"/>
        <v>19225528.09</v>
      </c>
      <c r="US42" s="123">
        <f t="shared" si="69"/>
        <v>19219851.240000002</v>
      </c>
      <c r="UT42" s="123">
        <f t="shared" si="69"/>
        <v>19214551.240000002</v>
      </c>
      <c r="UU42" s="123">
        <f t="shared" si="69"/>
        <v>19513051.030000001</v>
      </c>
      <c r="UV42" s="123">
        <f t="shared" si="69"/>
        <v>19498737.329999998</v>
      </c>
      <c r="UW42" s="123">
        <f t="shared" si="69"/>
        <v>19498737.329999998</v>
      </c>
      <c r="UX42" s="123">
        <f t="shared" si="69"/>
        <v>19485679.719999999</v>
      </c>
      <c r="UY42" s="123">
        <f t="shared" si="69"/>
        <v>19485679.719999999</v>
      </c>
      <c r="UZ42" s="123">
        <f t="shared" si="69"/>
        <v>19484142.479999997</v>
      </c>
      <c r="VA42" s="123">
        <f t="shared" si="69"/>
        <v>19484142.479999997</v>
      </c>
      <c r="VB42" s="123">
        <f t="shared" si="69"/>
        <v>19484142.479999997</v>
      </c>
      <c r="VC42" s="123">
        <f t="shared" si="69"/>
        <v>19473526.600000001</v>
      </c>
      <c r="VD42" s="123">
        <f t="shared" si="69"/>
        <v>19472326.600000001</v>
      </c>
      <c r="VE42" s="123">
        <f t="shared" si="69"/>
        <v>19472326.600000001</v>
      </c>
      <c r="VF42" s="123">
        <f t="shared" si="69"/>
        <v>19472326.600000001</v>
      </c>
      <c r="VG42" s="171">
        <f t="shared" si="69"/>
        <v>19447250.789999999</v>
      </c>
      <c r="VH42" s="171">
        <f t="shared" si="69"/>
        <v>19430259.079999998</v>
      </c>
      <c r="VI42" s="171">
        <f t="shared" si="69"/>
        <v>19435318.390000001</v>
      </c>
      <c r="VJ42" s="171">
        <f t="shared" si="69"/>
        <v>19574411.439999998</v>
      </c>
      <c r="VK42" s="171">
        <f t="shared" si="69"/>
        <v>19945203.23</v>
      </c>
      <c r="VL42" s="171">
        <f t="shared" si="69"/>
        <v>19945203.23</v>
      </c>
      <c r="VM42" s="171">
        <f t="shared" si="69"/>
        <v>19944203.23</v>
      </c>
      <c r="VN42" s="171">
        <f t="shared" si="69"/>
        <v>19928379.32</v>
      </c>
      <c r="VO42" s="171">
        <f t="shared" si="69"/>
        <v>19928293.18</v>
      </c>
      <c r="VP42" s="171">
        <f t="shared" si="69"/>
        <v>19928293.18</v>
      </c>
      <c r="VQ42" s="171">
        <f t="shared" si="69"/>
        <v>19928293.18</v>
      </c>
      <c r="VR42" s="171">
        <f t="shared" si="69"/>
        <v>19928293.18</v>
      </c>
      <c r="VS42" s="171">
        <f t="shared" si="69"/>
        <v>19922088.07</v>
      </c>
      <c r="VT42" s="171">
        <f t="shared" si="69"/>
        <v>19922088.07</v>
      </c>
      <c r="VU42" s="171">
        <f t="shared" si="69"/>
        <v>19919310.969999999</v>
      </c>
      <c r="VV42" s="171">
        <f t="shared" si="69"/>
        <v>19891374.43</v>
      </c>
      <c r="VW42" s="171">
        <f t="shared" si="69"/>
        <v>19872990.719999999</v>
      </c>
      <c r="VX42" s="171">
        <f t="shared" si="69"/>
        <v>19870294.969999999</v>
      </c>
      <c r="VY42" s="171">
        <f t="shared" si="69"/>
        <v>19866449.960000001</v>
      </c>
      <c r="VZ42" s="171">
        <f t="shared" si="69"/>
        <v>20381525.640000001</v>
      </c>
      <c r="WA42" s="171">
        <f t="shared" si="69"/>
        <v>20381525.640000001</v>
      </c>
      <c r="WB42" s="171">
        <f t="shared" si="69"/>
        <v>20316136.829999998</v>
      </c>
      <c r="WC42" s="171">
        <f t="shared" si="69"/>
        <v>20312278.919999998</v>
      </c>
      <c r="WD42" s="171">
        <f t="shared" si="69"/>
        <v>20312178.919999998</v>
      </c>
      <c r="WE42" s="171">
        <f t="shared" si="69"/>
        <v>20312078.919999998</v>
      </c>
      <c r="WF42" s="171">
        <f t="shared" si="69"/>
        <v>20311928.919999998</v>
      </c>
      <c r="WG42" s="171">
        <f t="shared" si="69"/>
        <v>20311778.919999998</v>
      </c>
      <c r="WH42" s="171">
        <f t="shared" si="69"/>
        <v>20311628.919999998</v>
      </c>
      <c r="WI42" s="171">
        <v>20311478.920000002</v>
      </c>
      <c r="WJ42" s="171">
        <f t="shared" ref="WJ42:WM42" si="70">SUM(WJ50:WJ55)</f>
        <v>20241673.620000001</v>
      </c>
      <c r="WK42" s="171">
        <f t="shared" si="70"/>
        <v>20236523.620000001</v>
      </c>
      <c r="WL42" s="171">
        <f t="shared" si="70"/>
        <v>20223241.800000001</v>
      </c>
      <c r="WM42" s="171">
        <f t="shared" si="70"/>
        <v>20216917.829999998</v>
      </c>
      <c r="WN42" s="171">
        <f t="shared" ref="WN42:WO42" si="71">SUM(WN49:WN55)</f>
        <v>20552291.940000001</v>
      </c>
      <c r="WO42" s="171">
        <f t="shared" si="71"/>
        <v>21288656.829999998</v>
      </c>
      <c r="WP42" s="171">
        <v>21134824.34</v>
      </c>
      <c r="WQ42" s="171">
        <f t="shared" ref="WQ42:WW42" si="72">SUM(WQ49:WQ55)</f>
        <v>21083870.27</v>
      </c>
      <c r="WR42" s="171">
        <f t="shared" si="72"/>
        <v>21048904.280000001</v>
      </c>
      <c r="WS42" s="171">
        <f t="shared" si="72"/>
        <v>21045142.479999997</v>
      </c>
      <c r="WT42" s="171">
        <f t="shared" si="72"/>
        <v>21038396.039999999</v>
      </c>
      <c r="WU42" s="171">
        <f t="shared" si="72"/>
        <v>20988826.75</v>
      </c>
      <c r="WV42" s="171">
        <f t="shared" si="72"/>
        <v>20937885.530000001</v>
      </c>
      <c r="WW42" s="171">
        <f t="shared" si="72"/>
        <v>20931451.079999998</v>
      </c>
      <c r="WX42" s="171">
        <f t="shared" ref="WX42:YB42" si="73">SUM(WX50:WX55)</f>
        <v>20515848.379999999</v>
      </c>
      <c r="WY42" s="171">
        <f t="shared" si="73"/>
        <v>20515698.379999999</v>
      </c>
      <c r="WZ42" s="171">
        <f t="shared" si="73"/>
        <v>20515048.379999999</v>
      </c>
      <c r="XA42" s="171">
        <f t="shared" si="73"/>
        <v>20514898.379999999</v>
      </c>
      <c r="XB42" s="171">
        <f t="shared" si="73"/>
        <v>20509181.379999999</v>
      </c>
      <c r="XC42" s="171">
        <f t="shared" si="73"/>
        <v>20507656.559999999</v>
      </c>
      <c r="XD42" s="171">
        <f t="shared" si="73"/>
        <v>20504506.559999999</v>
      </c>
      <c r="XE42" s="171">
        <f t="shared" si="73"/>
        <v>21178293.41</v>
      </c>
      <c r="XF42" s="171">
        <f t="shared" si="73"/>
        <v>21153515.73</v>
      </c>
      <c r="XG42" s="171">
        <f t="shared" si="73"/>
        <v>21153215.73</v>
      </c>
      <c r="XH42" s="171">
        <f t="shared" si="73"/>
        <v>21153215.73</v>
      </c>
      <c r="XI42" s="171">
        <f t="shared" si="73"/>
        <v>21142526.670000002</v>
      </c>
      <c r="XJ42" s="171">
        <f t="shared" si="73"/>
        <v>21142526.670000002</v>
      </c>
      <c r="XK42" s="171">
        <f t="shared" si="73"/>
        <v>21142526.670000002</v>
      </c>
      <c r="XL42" s="171">
        <f t="shared" si="73"/>
        <v>21140402.899999999</v>
      </c>
      <c r="XM42" s="171">
        <f t="shared" si="73"/>
        <v>21140402.899999999</v>
      </c>
      <c r="XN42" s="171">
        <f t="shared" si="73"/>
        <v>21140402.899999999</v>
      </c>
      <c r="XO42" s="171">
        <f t="shared" si="73"/>
        <v>21133059.800000001</v>
      </c>
      <c r="XP42" s="171">
        <f t="shared" si="73"/>
        <v>21119529.030000001</v>
      </c>
      <c r="XQ42" s="171">
        <f t="shared" si="73"/>
        <v>21176742.289999999</v>
      </c>
      <c r="XR42" s="171">
        <f t="shared" si="73"/>
        <v>21167575.420000002</v>
      </c>
      <c r="XS42" s="171">
        <f t="shared" si="73"/>
        <v>21516588.27</v>
      </c>
      <c r="XT42" s="171">
        <f t="shared" si="73"/>
        <v>21720464.119999997</v>
      </c>
      <c r="XU42" s="171">
        <f t="shared" si="73"/>
        <v>21720464.119999997</v>
      </c>
      <c r="XV42" s="171">
        <f t="shared" si="73"/>
        <v>21720464.119999997</v>
      </c>
      <c r="XW42" s="171">
        <f t="shared" si="73"/>
        <v>21720464.119999997</v>
      </c>
      <c r="XX42" s="171">
        <f t="shared" si="73"/>
        <v>21720464.119999997</v>
      </c>
      <c r="XY42" s="171">
        <f t="shared" si="73"/>
        <v>21720464.119999997</v>
      </c>
      <c r="XZ42" s="171">
        <f t="shared" si="73"/>
        <v>21720464.119999997</v>
      </c>
      <c r="YA42" s="171">
        <f t="shared" si="73"/>
        <v>21720414.119999997</v>
      </c>
      <c r="YB42" s="171">
        <f t="shared" si="73"/>
        <v>21720414.119999997</v>
      </c>
      <c r="YC42" s="172">
        <v>21720414</v>
      </c>
      <c r="YD42" s="172">
        <f t="shared" ref="YD42:YF42" si="74">SUM(YD50:YD55)</f>
        <v>21710414.119999997</v>
      </c>
      <c r="YE42" s="172">
        <f t="shared" si="74"/>
        <v>21704362.419999998</v>
      </c>
      <c r="YF42" s="172">
        <f t="shared" si="74"/>
        <v>21686671.550000001</v>
      </c>
      <c r="YG42" s="172">
        <f t="shared" ref="YG42:YL42" si="75">SUM(YG50:YG55)</f>
        <v>21686671.550000001</v>
      </c>
      <c r="YH42" s="172">
        <f t="shared" si="75"/>
        <v>21686671.550000001</v>
      </c>
      <c r="YI42" s="172">
        <f t="shared" si="75"/>
        <v>21686671.550000001</v>
      </c>
      <c r="YJ42" s="172">
        <f t="shared" si="75"/>
        <v>22674175.52</v>
      </c>
      <c r="YK42" s="172">
        <f t="shared" si="75"/>
        <v>22674175.52</v>
      </c>
      <c r="YL42" s="172">
        <f t="shared" si="75"/>
        <v>22674175.52</v>
      </c>
      <c r="YM42" s="172">
        <f>SUM(YM50:YM55)</f>
        <v>22674175.52</v>
      </c>
    </row>
    <row r="43" spans="1:663" ht="15.75" customHeight="1" x14ac:dyDescent="0.2">
      <c r="A43" s="21"/>
      <c r="B43" s="33" t="s">
        <v>108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33"/>
      <c r="HQ43" s="33"/>
      <c r="HR43" s="33"/>
      <c r="HS43" s="33"/>
      <c r="HT43" s="33"/>
      <c r="HU43" s="33"/>
      <c r="HV43" s="33"/>
      <c r="HW43" s="33"/>
      <c r="HX43" s="33"/>
      <c r="HY43" s="33"/>
      <c r="HZ43" s="33"/>
      <c r="IA43" s="33"/>
      <c r="IB43" s="33"/>
      <c r="IC43" s="33"/>
      <c r="ID43" s="33"/>
      <c r="IE43" s="33"/>
      <c r="IF43" s="33"/>
      <c r="IG43" s="33"/>
      <c r="IH43" s="33"/>
      <c r="II43" s="33"/>
      <c r="IJ43" s="33"/>
      <c r="IK43" s="33"/>
      <c r="IL43" s="33"/>
      <c r="IM43" s="33"/>
      <c r="IN43" s="33"/>
      <c r="IO43" s="33"/>
      <c r="IP43" s="33"/>
      <c r="IQ43" s="33"/>
      <c r="IR43" s="33"/>
      <c r="IS43" s="33"/>
      <c r="IT43" s="33"/>
      <c r="IU43" s="33"/>
      <c r="IV43" s="33"/>
      <c r="IW43" s="33"/>
      <c r="IX43" s="33"/>
      <c r="IY43" s="33"/>
      <c r="IZ43" s="33"/>
      <c r="JA43" s="33"/>
      <c r="JB43" s="33"/>
      <c r="JC43" s="33"/>
      <c r="JD43" s="33"/>
      <c r="JE43" s="33"/>
      <c r="JF43" s="33"/>
      <c r="JG43" s="33"/>
      <c r="JH43" s="33"/>
      <c r="JI43" s="33"/>
      <c r="JJ43" s="33"/>
      <c r="JK43" s="33"/>
      <c r="JL43" s="33"/>
      <c r="JM43" s="33"/>
      <c r="JN43" s="33"/>
      <c r="JO43" s="176">
        <f t="shared" ref="JO43:TI43" si="76">JO42/JO27</f>
        <v>5.9259689885138855E-2</v>
      </c>
      <c r="JP43" s="176">
        <f t="shared" si="76"/>
        <v>6.1381391916146569E-2</v>
      </c>
      <c r="JQ43" s="176">
        <f t="shared" si="76"/>
        <v>6.2756830972834923E-2</v>
      </c>
      <c r="JR43" s="176">
        <f t="shared" si="76"/>
        <v>7.3182592977810768E-2</v>
      </c>
      <c r="JS43" s="176">
        <f t="shared" si="76"/>
        <v>7.2420732380134578E-2</v>
      </c>
      <c r="JT43" s="176">
        <f t="shared" si="76"/>
        <v>7.2005825320174077E-2</v>
      </c>
      <c r="JU43" s="176">
        <f t="shared" si="76"/>
        <v>6.9760546542630503E-2</v>
      </c>
      <c r="JV43" s="176">
        <f t="shared" si="76"/>
        <v>7.0086552919871592E-2</v>
      </c>
      <c r="JW43" s="176">
        <f t="shared" si="76"/>
        <v>7.1404194605351121E-2</v>
      </c>
      <c r="JX43" s="176">
        <f t="shared" si="76"/>
        <v>7.0093931416620431E-2</v>
      </c>
      <c r="JY43" s="176">
        <f t="shared" si="76"/>
        <v>7.0139068917574529E-2</v>
      </c>
      <c r="JZ43" s="176">
        <f t="shared" si="76"/>
        <v>6.9508879786137526E-2</v>
      </c>
      <c r="KA43" s="176">
        <f t="shared" si="76"/>
        <v>6.7695498690244466E-2</v>
      </c>
      <c r="KB43" s="176">
        <f t="shared" si="76"/>
        <v>6.6050054123720614E-2</v>
      </c>
      <c r="KC43" s="176">
        <f t="shared" si="76"/>
        <v>6.6873582014978686E-2</v>
      </c>
      <c r="KD43" s="176">
        <f t="shared" si="76"/>
        <v>6.8160952670364344E-2</v>
      </c>
      <c r="KE43" s="176">
        <f t="shared" si="76"/>
        <v>6.799171064725551E-2</v>
      </c>
      <c r="KF43" s="176">
        <f t="shared" si="76"/>
        <v>6.7536582725085795E-2</v>
      </c>
      <c r="KG43" s="176">
        <f t="shared" si="76"/>
        <v>6.9751955232015828E-2</v>
      </c>
      <c r="KH43" s="176">
        <f t="shared" si="76"/>
        <v>8.3874257219357359E-2</v>
      </c>
      <c r="KI43" s="176">
        <f t="shared" si="76"/>
        <v>8.2575441298904831E-2</v>
      </c>
      <c r="KJ43" s="176">
        <f t="shared" si="76"/>
        <v>0</v>
      </c>
      <c r="KK43" s="176">
        <f t="shared" si="76"/>
        <v>8.1494852606802615E-2</v>
      </c>
      <c r="KL43" s="176">
        <f t="shared" si="76"/>
        <v>8.1855651712618632E-2</v>
      </c>
      <c r="KM43" s="176">
        <f t="shared" si="76"/>
        <v>8.2643025509934909E-2</v>
      </c>
      <c r="KN43" s="176">
        <f t="shared" si="76"/>
        <v>8.1377912395114951E-2</v>
      </c>
      <c r="KO43" s="176">
        <f t="shared" si="76"/>
        <v>8.0765948455872663E-2</v>
      </c>
      <c r="KP43" s="176">
        <f t="shared" si="76"/>
        <v>7.8959239944399379E-2</v>
      </c>
      <c r="KQ43" s="176">
        <f t="shared" si="76"/>
        <v>7.8475027956285581E-2</v>
      </c>
      <c r="KR43" s="176">
        <f t="shared" si="76"/>
        <v>7.8073099042662089E-2</v>
      </c>
      <c r="KS43" s="176">
        <f t="shared" si="76"/>
        <v>7.8802852423326838E-2</v>
      </c>
      <c r="KT43" s="176">
        <f t="shared" si="76"/>
        <v>8.0849866241669274E-2</v>
      </c>
      <c r="KU43" s="176">
        <f t="shared" si="76"/>
        <v>7.9161654954900559E-2</v>
      </c>
      <c r="KV43" s="176">
        <f t="shared" si="76"/>
        <v>8.4792184366854026E-2</v>
      </c>
      <c r="KW43" s="176">
        <f t="shared" si="76"/>
        <v>8.3637690188993419E-2</v>
      </c>
      <c r="KX43" s="176">
        <f t="shared" si="76"/>
        <v>8.1315577741947309E-2</v>
      </c>
      <c r="KY43" s="176">
        <f t="shared" si="76"/>
        <v>8.09513025096463E-2</v>
      </c>
      <c r="KZ43" s="176">
        <f t="shared" si="76"/>
        <v>7.970405737909024E-2</v>
      </c>
      <c r="LA43" s="176">
        <f t="shared" si="76"/>
        <v>9.1493893020950234E-2</v>
      </c>
      <c r="LB43" s="176">
        <f t="shared" si="76"/>
        <v>9.0997096219047682E-2</v>
      </c>
      <c r="LC43" s="176">
        <f t="shared" si="76"/>
        <v>8.9276389962036726E-2</v>
      </c>
      <c r="LD43" s="176">
        <f t="shared" si="76"/>
        <v>8.7256649179075454E-2</v>
      </c>
      <c r="LE43" s="176">
        <f t="shared" si="76"/>
        <v>8.8378537873392213E-2</v>
      </c>
      <c r="LF43" s="176">
        <f t="shared" si="76"/>
        <v>8.7585986928771023E-2</v>
      </c>
      <c r="LG43" s="176">
        <f t="shared" si="76"/>
        <v>8.6346642648645042E-2</v>
      </c>
      <c r="LH43" s="176">
        <f t="shared" si="76"/>
        <v>8.7028141469667891E-2</v>
      </c>
      <c r="LI43" s="176">
        <f t="shared" si="76"/>
        <v>8.63666035558696E-2</v>
      </c>
      <c r="LJ43" s="176">
        <f t="shared" si="76"/>
        <v>8.6992478201916371E-2</v>
      </c>
      <c r="LK43" s="176">
        <f t="shared" si="76"/>
        <v>8.6704992808105452E-2</v>
      </c>
      <c r="LL43" s="176">
        <f t="shared" si="76"/>
        <v>0.10678675119910802</v>
      </c>
      <c r="LM43" s="176">
        <f t="shared" si="76"/>
        <v>0.11366521918285266</v>
      </c>
      <c r="LN43" s="176">
        <f t="shared" si="76"/>
        <v>0.11224293465257654</v>
      </c>
      <c r="LO43" s="176">
        <f t="shared" si="76"/>
        <v>0.11211655477504798</v>
      </c>
      <c r="LP43" s="176">
        <f t="shared" si="76"/>
        <v>0.11247008786686417</v>
      </c>
      <c r="LQ43" s="176">
        <f t="shared" si="76"/>
        <v>0.11136862289693746</v>
      </c>
      <c r="LR43" s="176">
        <f t="shared" si="76"/>
        <v>0.10767121432562198</v>
      </c>
      <c r="LS43" s="176">
        <f t="shared" si="76"/>
        <v>0.10688135273245966</v>
      </c>
      <c r="LT43" s="176">
        <f t="shared" si="76"/>
        <v>0.10613211475753292</v>
      </c>
      <c r="LU43" s="176">
        <f t="shared" si="76"/>
        <v>0.10444540182895097</v>
      </c>
      <c r="LV43" s="176">
        <f t="shared" si="76"/>
        <v>0.10611258287516227</v>
      </c>
      <c r="LW43" s="176">
        <f t="shared" si="76"/>
        <v>0.105339728562782</v>
      </c>
      <c r="LX43" s="176">
        <f t="shared" si="76"/>
        <v>0.10399215517088974</v>
      </c>
      <c r="LY43" s="176">
        <f t="shared" si="76"/>
        <v>0.10499282746623478</v>
      </c>
      <c r="LZ43" s="176">
        <f t="shared" si="76"/>
        <v>0.10764325154801237</v>
      </c>
      <c r="MA43" s="176">
        <f t="shared" si="76"/>
        <v>0.12161850052951614</v>
      </c>
      <c r="MB43" s="176">
        <f t="shared" si="76"/>
        <v>0.12059278520179634</v>
      </c>
      <c r="MC43" s="176">
        <f t="shared" si="76"/>
        <v>0.12109624615326073</v>
      </c>
      <c r="MD43" s="176">
        <f t="shared" si="76"/>
        <v>0.12196592228603226</v>
      </c>
      <c r="ME43" s="176">
        <f t="shared" si="76"/>
        <v>0.11796607025636746</v>
      </c>
      <c r="MF43" s="176">
        <f t="shared" si="76"/>
        <v>0.12108713544169857</v>
      </c>
      <c r="MG43" s="176">
        <f t="shared" si="76"/>
        <v>0.11896788612285761</v>
      </c>
      <c r="MH43" s="176">
        <f t="shared" si="76"/>
        <v>0.11833293766150416</v>
      </c>
      <c r="MI43" s="176">
        <f t="shared" si="76"/>
        <v>0.11783929716231739</v>
      </c>
      <c r="MJ43" s="176">
        <f t="shared" si="76"/>
        <v>0.11978485918526985</v>
      </c>
      <c r="MK43" s="176">
        <f t="shared" si="76"/>
        <v>0.11893352567555243</v>
      </c>
      <c r="ML43" s="176">
        <f t="shared" si="76"/>
        <v>0.11788964044084718</v>
      </c>
      <c r="MM43" s="176">
        <f t="shared" si="76"/>
        <v>0.11681634097560413</v>
      </c>
      <c r="MN43" s="176">
        <f t="shared" si="76"/>
        <v>0.11654461462594164</v>
      </c>
      <c r="MO43" s="176">
        <f t="shared" si="76"/>
        <v>0.11763128296116129</v>
      </c>
      <c r="MP43" s="176">
        <f t="shared" si="76"/>
        <v>0.1226501122409113</v>
      </c>
      <c r="MQ43" s="176">
        <f t="shared" si="76"/>
        <v>0.12360730942622823</v>
      </c>
      <c r="MR43" s="176">
        <f t="shared" si="76"/>
        <v>0.14657748857507583</v>
      </c>
      <c r="MS43" s="176">
        <f t="shared" si="76"/>
        <v>0.14658170254160571</v>
      </c>
      <c r="MT43" s="176">
        <f t="shared" si="76"/>
        <v>0.14240148890492793</v>
      </c>
      <c r="MU43" s="176">
        <f t="shared" si="76"/>
        <v>0.14388296891171115</v>
      </c>
      <c r="MV43" s="176">
        <f t="shared" si="76"/>
        <v>0.14216693192214719</v>
      </c>
      <c r="MW43" s="176">
        <f t="shared" si="76"/>
        <v>0.13920298853652738</v>
      </c>
      <c r="MX43" s="176">
        <f t="shared" si="76"/>
        <v>0.14055037208993473</v>
      </c>
      <c r="MY43" s="176">
        <f t="shared" si="76"/>
        <v>0.13902781169794215</v>
      </c>
      <c r="MZ43" s="176">
        <f t="shared" si="76"/>
        <v>0.13763469966351766</v>
      </c>
      <c r="NA43" s="176">
        <f t="shared" si="76"/>
        <v>0.13854875139112291</v>
      </c>
      <c r="NB43" s="176">
        <f t="shared" si="76"/>
        <v>0.13868543908078523</v>
      </c>
      <c r="NC43" s="176">
        <f t="shared" si="76"/>
        <v>0.13054202966422462</v>
      </c>
      <c r="ND43" s="176">
        <f t="shared" si="76"/>
        <v>0.13065834034471752</v>
      </c>
      <c r="NE43" s="176">
        <f t="shared" si="76"/>
        <v>0.13708198274722136</v>
      </c>
      <c r="NF43" s="176">
        <f t="shared" si="76"/>
        <v>0.15752300945316786</v>
      </c>
      <c r="NG43" s="176">
        <f t="shared" si="76"/>
        <v>0.15685094016225423</v>
      </c>
      <c r="NH43" s="176">
        <f t="shared" si="76"/>
        <v>0.15355820486491847</v>
      </c>
      <c r="NI43" s="176">
        <f t="shared" si="76"/>
        <v>0.15378906287253347</v>
      </c>
      <c r="NJ43" s="176">
        <f t="shared" si="76"/>
        <v>0.15531119906620791</v>
      </c>
      <c r="NK43" s="176">
        <f t="shared" si="76"/>
        <v>0.16551641210807472</v>
      </c>
      <c r="NL43" s="176">
        <f t="shared" si="76"/>
        <v>0.16559984577248743</v>
      </c>
      <c r="NM43" s="176">
        <f t="shared" si="76"/>
        <v>0.163309774617656</v>
      </c>
      <c r="NN43" s="176">
        <f t="shared" si="76"/>
        <v>0.16247750835336092</v>
      </c>
      <c r="NO43" s="176">
        <f t="shared" si="76"/>
        <v>0.16177016148661144</v>
      </c>
      <c r="NP43" s="176">
        <f t="shared" si="76"/>
        <v>0.16201348213716937</v>
      </c>
      <c r="NQ43" s="176">
        <f t="shared" si="76"/>
        <v>0.16489795060950466</v>
      </c>
      <c r="NR43" s="176">
        <f t="shared" si="76"/>
        <v>0.16995991335669897</v>
      </c>
      <c r="NS43" s="176">
        <f t="shared" si="76"/>
        <v>0.17169698482610166</v>
      </c>
      <c r="NT43" s="176">
        <f t="shared" si="76"/>
        <v>0.17443456520505871</v>
      </c>
      <c r="NU43" s="176">
        <f t="shared" si="76"/>
        <v>0.17975838735374991</v>
      </c>
      <c r="NV43" s="176">
        <f t="shared" si="76"/>
        <v>0.20412209086765218</v>
      </c>
      <c r="NW43" s="176">
        <f t="shared" si="76"/>
        <v>0.19987173425177149</v>
      </c>
      <c r="NX43" s="176">
        <f t="shared" si="76"/>
        <v>0.19758982153548249</v>
      </c>
      <c r="NY43" s="176">
        <f t="shared" si="76"/>
        <v>0.19500485954056854</v>
      </c>
      <c r="NZ43" s="176">
        <f t="shared" si="76"/>
        <v>0.19696114297731396</v>
      </c>
      <c r="OA43" s="176">
        <f t="shared" si="76"/>
        <v>0.19262128104612225</v>
      </c>
      <c r="OB43" s="176">
        <f t="shared" si="76"/>
        <v>0.19116754925061757</v>
      </c>
      <c r="OC43" s="176">
        <f t="shared" si="76"/>
        <v>0.19058092960467191</v>
      </c>
      <c r="OD43" s="176">
        <f t="shared" si="76"/>
        <v>0.18888377376400484</v>
      </c>
      <c r="OE43" s="176">
        <f t="shared" si="76"/>
        <v>0.18738508576123511</v>
      </c>
      <c r="OF43" s="176">
        <f t="shared" si="76"/>
        <v>0.18941295625647325</v>
      </c>
      <c r="OG43" s="176">
        <f t="shared" si="76"/>
        <v>0.19199749490206561</v>
      </c>
      <c r="OH43" s="176">
        <f t="shared" si="76"/>
        <v>0.19220411797990636</v>
      </c>
      <c r="OI43" s="176">
        <f t="shared" si="76"/>
        <v>0.19884225518985485</v>
      </c>
      <c r="OJ43" s="176">
        <f t="shared" si="76"/>
        <v>0.20568559040012752</v>
      </c>
      <c r="OK43" s="176">
        <f t="shared" si="76"/>
        <v>0.21216423608081084</v>
      </c>
      <c r="OL43" s="176">
        <f t="shared" si="76"/>
        <v>0.20801534142552658</v>
      </c>
      <c r="OM43" s="176">
        <f t="shared" si="76"/>
        <v>0.20411218957381771</v>
      </c>
      <c r="ON43" s="176">
        <f t="shared" si="76"/>
        <v>0.20374850736860159</v>
      </c>
      <c r="OO43" s="176">
        <f t="shared" si="76"/>
        <v>0.19964118735672831</v>
      </c>
      <c r="OP43" s="176">
        <f t="shared" si="76"/>
        <v>0.20223707507905536</v>
      </c>
      <c r="OQ43" s="176">
        <f t="shared" si="76"/>
        <v>0.19801803900132967</v>
      </c>
      <c r="OR43" s="176">
        <f t="shared" si="76"/>
        <v>0.19810150825190748</v>
      </c>
      <c r="OS43" s="176">
        <f t="shared" si="76"/>
        <v>0.19948305717002282</v>
      </c>
      <c r="OT43" s="176">
        <f t="shared" si="76"/>
        <v>0.21004471085800872</v>
      </c>
      <c r="OU43" s="176">
        <f t="shared" si="76"/>
        <v>0.21388409288483137</v>
      </c>
      <c r="OV43" s="176">
        <f t="shared" si="76"/>
        <v>0.22024492376746035</v>
      </c>
      <c r="OW43" s="176">
        <f t="shared" si="76"/>
        <v>0.2155003880928984</v>
      </c>
      <c r="OX43" s="176">
        <f t="shared" si="76"/>
        <v>0.2134037061434734</v>
      </c>
      <c r="OY43" s="176">
        <f t="shared" si="76"/>
        <v>0.21178691688236351</v>
      </c>
      <c r="OZ43" s="176">
        <f t="shared" si="76"/>
        <v>0.22327418585646264</v>
      </c>
      <c r="PA43" s="176">
        <f t="shared" si="76"/>
        <v>0.24374908630324277</v>
      </c>
      <c r="PB43" s="176">
        <f t="shared" si="76"/>
        <v>0.24294566456496605</v>
      </c>
      <c r="PC43" s="176">
        <f t="shared" si="76"/>
        <v>0.23932069982770468</v>
      </c>
      <c r="PD43" s="176">
        <f t="shared" si="76"/>
        <v>0.23705694962213697</v>
      </c>
      <c r="PE43" s="176">
        <f t="shared" si="76"/>
        <v>0.22782330843444257</v>
      </c>
      <c r="PF43" s="176">
        <f t="shared" si="76"/>
        <v>0.22648898552470673</v>
      </c>
      <c r="PG43" s="176">
        <f t="shared" si="76"/>
        <v>0.22393115295691321</v>
      </c>
      <c r="PH43" s="176">
        <f t="shared" si="76"/>
        <v>0.22462793793737593</v>
      </c>
      <c r="PI43" s="176">
        <f t="shared" si="76"/>
        <v>0.22681035733122709</v>
      </c>
      <c r="PJ43" s="176">
        <f t="shared" si="76"/>
        <v>0.22415117818588551</v>
      </c>
      <c r="PK43" s="176">
        <f t="shared" si="76"/>
        <v>0.22928683382735296</v>
      </c>
      <c r="PL43" s="176">
        <f t="shared" si="76"/>
        <v>0.22895780683456426</v>
      </c>
      <c r="PM43" s="176">
        <f t="shared" si="76"/>
        <v>0.22198888264405078</v>
      </c>
      <c r="PN43" s="176">
        <f t="shared" si="76"/>
        <v>0.21575409354354724</v>
      </c>
      <c r="PO43" s="176">
        <f t="shared" si="76"/>
        <v>0.21678061582240246</v>
      </c>
      <c r="PP43" s="176">
        <f t="shared" si="76"/>
        <v>0.23620969970515518</v>
      </c>
      <c r="PQ43" s="176">
        <f t="shared" si="76"/>
        <v>0.23096228693216408</v>
      </c>
      <c r="PR43" s="176">
        <f t="shared" si="76"/>
        <v>0.22756507933454018</v>
      </c>
      <c r="PS43" s="176">
        <f t="shared" si="76"/>
        <v>0.21817261333012641</v>
      </c>
      <c r="PT43" s="176">
        <f t="shared" si="76"/>
        <v>0.21936690391649891</v>
      </c>
      <c r="PU43" s="176">
        <f t="shared" si="76"/>
        <v>0.21557261085240167</v>
      </c>
      <c r="PV43" s="176">
        <f t="shared" si="76"/>
        <v>0.2203917948588188</v>
      </c>
      <c r="PW43" s="176">
        <f t="shared" si="76"/>
        <v>0.22587510689688126</v>
      </c>
      <c r="PX43" s="176">
        <f t="shared" si="76"/>
        <v>0.22186602026073945</v>
      </c>
      <c r="PY43" s="176">
        <f t="shared" si="76"/>
        <v>0.21788492564519174</v>
      </c>
      <c r="PZ43" s="176">
        <f t="shared" si="76"/>
        <v>0.21484529136963873</v>
      </c>
      <c r="QA43" s="176">
        <f t="shared" si="76"/>
        <v>0.21589797718252607</v>
      </c>
      <c r="QB43" s="176">
        <f t="shared" si="76"/>
        <v>0.2225427745980082</v>
      </c>
      <c r="QC43" s="176">
        <f t="shared" si="76"/>
        <v>0.2189937506214733</v>
      </c>
      <c r="QD43" s="176">
        <f t="shared" si="76"/>
        <v>0.22146541242806297</v>
      </c>
      <c r="QE43" s="176">
        <f t="shared" si="76"/>
        <v>0.20893489721375075</v>
      </c>
      <c r="QF43" s="176">
        <f t="shared" si="76"/>
        <v>0.22357216398188556</v>
      </c>
      <c r="QG43" s="176">
        <f t="shared" si="76"/>
        <v>0.21490839421404706</v>
      </c>
      <c r="QH43" s="176">
        <f t="shared" si="76"/>
        <v>0.21177327260468432</v>
      </c>
      <c r="QI43" s="176">
        <f t="shared" si="76"/>
        <v>0.20918845608814324</v>
      </c>
      <c r="QJ43" s="176">
        <f t="shared" si="76"/>
        <v>0.20719398066476291</v>
      </c>
      <c r="QK43" s="176">
        <f t="shared" si="76"/>
        <v>0.20760371875801858</v>
      </c>
      <c r="QL43" s="176">
        <f t="shared" si="76"/>
        <v>0.20620596639372446</v>
      </c>
      <c r="QM43" s="176">
        <f t="shared" si="76"/>
        <v>0.20364065960247468</v>
      </c>
      <c r="QN43" s="176">
        <f t="shared" si="76"/>
        <v>0.19979915170319751</v>
      </c>
      <c r="QO43" s="176">
        <f t="shared" si="76"/>
        <v>0.20053951277156873</v>
      </c>
      <c r="QP43" s="176">
        <f t="shared" si="76"/>
        <v>0.20392808281228705</v>
      </c>
      <c r="QQ43" s="176">
        <f t="shared" si="76"/>
        <v>0.21235130983952347</v>
      </c>
      <c r="QR43" s="176">
        <f t="shared" si="76"/>
        <v>0.22239269536156892</v>
      </c>
      <c r="QS43" s="176">
        <f t="shared" si="76"/>
        <v>0.20704323385118281</v>
      </c>
      <c r="QT43" s="176">
        <f t="shared" si="76"/>
        <v>0.20307970592185168</v>
      </c>
      <c r="QU43" s="176">
        <f t="shared" si="76"/>
        <v>0.19582219914717319</v>
      </c>
      <c r="QV43" s="176">
        <f t="shared" si="76"/>
        <v>0.19113133727955772</v>
      </c>
      <c r="QW43" s="176">
        <f t="shared" si="76"/>
        <v>0.18964508081419584</v>
      </c>
      <c r="QX43" s="176">
        <f t="shared" si="76"/>
        <v>0.18530381729319578</v>
      </c>
      <c r="QY43" s="176">
        <f t="shared" si="76"/>
        <v>0.18334093970509341</v>
      </c>
      <c r="QZ43" s="176">
        <f t="shared" si="76"/>
        <v>0.17882023606907593</v>
      </c>
      <c r="RA43" s="176">
        <f t="shared" si="76"/>
        <v>0.1770743971359042</v>
      </c>
      <c r="RB43" s="176">
        <f t="shared" si="76"/>
        <v>0.1736700529736214</v>
      </c>
      <c r="RC43" s="176">
        <f t="shared" si="76"/>
        <v>0.17500458793512044</v>
      </c>
      <c r="RD43" s="176">
        <f t="shared" si="76"/>
        <v>0.17287951932592804</v>
      </c>
      <c r="RE43" s="176">
        <f t="shared" si="76"/>
        <v>0.17776935079332201</v>
      </c>
      <c r="RF43" s="176">
        <f t="shared" si="76"/>
        <v>0.18101347136151838</v>
      </c>
      <c r="RG43" s="176">
        <f t="shared" si="76"/>
        <v>0.18792369507556436</v>
      </c>
      <c r="RH43" s="176">
        <f t="shared" si="76"/>
        <v>0.19300167529558868</v>
      </c>
      <c r="RI43" s="176">
        <f t="shared" si="76"/>
        <v>0.18408622985104167</v>
      </c>
      <c r="RJ43" s="176">
        <f t="shared" si="76"/>
        <v>0.18072016546345751</v>
      </c>
      <c r="RK43" s="176">
        <f t="shared" si="76"/>
        <v>0.17736946454132435</v>
      </c>
      <c r="RL43" s="176">
        <f t="shared" si="76"/>
        <v>0.17521339770670175</v>
      </c>
      <c r="RM43" s="176">
        <f t="shared" si="76"/>
        <v>0.17454894994628647</v>
      </c>
      <c r="RN43" s="176">
        <f t="shared" si="76"/>
        <v>0.17184144666092738</v>
      </c>
      <c r="RO43" s="176">
        <f t="shared" si="76"/>
        <v>0.17047480850307314</v>
      </c>
      <c r="RP43" s="176">
        <f t="shared" si="76"/>
        <v>0.16519562380157546</v>
      </c>
      <c r="RQ43" s="176">
        <f t="shared" si="76"/>
        <v>0.16551940707427121</v>
      </c>
      <c r="RR43" s="176">
        <f t="shared" si="76"/>
        <v>0.16659679201379307</v>
      </c>
      <c r="RS43" s="176">
        <f t="shared" si="76"/>
        <v>0.1680869129311206</v>
      </c>
      <c r="RT43" s="176">
        <f t="shared" si="76"/>
        <v>0.17398835203167629</v>
      </c>
      <c r="RU43" s="176">
        <f t="shared" si="76"/>
        <v>0.17823583081009806</v>
      </c>
      <c r="RV43" s="176">
        <f t="shared" si="76"/>
        <v>0.17891936262814365</v>
      </c>
      <c r="RW43" s="176">
        <f t="shared" si="76"/>
        <v>0.18074719226670818</v>
      </c>
      <c r="RX43" s="176">
        <f t="shared" si="76"/>
        <v>0.17796701566227707</v>
      </c>
      <c r="RY43" s="176">
        <f t="shared" si="76"/>
        <v>0.17650488331978986</v>
      </c>
      <c r="RZ43" s="176">
        <f t="shared" si="76"/>
        <v>0.17335207427455271</v>
      </c>
      <c r="SA43" s="176">
        <f t="shared" si="76"/>
        <v>0.17520225540119461</v>
      </c>
      <c r="SB43" s="176">
        <f t="shared" si="76"/>
        <v>0.17221061276165972</v>
      </c>
      <c r="SC43" s="176">
        <f t="shared" si="76"/>
        <v>0.17095198329689257</v>
      </c>
      <c r="SD43" s="176">
        <f t="shared" si="76"/>
        <v>0.16990526168888245</v>
      </c>
      <c r="SE43" s="176">
        <f t="shared" si="76"/>
        <v>0.16473758969823735</v>
      </c>
      <c r="SF43" s="176">
        <f t="shared" si="76"/>
        <v>0.16465035500645717</v>
      </c>
      <c r="SG43" s="176">
        <f t="shared" si="76"/>
        <v>0.16548607389704506</v>
      </c>
      <c r="SH43" s="176">
        <f t="shared" si="76"/>
        <v>0.16754373576697718</v>
      </c>
      <c r="SI43" s="176">
        <f t="shared" si="76"/>
        <v>0.1702967197377587</v>
      </c>
      <c r="SJ43" s="176">
        <f t="shared" si="76"/>
        <v>0.17290752959162695</v>
      </c>
      <c r="SK43" s="176">
        <f t="shared" si="76"/>
        <v>0.17866510108326938</v>
      </c>
      <c r="SL43" s="176">
        <f t="shared" si="76"/>
        <v>0.17836255850309429</v>
      </c>
      <c r="SM43" s="176">
        <f t="shared" si="76"/>
        <v>0.19003708725456148</v>
      </c>
      <c r="SN43" s="176">
        <f t="shared" si="76"/>
        <v>0.18734488250920106</v>
      </c>
      <c r="SO43" s="176">
        <f t="shared" si="76"/>
        <v>0.18520432588596272</v>
      </c>
      <c r="SP43" s="176">
        <f t="shared" si="76"/>
        <v>0.18522250057026529</v>
      </c>
      <c r="SQ43" s="176">
        <f t="shared" si="76"/>
        <v>0.1812937130074555</v>
      </c>
      <c r="SR43" s="176">
        <f t="shared" si="76"/>
        <v>0.1748399944855627</v>
      </c>
      <c r="SS43" s="176">
        <f t="shared" si="76"/>
        <v>0.17209820746201998</v>
      </c>
      <c r="ST43" s="176">
        <f t="shared" si="76"/>
        <v>0.16913930845098823</v>
      </c>
      <c r="SU43" s="176">
        <f t="shared" si="76"/>
        <v>0.16928047687829323</v>
      </c>
      <c r="SV43" s="176">
        <f t="shared" si="76"/>
        <v>0.17379852170912841</v>
      </c>
      <c r="SW43" s="176">
        <f t="shared" si="76"/>
        <v>0.17190667770269924</v>
      </c>
      <c r="SX43" s="176">
        <f t="shared" si="76"/>
        <v>0.17266964083009259</v>
      </c>
      <c r="SY43" s="176">
        <f t="shared" si="76"/>
        <v>0.1711456159706809</v>
      </c>
      <c r="SZ43" s="176">
        <f t="shared" si="76"/>
        <v>0.17617087298927134</v>
      </c>
      <c r="TA43" s="176">
        <f t="shared" si="76"/>
        <v>0.18527818633986284</v>
      </c>
      <c r="TB43" s="176">
        <f t="shared" si="76"/>
        <v>0.18059267961124065</v>
      </c>
      <c r="TC43" s="176">
        <f t="shared" si="76"/>
        <v>0.17920384047872104</v>
      </c>
      <c r="TD43" s="176">
        <f t="shared" si="76"/>
        <v>0.17390254609225342</v>
      </c>
      <c r="TE43" s="176">
        <f t="shared" si="76"/>
        <v>0.16952245059201365</v>
      </c>
      <c r="TF43" s="176">
        <f t="shared" si="76"/>
        <v>0.16247447277879584</v>
      </c>
      <c r="TG43" s="176">
        <f t="shared" si="76"/>
        <v>0.1596019978595104</v>
      </c>
      <c r="TH43" s="176">
        <f t="shared" si="76"/>
        <v>0.15862021782017621</v>
      </c>
      <c r="TI43" s="176">
        <f t="shared" si="76"/>
        <v>0.15930277174486893</v>
      </c>
      <c r="TJ43" s="176">
        <f t="shared" ref="TJ43:WH43" si="77">TJ42/TJ27</f>
        <v>0.16067312266445874</v>
      </c>
      <c r="TK43" s="176">
        <f t="shared" si="77"/>
        <v>0.15611780561603736</v>
      </c>
      <c r="TL43" s="176">
        <f t="shared" si="77"/>
        <v>0.15514773246732169</v>
      </c>
      <c r="TM43" s="176">
        <f t="shared" si="77"/>
        <v>0.15054880113683858</v>
      </c>
      <c r="TN43" s="176">
        <f t="shared" si="77"/>
        <v>0.1521481026717473</v>
      </c>
      <c r="TO43" s="176">
        <f t="shared" si="77"/>
        <v>0.15224819243120191</v>
      </c>
      <c r="TP43" s="176">
        <f t="shared" si="77"/>
        <v>0.15803220439608637</v>
      </c>
      <c r="TQ43" s="176">
        <f t="shared" si="77"/>
        <v>0.17014533707405208</v>
      </c>
      <c r="TR43" s="176">
        <f t="shared" si="77"/>
        <v>0.16208020784838331</v>
      </c>
      <c r="TS43" s="176">
        <f t="shared" si="77"/>
        <v>0.1600743169301487</v>
      </c>
      <c r="TT43" s="176">
        <f t="shared" si="77"/>
        <v>0.15434196632588221</v>
      </c>
      <c r="TU43" s="176">
        <f t="shared" si="77"/>
        <v>0.15345891120406713</v>
      </c>
      <c r="TV43" s="176">
        <f t="shared" si="77"/>
        <v>0.15142100798650279</v>
      </c>
      <c r="TW43" s="176">
        <f t="shared" si="77"/>
        <v>0.15023916723772845</v>
      </c>
      <c r="TX43" s="176">
        <f t="shared" si="77"/>
        <v>0.14933160370659485</v>
      </c>
      <c r="TY43" s="176">
        <f t="shared" si="77"/>
        <v>0.14772304614320778</v>
      </c>
      <c r="TZ43" s="176">
        <f t="shared" si="77"/>
        <v>0.14701416412307877</v>
      </c>
      <c r="UA43" s="176">
        <f t="shared" si="77"/>
        <v>0.14463605479634378</v>
      </c>
      <c r="UB43" s="176">
        <f t="shared" si="77"/>
        <v>0.14668772496768928</v>
      </c>
      <c r="UC43" s="176">
        <f t="shared" si="77"/>
        <v>0.14888471158903835</v>
      </c>
      <c r="UD43" s="176">
        <f t="shared" si="77"/>
        <v>0.15414771271030991</v>
      </c>
      <c r="UE43" s="176">
        <f t="shared" si="77"/>
        <v>0.15574654190006515</v>
      </c>
      <c r="UF43" s="176">
        <f t="shared" si="77"/>
        <v>0.15849104663058736</v>
      </c>
      <c r="UG43" s="176">
        <f t="shared" si="77"/>
        <v>0.15623174353245245</v>
      </c>
      <c r="UH43" s="176">
        <f t="shared" si="77"/>
        <v>0.15059521219018726</v>
      </c>
      <c r="UI43" s="176">
        <f t="shared" si="77"/>
        <v>0.14683800632684849</v>
      </c>
      <c r="UJ43" s="176">
        <f t="shared" si="77"/>
        <v>0.14463565645381951</v>
      </c>
      <c r="UK43" s="176">
        <f t="shared" si="77"/>
        <v>0.13342325060115795</v>
      </c>
      <c r="UL43" s="176">
        <f t="shared" si="77"/>
        <v>0.141850367630074</v>
      </c>
      <c r="UM43" s="176">
        <f t="shared" si="77"/>
        <v>0.14087801861500157</v>
      </c>
      <c r="UN43" s="176">
        <f t="shared" si="77"/>
        <v>0.14016332619771452</v>
      </c>
      <c r="UO43" s="176">
        <f t="shared" si="77"/>
        <v>0.14018298388929465</v>
      </c>
      <c r="UP43" s="176">
        <f t="shared" si="77"/>
        <v>0.13858134988119544</v>
      </c>
      <c r="UQ43" s="176">
        <f t="shared" si="77"/>
        <v>0.14177998008587511</v>
      </c>
      <c r="UR43" s="176">
        <f t="shared" si="77"/>
        <v>0.14455714836770869</v>
      </c>
      <c r="US43" s="176">
        <f t="shared" si="77"/>
        <v>0.14809377067630564</v>
      </c>
      <c r="UT43" s="176">
        <f t="shared" si="77"/>
        <v>0.1520477138119595</v>
      </c>
      <c r="UU43" s="176">
        <f t="shared" si="77"/>
        <v>0.15243859586222785</v>
      </c>
      <c r="UV43" s="176">
        <f t="shared" si="77"/>
        <v>0.14828121644528111</v>
      </c>
      <c r="UW43" s="176">
        <f t="shared" si="77"/>
        <v>0.14595139762552989</v>
      </c>
      <c r="UX43" s="176">
        <f t="shared" si="77"/>
        <v>0.14398579494109753</v>
      </c>
      <c r="UY43" s="176">
        <f t="shared" si="77"/>
        <v>0.14238118577996875</v>
      </c>
      <c r="UZ43" s="176">
        <f t="shared" si="77"/>
        <v>0.14256501557479795</v>
      </c>
      <c r="VA43" s="176">
        <f t="shared" si="77"/>
        <v>0.14098427236964384</v>
      </c>
      <c r="VB43" s="176">
        <f t="shared" si="77"/>
        <v>0.14036859304024896</v>
      </c>
      <c r="VC43" s="176">
        <f t="shared" si="77"/>
        <v>0.13737937592102636</v>
      </c>
      <c r="VD43" s="176">
        <f t="shared" si="77"/>
        <v>0.13668739769744714</v>
      </c>
      <c r="VE43" s="176">
        <f t="shared" si="77"/>
        <v>0.13759809714678875</v>
      </c>
      <c r="VF43" s="176">
        <f t="shared" si="77"/>
        <v>0.13759809714678875</v>
      </c>
      <c r="VG43" s="177">
        <f t="shared" si="77"/>
        <v>0.14090771687122053</v>
      </c>
      <c r="VH43" s="177">
        <f t="shared" si="77"/>
        <v>0.14321242260616052</v>
      </c>
      <c r="VI43" s="177">
        <f t="shared" si="77"/>
        <v>0.1428483355029995</v>
      </c>
      <c r="VJ43" s="177">
        <f t="shared" si="77"/>
        <v>0.14724603604065631</v>
      </c>
      <c r="VK43" s="177">
        <f t="shared" si="77"/>
        <v>0.14642700655052346</v>
      </c>
      <c r="VL43" s="177">
        <f t="shared" si="77"/>
        <v>0.14541176462721289</v>
      </c>
      <c r="VM43" s="177">
        <f t="shared" si="77"/>
        <v>0.14386199010100958</v>
      </c>
      <c r="VN43" s="177">
        <f t="shared" si="77"/>
        <v>0.14237198212662036</v>
      </c>
      <c r="VO43" s="177">
        <f t="shared" si="77"/>
        <v>0.14190764486592528</v>
      </c>
      <c r="VP43" s="177">
        <f t="shared" si="77"/>
        <v>0.13986719159831318</v>
      </c>
      <c r="VQ43" s="177">
        <f t="shared" si="77"/>
        <v>0.13838326352158489</v>
      </c>
      <c r="VR43" s="177">
        <f t="shared" si="77"/>
        <v>0.1384572107988721</v>
      </c>
      <c r="VS43" s="177">
        <f t="shared" si="77"/>
        <v>0.13509236883407175</v>
      </c>
      <c r="VT43" s="177">
        <f t="shared" si="77"/>
        <v>0.13463034388456782</v>
      </c>
      <c r="VU43" s="177">
        <f t="shared" si="77"/>
        <v>0.13510866445714179</v>
      </c>
      <c r="VV43" s="177">
        <f t="shared" si="77"/>
        <v>0.13674009639332368</v>
      </c>
      <c r="VW43" s="177">
        <f t="shared" si="77"/>
        <v>0.13581794522357482</v>
      </c>
      <c r="VX43" s="177">
        <f t="shared" si="77"/>
        <v>0.13619987685653459</v>
      </c>
      <c r="VY43" s="177">
        <f t="shared" si="77"/>
        <v>0.13528039639852169</v>
      </c>
      <c r="VZ43" s="177">
        <f t="shared" si="77"/>
        <v>0.14618327816826918</v>
      </c>
      <c r="WA43" s="177">
        <f t="shared" si="77"/>
        <v>0.14564867368363785</v>
      </c>
      <c r="WB43" s="177">
        <f t="shared" si="77"/>
        <v>0.14401138037292444</v>
      </c>
      <c r="WC43" s="177">
        <f t="shared" si="77"/>
        <v>0.14359928266189609</v>
      </c>
      <c r="WD43" s="177">
        <f t="shared" si="77"/>
        <v>0.13854143679472589</v>
      </c>
      <c r="WE43" s="177">
        <f t="shared" si="77"/>
        <v>0.13596364909386691</v>
      </c>
      <c r="WF43" s="177">
        <f t="shared" si="77"/>
        <v>0.13293623356879486</v>
      </c>
      <c r="WG43" s="177">
        <f t="shared" si="77"/>
        <v>0.13120727999181486</v>
      </c>
      <c r="WH43" s="177">
        <f t="shared" si="77"/>
        <v>0.12976923236569726</v>
      </c>
      <c r="WI43" s="177">
        <v>0.12973708079999999</v>
      </c>
      <c r="WJ43" s="177">
        <f t="shared" ref="WJ43:WO43" si="78">WJ42/WJ27</f>
        <v>0.1289991128483069</v>
      </c>
      <c r="WK43" s="177">
        <f t="shared" si="78"/>
        <v>0.13121902982515823</v>
      </c>
      <c r="WL43" s="177">
        <f t="shared" si="78"/>
        <v>0.12951967935362055</v>
      </c>
      <c r="WM43" s="177">
        <f t="shared" si="78"/>
        <v>0.1267663619113</v>
      </c>
      <c r="WN43" s="177">
        <f t="shared" si="78"/>
        <v>0.12796820593344632</v>
      </c>
      <c r="WO43" s="177">
        <f t="shared" si="78"/>
        <v>0.136039289127136</v>
      </c>
      <c r="WP43" s="177">
        <v>0.13401778249999999</v>
      </c>
      <c r="WQ43" s="177">
        <f t="shared" ref="WQ43:YB43" si="79">WQ42/WQ27</f>
        <v>0.13406159714919447</v>
      </c>
      <c r="WR43" s="177">
        <f t="shared" si="79"/>
        <v>0.13327911983401736</v>
      </c>
      <c r="WS43" s="177">
        <f t="shared" si="79"/>
        <v>0.12884676568671546</v>
      </c>
      <c r="WT43" s="177">
        <f t="shared" si="79"/>
        <v>0.12504439884139101</v>
      </c>
      <c r="WU43" s="177">
        <f t="shared" si="79"/>
        <v>0.12259501583074026</v>
      </c>
      <c r="WV43" s="177">
        <f t="shared" si="79"/>
        <v>0.11972082192932665</v>
      </c>
      <c r="WW43" s="177">
        <f t="shared" si="79"/>
        <v>0.11888696188187711</v>
      </c>
      <c r="WX43" s="177">
        <f t="shared" si="79"/>
        <v>0.11680402570989769</v>
      </c>
      <c r="WY43" s="177">
        <f t="shared" si="79"/>
        <v>0.11489730771882818</v>
      </c>
      <c r="WZ43" s="177">
        <f t="shared" si="79"/>
        <v>0.11414306441063418</v>
      </c>
      <c r="XA43" s="177">
        <f t="shared" si="79"/>
        <v>0.11451495919447843</v>
      </c>
      <c r="XB43" s="177">
        <f t="shared" si="79"/>
        <v>0.11057493646387534</v>
      </c>
      <c r="XC43" s="177">
        <f t="shared" si="79"/>
        <v>0.11369563205675719</v>
      </c>
      <c r="XD43" s="177">
        <f t="shared" si="79"/>
        <v>0.11494303427846536</v>
      </c>
      <c r="XE43" s="177">
        <f t="shared" si="79"/>
        <v>0.12411874501013244</v>
      </c>
      <c r="XF43" s="177">
        <f t="shared" si="79"/>
        <v>0.12149446328630359</v>
      </c>
      <c r="XG43" s="177">
        <f t="shared" si="79"/>
        <v>0.11998894897904953</v>
      </c>
      <c r="XH43" s="177">
        <f t="shared" si="79"/>
        <v>0.11821038353841916</v>
      </c>
      <c r="XI43" s="177">
        <f t="shared" si="79"/>
        <v>0.11483797367566963</v>
      </c>
      <c r="XJ43" s="177">
        <f t="shared" si="79"/>
        <v>0.11326262861781791</v>
      </c>
      <c r="XK43" s="177">
        <f t="shared" si="79"/>
        <v>0.11267018805641539</v>
      </c>
      <c r="XL43" s="177">
        <f t="shared" si="79"/>
        <v>0.11148846805956537</v>
      </c>
      <c r="XM43" s="177">
        <f t="shared" si="79"/>
        <v>0.10939499897911209</v>
      </c>
      <c r="XN43" s="177">
        <f t="shared" si="79"/>
        <v>0.10855869207047358</v>
      </c>
      <c r="XO43" s="177">
        <f t="shared" si="79"/>
        <v>0.10600209872095129</v>
      </c>
      <c r="XP43" s="177">
        <f t="shared" si="79"/>
        <v>0.10517603033570452</v>
      </c>
      <c r="XQ43" s="177">
        <f t="shared" si="79"/>
        <v>0.10634974879523812</v>
      </c>
      <c r="XR43" s="177">
        <f t="shared" si="79"/>
        <v>0.10459377816364285</v>
      </c>
      <c r="XS43" s="177">
        <f t="shared" si="79"/>
        <v>0.11062414232502903</v>
      </c>
      <c r="XT43" s="177">
        <f t="shared" si="79"/>
        <v>0.11017369127634397</v>
      </c>
      <c r="XU43" s="177">
        <f t="shared" si="79"/>
        <v>0.10941573029075222</v>
      </c>
      <c r="XV43" s="177">
        <f t="shared" si="79"/>
        <v>0.10632441101727495</v>
      </c>
      <c r="XW43" s="177">
        <f t="shared" si="79"/>
        <v>0.10578771196406678</v>
      </c>
      <c r="XX43" s="177">
        <f t="shared" si="79"/>
        <v>0.10505036758259724</v>
      </c>
      <c r="XY43" s="177">
        <f t="shared" si="79"/>
        <v>0.10361923439778167</v>
      </c>
      <c r="XZ43" s="177">
        <f t="shared" si="79"/>
        <v>0.1033742449382973</v>
      </c>
      <c r="YA43" s="177">
        <f t="shared" si="79"/>
        <v>0.10367302039538838</v>
      </c>
      <c r="YB43" s="177">
        <f t="shared" si="79"/>
        <v>0.10145460956835592</v>
      </c>
      <c r="YC43" s="178">
        <v>0.1</v>
      </c>
      <c r="YD43" s="178">
        <f t="shared" ref="YD43:YF43" si="80">YD42/YD27</f>
        <v>9.9387711220389766E-2</v>
      </c>
      <c r="YE43" s="178">
        <f t="shared" si="80"/>
        <v>0.10002688575389447</v>
      </c>
      <c r="YF43" s="178">
        <f t="shared" si="80"/>
        <v>9.8838277475629219E-2</v>
      </c>
      <c r="YG43" s="178">
        <f t="shared" ref="YG43:YL43" si="81">YG42/YG27</f>
        <v>0.10210630495395437</v>
      </c>
      <c r="YH43" s="178">
        <f t="shared" si="81"/>
        <v>0.10240741944257634</v>
      </c>
      <c r="YI43" s="178">
        <f t="shared" si="81"/>
        <v>0.10670713191306067</v>
      </c>
      <c r="YJ43" s="178">
        <f t="shared" si="81"/>
        <v>0.11081659416187735</v>
      </c>
      <c r="YK43" s="178">
        <f t="shared" si="81"/>
        <v>0.10770034372243999</v>
      </c>
      <c r="YL43" s="178">
        <f t="shared" si="81"/>
        <v>0.10724669370274595</v>
      </c>
      <c r="YM43" s="178">
        <f>YM42/YM27</f>
        <v>0.10621565709798703</v>
      </c>
    </row>
    <row r="44" spans="1:663" ht="15.75" customHeight="1" x14ac:dyDescent="0.2">
      <c r="A44" s="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  <c r="IX44" s="84"/>
      <c r="IY44" s="84"/>
      <c r="IZ44" s="84"/>
      <c r="JA44" s="84"/>
      <c r="JB44" s="84"/>
      <c r="JC44" s="84"/>
      <c r="JD44" s="84"/>
      <c r="JE44" s="84"/>
      <c r="JF44" s="84"/>
      <c r="JG44" s="84"/>
      <c r="JH44" s="84"/>
      <c r="JI44" s="84"/>
      <c r="JJ44" s="84"/>
      <c r="JK44" s="84"/>
      <c r="JL44" s="84"/>
      <c r="JM44" s="84"/>
      <c r="JN44" s="84"/>
      <c r="JO44" s="84"/>
      <c r="JP44" s="84"/>
      <c r="JQ44" s="84"/>
      <c r="JR44" s="84"/>
      <c r="JS44" s="84"/>
      <c r="JT44" s="84"/>
      <c r="JU44" s="84"/>
      <c r="JV44" s="84"/>
      <c r="JW44" s="84"/>
      <c r="JX44" s="84"/>
      <c r="JY44" s="84"/>
      <c r="JZ44" s="84"/>
      <c r="KA44" s="84"/>
      <c r="KB44" s="84"/>
      <c r="KC44" s="84"/>
      <c r="KD44" s="84"/>
      <c r="KE44" s="84"/>
      <c r="KF44" s="84"/>
      <c r="KG44" s="84"/>
      <c r="KH44" s="84"/>
      <c r="KI44" s="84"/>
      <c r="KJ44" s="84"/>
      <c r="KK44" s="84"/>
      <c r="KL44" s="84"/>
      <c r="KM44" s="84"/>
      <c r="KN44" s="84"/>
      <c r="KO44" s="84"/>
      <c r="KP44" s="84"/>
      <c r="KQ44" s="84"/>
      <c r="KR44" s="84"/>
      <c r="KS44" s="84"/>
      <c r="KT44" s="84"/>
      <c r="KU44" s="84"/>
      <c r="KV44" s="84"/>
      <c r="KW44" s="84"/>
      <c r="KX44" s="84"/>
      <c r="KY44" s="84"/>
      <c r="KZ44" s="84"/>
      <c r="LA44" s="84"/>
      <c r="LB44" s="84"/>
      <c r="LC44" s="84"/>
      <c r="LD44" s="84"/>
      <c r="LE44" s="84"/>
      <c r="LF44" s="84"/>
      <c r="LG44" s="84"/>
      <c r="LH44" s="84"/>
      <c r="LI44" s="84"/>
      <c r="LJ44" s="84"/>
      <c r="LK44" s="84"/>
      <c r="LL44" s="84"/>
      <c r="LM44" s="84"/>
      <c r="LN44" s="84"/>
      <c r="LO44" s="84"/>
      <c r="LP44" s="84"/>
      <c r="LQ44" s="84"/>
      <c r="LR44" s="84"/>
      <c r="LS44" s="84"/>
      <c r="LT44" s="84"/>
      <c r="LU44" s="84"/>
      <c r="LV44" s="84"/>
      <c r="LW44" s="84"/>
      <c r="LX44" s="84"/>
      <c r="LY44" s="84"/>
      <c r="LZ44" s="84"/>
      <c r="MA44" s="84"/>
      <c r="MB44" s="84"/>
      <c r="MC44" s="84"/>
      <c r="MD44" s="84"/>
      <c r="ME44" s="84"/>
      <c r="MG44" s="84"/>
      <c r="MH44" s="84"/>
      <c r="MI44" s="84"/>
      <c r="MJ44" s="84"/>
      <c r="MK44" s="84"/>
      <c r="ML44" s="84"/>
      <c r="MM44" s="84"/>
      <c r="MN44" s="84"/>
      <c r="MO44" s="84"/>
      <c r="MP44" s="84"/>
      <c r="MQ44" s="84"/>
      <c r="MR44" s="84"/>
      <c r="MS44" s="84"/>
      <c r="MT44" s="84"/>
      <c r="MU44" s="84"/>
      <c r="MV44" s="84"/>
      <c r="MW44" s="84"/>
      <c r="MX44" s="84"/>
      <c r="MY44" s="84"/>
      <c r="MZ44" s="84"/>
      <c r="NA44" s="84"/>
      <c r="NB44" s="84"/>
      <c r="NC44" s="84"/>
      <c r="ND44" s="84"/>
      <c r="NE44" s="84"/>
      <c r="NF44" s="84"/>
      <c r="NG44" s="84"/>
      <c r="NH44" s="84"/>
      <c r="NI44" s="84"/>
      <c r="NJ44" s="84"/>
      <c r="NK44" s="84"/>
      <c r="NL44" s="84"/>
      <c r="NM44" s="84"/>
      <c r="NN44" s="84"/>
      <c r="NO44" s="84"/>
      <c r="NP44" s="84"/>
      <c r="NQ44" s="84"/>
      <c r="NR44" s="84"/>
      <c r="NS44" s="84"/>
      <c r="NT44" s="84"/>
      <c r="NU44" s="84"/>
      <c r="NV44" s="84"/>
      <c r="NW44" s="84"/>
      <c r="NX44" s="84"/>
      <c r="NY44" s="84"/>
      <c r="NZ44" s="84"/>
      <c r="OA44" s="84"/>
      <c r="OB44" s="84"/>
      <c r="OC44" s="84"/>
      <c r="OD44" s="84"/>
      <c r="OE44" s="84"/>
      <c r="OF44" s="84"/>
      <c r="OG44" s="84"/>
      <c r="OH44" s="84"/>
      <c r="OI44" s="84"/>
      <c r="OJ44" s="84"/>
      <c r="OK44" s="84"/>
      <c r="OL44" s="84"/>
      <c r="OM44" s="84"/>
      <c r="ON44" s="84"/>
      <c r="OO44" s="84"/>
      <c r="OP44" s="84"/>
      <c r="OQ44" s="84"/>
      <c r="OR44" s="84"/>
      <c r="OS44" s="84"/>
      <c r="OT44" s="84"/>
      <c r="OU44" s="84"/>
      <c r="OV44" s="84"/>
      <c r="OW44" s="84"/>
      <c r="OX44" s="84"/>
      <c r="OY44" s="84"/>
      <c r="OZ44" s="84"/>
      <c r="PA44" s="84"/>
      <c r="PB44" s="84"/>
      <c r="PC44" s="84"/>
      <c r="PD44" s="84"/>
      <c r="PE44" s="84"/>
      <c r="PF44" s="84"/>
      <c r="PG44" s="84"/>
      <c r="PH44" s="84"/>
      <c r="PI44" s="84"/>
      <c r="PJ44" s="84"/>
      <c r="PK44" s="84"/>
      <c r="PL44" s="84"/>
      <c r="PM44" s="84"/>
      <c r="PN44" s="84"/>
      <c r="PO44" s="84"/>
      <c r="PP44" s="84"/>
      <c r="PQ44" s="84"/>
      <c r="PR44" s="84"/>
      <c r="PS44" s="84"/>
      <c r="PT44" s="84"/>
      <c r="PU44" s="84"/>
      <c r="PV44" s="84"/>
      <c r="PW44" s="84"/>
      <c r="PX44" s="84"/>
      <c r="PY44" s="84"/>
      <c r="PZ44" s="84"/>
      <c r="QA44" s="84"/>
      <c r="QB44" s="84"/>
      <c r="QC44" s="84"/>
      <c r="QD44" s="84"/>
      <c r="QE44" s="84"/>
      <c r="QF44" s="84"/>
      <c r="QG44" s="84"/>
      <c r="QH44" s="84"/>
      <c r="QI44" s="84"/>
      <c r="QJ44" s="84"/>
      <c r="QK44" s="84"/>
      <c r="QL44" s="84"/>
      <c r="QM44" s="84"/>
      <c r="QN44" s="84"/>
      <c r="QO44" s="84"/>
      <c r="QP44" s="84"/>
      <c r="QQ44" s="84"/>
      <c r="QR44" s="84"/>
      <c r="QS44" s="84"/>
      <c r="QT44" s="84"/>
      <c r="QU44" s="84"/>
      <c r="QV44" s="84"/>
      <c r="QW44" s="84"/>
      <c r="QX44" s="84"/>
      <c r="QY44" s="84"/>
      <c r="QZ44" s="84"/>
      <c r="RA44" s="84"/>
      <c r="RB44" s="84"/>
      <c r="RC44" s="84"/>
      <c r="RD44" s="84"/>
      <c r="RE44" s="84"/>
      <c r="RF44" s="84"/>
      <c r="RG44" s="84"/>
      <c r="RH44" s="84"/>
      <c r="RI44" s="84"/>
      <c r="RJ44" s="84"/>
      <c r="RK44" s="84"/>
      <c r="RL44" s="84"/>
      <c r="RM44" s="84"/>
      <c r="RN44" s="84"/>
      <c r="RO44" s="84"/>
      <c r="RP44" s="84"/>
      <c r="RQ44" s="84"/>
      <c r="RR44" s="84"/>
      <c r="RS44" s="84"/>
      <c r="RT44" s="84"/>
      <c r="RU44" s="84"/>
      <c r="RV44" s="84"/>
      <c r="RW44" s="84"/>
      <c r="RX44" s="84"/>
      <c r="RY44" s="84"/>
      <c r="RZ44" s="84"/>
      <c r="SA44" s="84"/>
      <c r="SB44" s="84"/>
      <c r="SC44" s="84"/>
      <c r="SD44" s="84"/>
      <c r="SE44" s="84"/>
      <c r="SF44" s="84"/>
      <c r="SG44" s="84"/>
      <c r="SH44" s="84"/>
      <c r="SI44" s="84"/>
      <c r="SJ44" s="84"/>
      <c r="SK44" s="84"/>
      <c r="SL44" s="84"/>
      <c r="SM44" s="84"/>
      <c r="SN44" s="84"/>
      <c r="SO44" s="84"/>
      <c r="SP44" s="84"/>
      <c r="SQ44" s="84"/>
      <c r="SR44" s="84"/>
      <c r="SS44" s="84"/>
      <c r="ST44" s="84"/>
      <c r="SU44" s="84"/>
      <c r="SV44" s="84"/>
      <c r="SW44" s="84"/>
      <c r="SX44" s="84"/>
      <c r="SY44" s="84"/>
      <c r="SZ44" s="84"/>
      <c r="TA44" s="84"/>
      <c r="TB44" s="84"/>
      <c r="TC44" s="84"/>
      <c r="TD44" s="84"/>
      <c r="TE44" s="84"/>
      <c r="TF44" s="84"/>
      <c r="TG44" s="84"/>
      <c r="TH44" s="84"/>
      <c r="TI44" s="84"/>
      <c r="TJ44" s="84"/>
      <c r="TK44" s="84"/>
      <c r="TL44" s="84"/>
      <c r="TM44" s="84"/>
      <c r="TN44" s="84"/>
      <c r="TO44" s="84"/>
      <c r="TP44" s="84"/>
      <c r="TQ44" s="84"/>
      <c r="TR44" s="84"/>
      <c r="TS44" s="84"/>
      <c r="TT44" s="84"/>
      <c r="TU44" s="84"/>
      <c r="TV44" s="84"/>
      <c r="TW44" s="84"/>
      <c r="TX44" s="84"/>
      <c r="TY44" s="84"/>
      <c r="TZ44" s="84"/>
      <c r="UA44" s="84"/>
      <c r="UB44" s="84"/>
      <c r="UC44" s="84"/>
      <c r="UD44" s="84"/>
      <c r="UE44" s="84"/>
      <c r="UF44" s="84"/>
      <c r="UG44" s="84"/>
      <c r="UH44" s="84"/>
      <c r="UI44" s="84"/>
      <c r="UJ44" s="84"/>
      <c r="UK44" s="84"/>
      <c r="UL44" s="84"/>
      <c r="UM44" s="84"/>
      <c r="UN44" s="84"/>
      <c r="UO44" s="84"/>
      <c r="UP44" s="84"/>
      <c r="UQ44" s="84"/>
      <c r="UR44" s="84"/>
      <c r="US44" s="84"/>
      <c r="UT44" s="84"/>
      <c r="UU44" s="84"/>
      <c r="UV44" s="84"/>
      <c r="UW44" s="84"/>
      <c r="UX44" s="84"/>
      <c r="UY44" s="84"/>
      <c r="UZ44" s="84"/>
      <c r="VA44" s="84"/>
      <c r="VB44" s="84"/>
      <c r="VC44" s="84"/>
      <c r="VD44" s="84"/>
      <c r="VE44" s="84"/>
      <c r="VF44" s="84"/>
      <c r="VG44" s="179"/>
      <c r="VH44" s="179"/>
      <c r="VI44" s="179"/>
      <c r="VJ44" s="179"/>
      <c r="VK44" s="179"/>
      <c r="VL44" s="179"/>
      <c r="VM44" s="179"/>
      <c r="VN44" s="179"/>
      <c r="VO44" s="179"/>
      <c r="VP44" s="179"/>
      <c r="VQ44" s="179"/>
      <c r="VR44" s="179"/>
      <c r="VS44" s="179"/>
      <c r="VT44" s="179"/>
      <c r="VU44" s="179"/>
      <c r="VV44" s="179"/>
      <c r="VW44" s="179"/>
      <c r="VX44" s="179"/>
      <c r="VY44" s="179"/>
      <c r="VZ44" s="179"/>
      <c r="WA44" s="179"/>
      <c r="WB44" s="179"/>
      <c r="WC44" s="179"/>
      <c r="WD44" s="179"/>
      <c r="WE44" s="179"/>
      <c r="WF44" s="179"/>
      <c r="WG44" s="179"/>
      <c r="WH44" s="179"/>
      <c r="WI44" s="179"/>
      <c r="WJ44" s="179"/>
      <c r="WK44" s="179"/>
      <c r="WL44" s="179"/>
      <c r="WM44" s="179"/>
      <c r="WN44" s="179"/>
      <c r="WO44" s="179"/>
      <c r="WP44" s="179"/>
      <c r="WQ44" s="179"/>
      <c r="WR44" s="179"/>
      <c r="WS44" s="179"/>
      <c r="WT44" s="179"/>
      <c r="WU44" s="179"/>
      <c r="WV44" s="179"/>
      <c r="WW44" s="179"/>
      <c r="WX44" s="179"/>
      <c r="WY44" s="179"/>
      <c r="WZ44" s="179"/>
      <c r="XA44" s="179"/>
      <c r="XB44" s="179"/>
      <c r="XC44" s="179"/>
      <c r="XD44" s="179"/>
      <c r="XE44" s="179"/>
      <c r="XF44" s="179"/>
      <c r="XG44" s="179"/>
      <c r="XH44" s="179"/>
      <c r="XI44" s="179"/>
      <c r="XJ44" s="179"/>
      <c r="XK44" s="179"/>
      <c r="XL44" s="179"/>
      <c r="XM44" s="179"/>
      <c r="XN44" s="179"/>
      <c r="XO44" s="179"/>
      <c r="XP44" s="179"/>
      <c r="XQ44" s="179"/>
      <c r="XR44" s="179"/>
      <c r="XS44" s="179"/>
      <c r="XT44" s="179"/>
      <c r="XU44" s="179"/>
      <c r="XV44" s="179"/>
      <c r="XW44" s="179"/>
      <c r="XX44" s="179"/>
      <c r="XY44" s="179"/>
      <c r="XZ44" s="179"/>
      <c r="YA44" s="179"/>
      <c r="YB44" s="179"/>
      <c r="YC44" s="180"/>
      <c r="YD44" s="180"/>
      <c r="YE44" s="180"/>
      <c r="YF44" s="180"/>
      <c r="YG44" s="180"/>
      <c r="YH44" s="180"/>
      <c r="YI44" s="180"/>
      <c r="YJ44" s="180"/>
      <c r="YK44" s="180"/>
      <c r="YL44" s="180"/>
      <c r="YM44" s="180"/>
    </row>
    <row r="45" spans="1:663" ht="15.75" customHeight="1" x14ac:dyDescent="0.2">
      <c r="A45" s="4"/>
      <c r="B45" s="84" t="s">
        <v>174</v>
      </c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84"/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84"/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84"/>
      <c r="IX45" s="84"/>
      <c r="IY45" s="84"/>
      <c r="IZ45" s="84"/>
      <c r="JA45" s="84"/>
      <c r="JB45" s="84"/>
      <c r="JC45" s="84"/>
      <c r="JD45" s="84"/>
      <c r="JE45" s="84"/>
      <c r="JF45" s="84"/>
      <c r="JG45" s="84"/>
      <c r="JH45" s="84"/>
      <c r="JI45" s="84"/>
      <c r="JJ45" s="84"/>
      <c r="JK45" s="84"/>
      <c r="JL45" s="84"/>
      <c r="JM45" s="84"/>
      <c r="JN45" s="84"/>
      <c r="JO45" s="84"/>
      <c r="JP45" s="84"/>
      <c r="JQ45" s="84"/>
      <c r="JR45" s="84"/>
      <c r="JS45" s="84"/>
      <c r="JT45" s="84"/>
      <c r="JU45" s="84"/>
      <c r="JV45" s="84"/>
      <c r="JW45" s="84"/>
      <c r="JX45" s="84"/>
      <c r="JY45" s="84"/>
      <c r="JZ45" s="84"/>
      <c r="KA45" s="84"/>
      <c r="KB45" s="84"/>
      <c r="KC45" s="84"/>
      <c r="KD45" s="84"/>
      <c r="KE45" s="84"/>
      <c r="KF45" s="84"/>
      <c r="KG45" s="84"/>
      <c r="KH45" s="84"/>
      <c r="KI45" s="84"/>
      <c r="KJ45" s="84"/>
      <c r="KK45" s="84"/>
      <c r="KL45" s="84"/>
      <c r="KM45" s="84"/>
      <c r="KN45" s="84"/>
      <c r="KO45" s="84"/>
      <c r="KP45" s="84"/>
      <c r="KQ45" s="84"/>
      <c r="KR45" s="84"/>
      <c r="KS45" s="84"/>
      <c r="KT45" s="84"/>
      <c r="KU45" s="84"/>
      <c r="KV45" s="84"/>
      <c r="KW45" s="84"/>
      <c r="KX45" s="84"/>
      <c r="KY45" s="84"/>
      <c r="KZ45" s="84"/>
      <c r="LA45" s="84"/>
      <c r="LB45" s="84"/>
      <c r="LC45" s="84"/>
      <c r="LD45" s="84"/>
      <c r="LE45" s="84"/>
      <c r="LF45" s="84"/>
      <c r="LG45" s="84"/>
      <c r="LH45" s="84"/>
      <c r="LI45" s="84"/>
      <c r="LJ45" s="84"/>
      <c r="LK45" s="84"/>
      <c r="LL45" s="84"/>
      <c r="LM45" s="84"/>
      <c r="LN45" s="84"/>
      <c r="LO45" s="84"/>
      <c r="LP45" s="84"/>
      <c r="LQ45" s="84"/>
      <c r="LR45" s="84"/>
      <c r="LS45" s="84"/>
      <c r="LT45" s="84"/>
      <c r="LU45" s="84"/>
      <c r="LV45" s="84"/>
      <c r="LW45" s="84"/>
      <c r="LX45" s="84">
        <f>210-53</f>
        <v>157</v>
      </c>
      <c r="LY45" s="84">
        <f>211-54</f>
        <v>157</v>
      </c>
      <c r="LZ45" s="84">
        <f>209-52</f>
        <v>157</v>
      </c>
      <c r="MA45" s="84">
        <f>250-79</f>
        <v>171</v>
      </c>
      <c r="MB45" s="84">
        <f>245-74</f>
        <v>171</v>
      </c>
      <c r="MC45" s="84">
        <f>239-68</f>
        <v>171</v>
      </c>
      <c r="MD45" s="84">
        <f>234-63</f>
        <v>171</v>
      </c>
      <c r="ME45" s="84">
        <f>232-62</f>
        <v>170</v>
      </c>
      <c r="MF45" s="84">
        <f>268-90</f>
        <v>178</v>
      </c>
      <c r="MG45" s="84">
        <f>258-80</f>
        <v>178</v>
      </c>
      <c r="MH45" s="84">
        <f>250-72</f>
        <v>178</v>
      </c>
      <c r="MI45" s="84">
        <f>247-69</f>
        <v>178</v>
      </c>
      <c r="MJ45" s="84">
        <f>242-64</f>
        <v>178</v>
      </c>
      <c r="MK45" s="84">
        <f t="shared" ref="MK45:MN45" si="82">241-63</f>
        <v>178</v>
      </c>
      <c r="ML45" s="84">
        <f t="shared" si="82"/>
        <v>178</v>
      </c>
      <c r="MM45" s="84">
        <f t="shared" si="82"/>
        <v>178</v>
      </c>
      <c r="MN45" s="84">
        <f t="shared" si="82"/>
        <v>178</v>
      </c>
      <c r="MO45" s="84">
        <f t="shared" ref="MO45:MP45" si="83">238-60</f>
        <v>178</v>
      </c>
      <c r="MP45" s="84">
        <f t="shared" si="83"/>
        <v>178</v>
      </c>
      <c r="MQ45" s="84">
        <f>291-115</f>
        <v>176</v>
      </c>
      <c r="MR45" s="84">
        <f>278-82</f>
        <v>196</v>
      </c>
      <c r="MS45" s="84">
        <f>276-80</f>
        <v>196</v>
      </c>
      <c r="MT45" s="84">
        <f>271-75</f>
        <v>196</v>
      </c>
      <c r="MU45" s="84">
        <f>277-81</f>
        <v>196</v>
      </c>
      <c r="MV45" s="84">
        <f>275-75</f>
        <v>200</v>
      </c>
      <c r="MW45" s="84">
        <f t="shared" ref="MW45:MX45" si="84">274-74</f>
        <v>200</v>
      </c>
      <c r="MX45" s="84">
        <f t="shared" si="84"/>
        <v>200</v>
      </c>
      <c r="MY45" s="84">
        <f>272-72</f>
        <v>200</v>
      </c>
      <c r="MZ45" s="84">
        <f>271-72</f>
        <v>199</v>
      </c>
      <c r="NA45" s="84">
        <f>269-70</f>
        <v>199</v>
      </c>
      <c r="NB45" s="84">
        <f t="shared" ref="NB45:NC45" si="85">268-69</f>
        <v>199</v>
      </c>
      <c r="NC45" s="84">
        <f t="shared" si="85"/>
        <v>199</v>
      </c>
      <c r="ND45" s="84">
        <f>269-70</f>
        <v>199</v>
      </c>
      <c r="NE45" s="84">
        <f>268-69</f>
        <v>199</v>
      </c>
      <c r="NF45" s="84">
        <f>318-106</f>
        <v>212</v>
      </c>
      <c r="NG45" s="84">
        <f>313-101</f>
        <v>212</v>
      </c>
      <c r="NH45" s="84">
        <f>305-94</f>
        <v>211</v>
      </c>
      <c r="NI45" s="84">
        <f>299-88</f>
        <v>211</v>
      </c>
      <c r="NJ45" s="84">
        <f>296-85</f>
        <v>211</v>
      </c>
      <c r="NK45" s="84">
        <f>329-107</f>
        <v>222</v>
      </c>
      <c r="NL45" s="84">
        <f>326-104</f>
        <v>222</v>
      </c>
      <c r="NM45" s="84">
        <f>320-98</f>
        <v>222</v>
      </c>
      <c r="NN45" s="84">
        <f>318-96</f>
        <v>222</v>
      </c>
      <c r="NO45" s="84">
        <f>316-94</f>
        <v>222</v>
      </c>
      <c r="NP45" s="84">
        <f>311-89</f>
        <v>222</v>
      </c>
      <c r="NQ45" s="84">
        <f>308-86</f>
        <v>222</v>
      </c>
      <c r="NR45" s="84">
        <f>306-84</f>
        <v>222</v>
      </c>
      <c r="NS45" s="84">
        <f>301-80</f>
        <v>221</v>
      </c>
      <c r="NT45" s="84">
        <f t="shared" ref="NT45:NU45" si="86">299-78</f>
        <v>221</v>
      </c>
      <c r="NU45" s="84">
        <f t="shared" si="86"/>
        <v>221</v>
      </c>
      <c r="NV45" s="84">
        <f>364-111</f>
        <v>253</v>
      </c>
      <c r="NW45" s="84">
        <f>354-102</f>
        <v>252</v>
      </c>
      <c r="NX45" s="84">
        <f>350-98</f>
        <v>252</v>
      </c>
      <c r="NY45" s="84">
        <f>348-93</f>
        <v>255</v>
      </c>
      <c r="NZ45" s="84">
        <f>342-87</f>
        <v>255</v>
      </c>
      <c r="OA45" s="84">
        <f>340-85</f>
        <v>255</v>
      </c>
      <c r="OB45" s="84">
        <f>337-82</f>
        <v>255</v>
      </c>
      <c r="OC45" s="84">
        <f>336-81</f>
        <v>255</v>
      </c>
      <c r="OD45" s="84">
        <f>333-79</f>
        <v>254</v>
      </c>
      <c r="OE45" s="84">
        <f>332-78</f>
        <v>254</v>
      </c>
      <c r="OF45" s="84">
        <f>331-77</f>
        <v>254</v>
      </c>
      <c r="OG45" s="84">
        <f>324-71</f>
        <v>253</v>
      </c>
      <c r="OH45" s="84">
        <f t="shared" ref="OH45:OI45" si="87">320-68</f>
        <v>252</v>
      </c>
      <c r="OI45" s="84">
        <f t="shared" si="87"/>
        <v>252</v>
      </c>
      <c r="OJ45" s="84">
        <f>319-67</f>
        <v>252</v>
      </c>
      <c r="OK45" s="84">
        <f>390-119</f>
        <v>271</v>
      </c>
      <c r="OL45" s="84">
        <f>384-114</f>
        <v>270</v>
      </c>
      <c r="OM45" s="84">
        <f>380-110</f>
        <v>270</v>
      </c>
      <c r="ON45" s="84">
        <f>377-107</f>
        <v>270</v>
      </c>
      <c r="OO45" s="84">
        <f>374-105</f>
        <v>269</v>
      </c>
      <c r="OP45" s="84">
        <f>373-87</f>
        <v>286</v>
      </c>
      <c r="OQ45" s="84">
        <f>371-85</f>
        <v>286</v>
      </c>
      <c r="OR45" s="84">
        <f>366-80</f>
        <v>286</v>
      </c>
      <c r="OS45" s="84">
        <f>364-78</f>
        <v>286</v>
      </c>
      <c r="OT45" s="84">
        <f>362-76</f>
        <v>286</v>
      </c>
      <c r="OU45" s="84">
        <f>355-71</f>
        <v>284</v>
      </c>
      <c r="OV45" s="84">
        <f t="shared" ref="OV45:OW45" si="88">354-70</f>
        <v>284</v>
      </c>
      <c r="OW45" s="84">
        <f t="shared" si="88"/>
        <v>284</v>
      </c>
      <c r="OX45" s="84">
        <f t="shared" ref="OX45:OY45" si="89">351-67</f>
        <v>284</v>
      </c>
      <c r="OY45" s="84">
        <f t="shared" si="89"/>
        <v>284</v>
      </c>
      <c r="OZ45" s="84">
        <f>349-66</f>
        <v>283</v>
      </c>
      <c r="PA45" s="84">
        <f>426-116</f>
        <v>310</v>
      </c>
      <c r="PB45" s="84">
        <f t="shared" ref="PB45:PC45" si="90">401-91</f>
        <v>310</v>
      </c>
      <c r="PC45" s="84">
        <f t="shared" si="90"/>
        <v>310</v>
      </c>
      <c r="PD45" s="84">
        <f>398-88</f>
        <v>310</v>
      </c>
      <c r="PE45" s="84">
        <f>391-83</f>
        <v>308</v>
      </c>
      <c r="PF45" s="84">
        <f>386-78</f>
        <v>308</v>
      </c>
      <c r="PG45" s="84">
        <f>383-76</f>
        <v>307</v>
      </c>
      <c r="PH45" s="84">
        <f>379-73</f>
        <v>306</v>
      </c>
      <c r="PI45" s="84">
        <f>376-71</f>
        <v>305</v>
      </c>
      <c r="PJ45" s="84">
        <f t="shared" ref="PJ45:PK45" si="91">372-68</f>
        <v>304</v>
      </c>
      <c r="PK45" s="84">
        <f t="shared" si="91"/>
        <v>304</v>
      </c>
      <c r="PL45" s="84">
        <f>368-66</f>
        <v>302</v>
      </c>
      <c r="PM45" s="84">
        <f>418-116</f>
        <v>302</v>
      </c>
      <c r="PN45" s="84">
        <f>403-101</f>
        <v>302</v>
      </c>
      <c r="PO45" s="84">
        <f>394-93</f>
        <v>301</v>
      </c>
      <c r="PP45" s="84">
        <f>394-61</f>
        <v>333</v>
      </c>
      <c r="PQ45" s="84">
        <f>393-61</f>
        <v>332</v>
      </c>
      <c r="PR45" s="84">
        <f>392-60</f>
        <v>332</v>
      </c>
      <c r="PS45" s="84">
        <f>391-59</f>
        <v>332</v>
      </c>
      <c r="PT45" s="84">
        <f>389-57</f>
        <v>332</v>
      </c>
      <c r="PU45" s="84">
        <f>386-56</f>
        <v>330</v>
      </c>
      <c r="PV45" s="84">
        <f>382-53</f>
        <v>329</v>
      </c>
      <c r="PW45" s="84">
        <f>377-49</f>
        <v>328</v>
      </c>
      <c r="PX45" s="84">
        <f>376-49</f>
        <v>327</v>
      </c>
      <c r="PY45" s="84">
        <f>374-48</f>
        <v>326</v>
      </c>
      <c r="PZ45" s="84">
        <f>372-47</f>
        <v>325</v>
      </c>
      <c r="QA45" s="84">
        <f>371-46</f>
        <v>325</v>
      </c>
      <c r="QB45" s="84">
        <f>369-44</f>
        <v>325</v>
      </c>
      <c r="QC45" s="84">
        <f>430-105</f>
        <v>325</v>
      </c>
      <c r="QD45" s="84">
        <f>410-85</f>
        <v>325</v>
      </c>
      <c r="QE45" s="84">
        <f>398-73</f>
        <v>325</v>
      </c>
      <c r="QF45" s="84">
        <f t="shared" ref="QF45:QG45" si="92">397-47</f>
        <v>350</v>
      </c>
      <c r="QG45" s="84">
        <f t="shared" si="92"/>
        <v>350</v>
      </c>
      <c r="QH45" s="84">
        <f>396-46</f>
        <v>350</v>
      </c>
      <c r="QI45" s="84">
        <f t="shared" ref="QI45:QJ45" si="93">393-45</f>
        <v>348</v>
      </c>
      <c r="QJ45" s="84">
        <f t="shared" si="93"/>
        <v>348</v>
      </c>
      <c r="QK45" s="84">
        <f>383-38</f>
        <v>345</v>
      </c>
      <c r="QL45" s="84">
        <f>382-37</f>
        <v>345</v>
      </c>
      <c r="QM45" s="84">
        <f>381-37</f>
        <v>344</v>
      </c>
      <c r="QN45" s="84">
        <f>379-36</f>
        <v>343</v>
      </c>
      <c r="QO45" s="84">
        <f>374-33</f>
        <v>341</v>
      </c>
      <c r="QP45" s="84">
        <f>373-32</f>
        <v>341</v>
      </c>
      <c r="QQ45" s="84">
        <f>370-30</f>
        <v>340</v>
      </c>
      <c r="QR45" s="84">
        <f>422-66</f>
        <v>356</v>
      </c>
      <c r="QS45" s="84">
        <f>413-57</f>
        <v>356</v>
      </c>
      <c r="QT45" s="84">
        <f>411-55</f>
        <v>356</v>
      </c>
      <c r="QU45" s="84">
        <f>405-52</f>
        <v>353</v>
      </c>
      <c r="QV45" s="84">
        <f>402-50</f>
        <v>352</v>
      </c>
      <c r="QW45" s="84">
        <f>399-48</f>
        <v>351</v>
      </c>
      <c r="QX45" s="84">
        <f>395-44</f>
        <v>351</v>
      </c>
      <c r="QY45" s="84">
        <f t="shared" ref="QY45:QZ45" si="94">392-43</f>
        <v>349</v>
      </c>
      <c r="QZ45" s="84">
        <f t="shared" si="94"/>
        <v>349</v>
      </c>
      <c r="RA45" s="84">
        <f>391-42</f>
        <v>349</v>
      </c>
      <c r="RB45" s="84">
        <f>389-42</f>
        <v>347</v>
      </c>
      <c r="RC45" s="84">
        <f>387-40</f>
        <v>347</v>
      </c>
      <c r="RD45" s="84">
        <f>384-40</f>
        <v>344</v>
      </c>
      <c r="RE45" s="84">
        <f>383-39</f>
        <v>344</v>
      </c>
      <c r="RF45" s="84">
        <f>382-38</f>
        <v>344</v>
      </c>
      <c r="RG45" s="84">
        <f>381-37</f>
        <v>344</v>
      </c>
      <c r="RH45" s="84">
        <f>494-140</f>
        <v>354</v>
      </c>
      <c r="RI45" s="84">
        <f>462-110</f>
        <v>352</v>
      </c>
      <c r="RJ45" s="84">
        <f>452-101</f>
        <v>351</v>
      </c>
      <c r="RK45" s="84">
        <f>448-97</f>
        <v>351</v>
      </c>
      <c r="RL45" s="84">
        <f>442-91</f>
        <v>351</v>
      </c>
      <c r="RM45" s="84">
        <f>435-85</f>
        <v>350</v>
      </c>
      <c r="RN45" s="84">
        <f>431-81</f>
        <v>350</v>
      </c>
      <c r="RO45" s="84">
        <f>429-79</f>
        <v>350</v>
      </c>
      <c r="RP45" s="84">
        <f>428-78</f>
        <v>350</v>
      </c>
      <c r="RQ45" s="84">
        <f>425-75</f>
        <v>350</v>
      </c>
      <c r="RR45" s="84">
        <f>423-73</f>
        <v>350</v>
      </c>
      <c r="RS45" s="84">
        <f>420-71</f>
        <v>349</v>
      </c>
      <c r="RT45" s="84">
        <f>419-70</f>
        <v>349</v>
      </c>
      <c r="RU45" s="84">
        <f>412-63</f>
        <v>349</v>
      </c>
      <c r="RV45" s="84">
        <f>481-132</f>
        <v>349</v>
      </c>
      <c r="RW45" s="84">
        <f>461-94</f>
        <v>367</v>
      </c>
      <c r="RX45" s="84">
        <f>452-86</f>
        <v>366</v>
      </c>
      <c r="RY45" s="84">
        <f>449-83</f>
        <v>366</v>
      </c>
      <c r="RZ45" s="84">
        <f>445-80</f>
        <v>365</v>
      </c>
      <c r="SA45" s="84">
        <f t="shared" ref="SA45:SB45" si="95">441-77</f>
        <v>364</v>
      </c>
      <c r="SB45" s="84">
        <f t="shared" si="95"/>
        <v>364</v>
      </c>
      <c r="SC45" s="84">
        <f>440-76</f>
        <v>364</v>
      </c>
      <c r="SD45" s="84">
        <f>439-75</f>
        <v>364</v>
      </c>
      <c r="SE45" s="84">
        <f>434-73</f>
        <v>361</v>
      </c>
      <c r="SF45" s="84">
        <f>433-72</f>
        <v>361</v>
      </c>
      <c r="SG45" s="84">
        <f>432-71</f>
        <v>361</v>
      </c>
      <c r="SH45" s="84">
        <f t="shared" ref="SH45:SI45" si="96">428-69</f>
        <v>359</v>
      </c>
      <c r="SI45" s="84">
        <f t="shared" si="96"/>
        <v>359</v>
      </c>
      <c r="SJ45" s="84">
        <v>358</v>
      </c>
      <c r="SK45" s="84">
        <v>358</v>
      </c>
      <c r="SL45" s="84">
        <v>358</v>
      </c>
      <c r="SM45" s="84">
        <v>390</v>
      </c>
      <c r="SN45" s="84">
        <v>390</v>
      </c>
      <c r="SO45" s="84">
        <v>386</v>
      </c>
      <c r="SP45" s="84">
        <v>386</v>
      </c>
      <c r="SQ45" s="84">
        <v>386</v>
      </c>
      <c r="SR45" s="84">
        <v>385</v>
      </c>
      <c r="SS45" s="84">
        <v>384</v>
      </c>
      <c r="ST45" s="84">
        <v>382</v>
      </c>
      <c r="SU45" s="84">
        <v>381</v>
      </c>
      <c r="SV45" s="84">
        <v>380</v>
      </c>
      <c r="SW45" s="84">
        <v>378</v>
      </c>
      <c r="SX45" s="84">
        <v>378</v>
      </c>
      <c r="SY45" s="84">
        <v>377</v>
      </c>
      <c r="SZ45" s="84">
        <v>376</v>
      </c>
      <c r="TA45" s="84">
        <v>402</v>
      </c>
      <c r="TB45" s="84">
        <v>402</v>
      </c>
      <c r="TC45" s="84">
        <v>401</v>
      </c>
      <c r="TD45" s="84">
        <v>401</v>
      </c>
      <c r="TE45" s="84">
        <v>400</v>
      </c>
      <c r="TF45" s="84">
        <v>400</v>
      </c>
      <c r="TG45" s="84">
        <v>400</v>
      </c>
      <c r="TH45" s="181">
        <v>399</v>
      </c>
      <c r="TI45" s="181">
        <v>398</v>
      </c>
      <c r="TJ45" s="181">
        <v>396</v>
      </c>
      <c r="TK45" s="181">
        <v>395</v>
      </c>
      <c r="TL45" s="181">
        <v>395</v>
      </c>
      <c r="TM45" s="181">
        <v>392</v>
      </c>
      <c r="TN45" s="181">
        <v>391</v>
      </c>
      <c r="TO45" s="181">
        <v>391</v>
      </c>
      <c r="TP45" s="181">
        <v>391</v>
      </c>
      <c r="TQ45" s="181">
        <v>419</v>
      </c>
      <c r="TR45" s="181">
        <v>419</v>
      </c>
      <c r="TS45" s="181">
        <v>419</v>
      </c>
      <c r="TT45" s="181">
        <v>419</v>
      </c>
      <c r="TU45" s="181">
        <v>417</v>
      </c>
      <c r="TV45" s="181">
        <v>417</v>
      </c>
      <c r="TW45" s="181">
        <v>416</v>
      </c>
      <c r="TX45" s="181">
        <v>416</v>
      </c>
      <c r="TY45" s="181">
        <v>416</v>
      </c>
      <c r="TZ45" s="181">
        <v>416</v>
      </c>
      <c r="UA45" s="181">
        <v>416</v>
      </c>
      <c r="UB45" s="181">
        <v>413</v>
      </c>
      <c r="UC45" s="181">
        <v>412</v>
      </c>
      <c r="UD45" s="181">
        <v>412</v>
      </c>
      <c r="UE45" s="181">
        <v>409</v>
      </c>
      <c r="UF45" s="181">
        <v>432</v>
      </c>
      <c r="UG45" s="181">
        <v>432</v>
      </c>
      <c r="UH45" s="181">
        <v>430</v>
      </c>
      <c r="UI45" s="181">
        <v>429</v>
      </c>
      <c r="UJ45" s="181">
        <v>428</v>
      </c>
      <c r="UK45" s="181">
        <v>428</v>
      </c>
      <c r="UL45" s="181">
        <v>427</v>
      </c>
      <c r="UM45" s="181">
        <v>427</v>
      </c>
      <c r="UN45" s="181">
        <v>426</v>
      </c>
      <c r="UO45" s="181">
        <v>424</v>
      </c>
      <c r="UP45" s="181">
        <v>424</v>
      </c>
      <c r="UQ45" s="181">
        <v>424</v>
      </c>
      <c r="UR45" s="181">
        <v>424</v>
      </c>
      <c r="US45" s="181">
        <v>423</v>
      </c>
      <c r="UT45" s="181">
        <v>422</v>
      </c>
      <c r="UU45" s="181">
        <v>422</v>
      </c>
      <c r="UV45" s="181">
        <v>434</v>
      </c>
      <c r="UW45" s="181">
        <v>434</v>
      </c>
      <c r="UX45" s="181">
        <v>433</v>
      </c>
      <c r="UY45" s="181">
        <v>433</v>
      </c>
      <c r="UZ45" s="181">
        <v>433</v>
      </c>
      <c r="VA45" s="181">
        <v>433</v>
      </c>
      <c r="VB45" s="181">
        <v>433</v>
      </c>
      <c r="VC45" s="181">
        <v>433</v>
      </c>
      <c r="VD45" s="181">
        <v>433</v>
      </c>
      <c r="VE45" s="181">
        <v>433</v>
      </c>
      <c r="VF45" s="181">
        <v>433</v>
      </c>
      <c r="VG45" s="181">
        <v>432</v>
      </c>
      <c r="VH45" s="181">
        <v>431</v>
      </c>
      <c r="VI45" s="181">
        <v>432</v>
      </c>
      <c r="VJ45" s="181">
        <v>433</v>
      </c>
      <c r="VK45" s="181">
        <v>448</v>
      </c>
      <c r="VL45" s="181">
        <v>448</v>
      </c>
      <c r="VM45" s="181">
        <v>448</v>
      </c>
      <c r="VN45" s="181">
        <v>447</v>
      </c>
      <c r="VO45" s="181">
        <v>447</v>
      </c>
      <c r="VP45" s="181">
        <v>447</v>
      </c>
      <c r="VQ45" s="181">
        <v>447</v>
      </c>
      <c r="VR45" s="181">
        <v>447</v>
      </c>
      <c r="VS45" s="181">
        <v>446</v>
      </c>
      <c r="VT45" s="181">
        <v>446</v>
      </c>
      <c r="VU45" s="181">
        <v>445</v>
      </c>
      <c r="VV45" s="181">
        <v>445</v>
      </c>
      <c r="VW45" s="181">
        <v>445</v>
      </c>
      <c r="VX45" s="181">
        <v>444</v>
      </c>
      <c r="VY45" s="181">
        <v>443</v>
      </c>
      <c r="VZ45" s="181">
        <v>464</v>
      </c>
      <c r="WA45" s="181">
        <v>464</v>
      </c>
      <c r="WB45" s="181">
        <v>461</v>
      </c>
      <c r="WC45" s="181">
        <v>460</v>
      </c>
      <c r="WD45" s="181">
        <v>460</v>
      </c>
      <c r="WE45" s="181">
        <v>460</v>
      </c>
      <c r="WF45" s="181">
        <v>460</v>
      </c>
      <c r="WG45" s="181">
        <v>460</v>
      </c>
      <c r="WH45" s="181">
        <v>460</v>
      </c>
      <c r="WI45" s="181">
        <v>460</v>
      </c>
      <c r="WJ45" s="181">
        <v>459</v>
      </c>
      <c r="WK45" s="181">
        <v>458</v>
      </c>
      <c r="WL45" s="181">
        <v>458</v>
      </c>
      <c r="WM45" s="181">
        <v>457</v>
      </c>
      <c r="WN45" s="181">
        <v>457</v>
      </c>
      <c r="WO45" s="181">
        <v>462</v>
      </c>
      <c r="WP45" s="181">
        <v>462</v>
      </c>
      <c r="WQ45" s="181">
        <v>462</v>
      </c>
      <c r="WR45" s="181">
        <v>461</v>
      </c>
      <c r="WS45" s="181">
        <v>461</v>
      </c>
      <c r="WT45" s="181">
        <v>461</v>
      </c>
      <c r="WU45" s="181">
        <v>461</v>
      </c>
      <c r="WV45" s="181">
        <v>460</v>
      </c>
      <c r="WW45" s="181">
        <v>460</v>
      </c>
      <c r="WX45" s="181">
        <v>459</v>
      </c>
      <c r="WY45" s="181">
        <v>459</v>
      </c>
      <c r="WZ45" s="181">
        <v>459</v>
      </c>
      <c r="XA45" s="181">
        <v>459</v>
      </c>
      <c r="XB45" s="181">
        <v>459</v>
      </c>
      <c r="XC45" s="181">
        <v>459</v>
      </c>
      <c r="XD45" s="181">
        <v>459</v>
      </c>
      <c r="XE45" s="181">
        <v>489</v>
      </c>
      <c r="XF45" s="181">
        <v>487</v>
      </c>
      <c r="XG45" s="181">
        <v>487</v>
      </c>
      <c r="XH45" s="181">
        <v>487</v>
      </c>
      <c r="XI45" s="181">
        <v>486</v>
      </c>
      <c r="XJ45" s="181">
        <v>486</v>
      </c>
      <c r="XK45" s="181">
        <v>486</v>
      </c>
      <c r="XL45" s="181">
        <v>486</v>
      </c>
      <c r="XM45" s="181">
        <v>486</v>
      </c>
      <c r="XN45" s="181">
        <v>486</v>
      </c>
      <c r="XO45" s="181">
        <v>486</v>
      </c>
      <c r="XP45" s="181">
        <v>485</v>
      </c>
      <c r="XQ45" s="181">
        <v>486</v>
      </c>
      <c r="XR45" s="181">
        <v>486</v>
      </c>
      <c r="XS45" s="181">
        <v>486</v>
      </c>
      <c r="XT45" s="181">
        <v>501</v>
      </c>
      <c r="XU45" s="181">
        <v>501</v>
      </c>
      <c r="XV45" s="181">
        <v>501</v>
      </c>
      <c r="XW45" s="181">
        <v>501</v>
      </c>
      <c r="XX45" s="181">
        <v>501</v>
      </c>
      <c r="XY45" s="181">
        <v>501</v>
      </c>
      <c r="XZ45" s="181">
        <v>501</v>
      </c>
      <c r="YA45" s="181">
        <v>501</v>
      </c>
      <c r="YB45" s="181">
        <v>501</v>
      </c>
      <c r="YC45" s="182">
        <v>501</v>
      </c>
      <c r="YD45" s="182">
        <v>501</v>
      </c>
      <c r="YE45" s="182">
        <v>500</v>
      </c>
      <c r="YF45" s="182">
        <v>500</v>
      </c>
      <c r="YG45" s="182">
        <v>500</v>
      </c>
      <c r="YH45" s="182">
        <v>500</v>
      </c>
      <c r="YI45" s="182">
        <v>500</v>
      </c>
      <c r="YJ45" s="182">
        <v>531</v>
      </c>
      <c r="YK45" s="182">
        <v>531</v>
      </c>
      <c r="YL45" s="182">
        <v>531</v>
      </c>
      <c r="YM45" s="182">
        <v>531</v>
      </c>
    </row>
    <row r="46" spans="1:663" ht="15.75" customHeight="1" x14ac:dyDescent="0.2">
      <c r="A46" s="21"/>
      <c r="B46" s="33" t="s">
        <v>175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33"/>
      <c r="GW46" s="33"/>
      <c r="GX46" s="33"/>
      <c r="GY46" s="33"/>
      <c r="GZ46" s="33"/>
      <c r="HA46" s="33"/>
      <c r="HB46" s="33"/>
      <c r="HC46" s="33"/>
      <c r="HD46" s="33"/>
      <c r="HE46" s="33"/>
      <c r="HF46" s="33"/>
      <c r="HG46" s="33"/>
      <c r="HH46" s="33"/>
      <c r="HI46" s="33"/>
      <c r="HJ46" s="33"/>
      <c r="HK46" s="33"/>
      <c r="HL46" s="33"/>
      <c r="HM46" s="33"/>
      <c r="HN46" s="33"/>
      <c r="HO46" s="33"/>
      <c r="HP46" s="33"/>
      <c r="HQ46" s="33"/>
      <c r="HR46" s="33"/>
      <c r="HS46" s="33"/>
      <c r="HT46" s="33"/>
      <c r="HU46" s="33"/>
      <c r="HV46" s="33"/>
      <c r="HW46" s="33"/>
      <c r="HX46" s="33"/>
      <c r="HY46" s="33"/>
      <c r="HZ46" s="33"/>
      <c r="IA46" s="33"/>
      <c r="IB46" s="33"/>
      <c r="IC46" s="33"/>
      <c r="ID46" s="33"/>
      <c r="IE46" s="33"/>
      <c r="IF46" s="33"/>
      <c r="IG46" s="33"/>
      <c r="IH46" s="33"/>
      <c r="II46" s="33"/>
      <c r="IJ46" s="33"/>
      <c r="IK46" s="33"/>
      <c r="IL46" s="33"/>
      <c r="IM46" s="33"/>
      <c r="IN46" s="33"/>
      <c r="IO46" s="33"/>
      <c r="IP46" s="33"/>
      <c r="IQ46" s="33"/>
      <c r="IR46" s="33"/>
      <c r="IS46" s="33"/>
      <c r="IT46" s="33"/>
      <c r="IU46" s="33"/>
      <c r="IV46" s="33"/>
      <c r="IW46" s="33"/>
      <c r="IX46" s="33"/>
      <c r="IY46" s="33"/>
      <c r="IZ46" s="33"/>
      <c r="JA46" s="33"/>
      <c r="JB46" s="33"/>
      <c r="JC46" s="33"/>
      <c r="JD46" s="33"/>
      <c r="JE46" s="33"/>
      <c r="JF46" s="33"/>
      <c r="JG46" s="33"/>
      <c r="JH46" s="33"/>
      <c r="JI46" s="33"/>
      <c r="JJ46" s="33"/>
      <c r="JK46" s="33"/>
      <c r="JL46" s="33"/>
      <c r="JM46" s="33"/>
      <c r="JN46" s="33"/>
      <c r="JO46" s="33"/>
      <c r="JP46" s="33"/>
      <c r="JQ46" s="33"/>
      <c r="JR46" s="33"/>
      <c r="JS46" s="33"/>
      <c r="JT46" s="33"/>
      <c r="JU46" s="33"/>
      <c r="JV46" s="33"/>
      <c r="JW46" s="33"/>
      <c r="JX46" s="33"/>
      <c r="JY46" s="33"/>
      <c r="JZ46" s="33"/>
      <c r="KA46" s="33"/>
      <c r="KB46" s="33"/>
      <c r="KC46" s="33"/>
      <c r="KD46" s="33"/>
      <c r="KE46" s="33"/>
      <c r="KF46" s="33"/>
      <c r="KG46" s="33"/>
      <c r="KH46" s="33"/>
      <c r="KI46" s="33"/>
      <c r="KJ46" s="33"/>
      <c r="KK46" s="33"/>
      <c r="KL46" s="33"/>
      <c r="KM46" s="33"/>
      <c r="KN46" s="33"/>
      <c r="KO46" s="33"/>
      <c r="KP46" s="33"/>
      <c r="KQ46" s="33"/>
      <c r="KR46" s="33"/>
      <c r="KS46" s="33"/>
      <c r="KT46" s="33"/>
      <c r="KU46" s="33"/>
      <c r="KV46" s="33"/>
      <c r="KW46" s="33"/>
      <c r="KX46" s="33"/>
      <c r="KY46" s="33"/>
      <c r="KZ46" s="33"/>
      <c r="LA46" s="33"/>
      <c r="LB46" s="33"/>
      <c r="LC46" s="33"/>
      <c r="LD46" s="33"/>
      <c r="LE46" s="33"/>
      <c r="LF46" s="33"/>
      <c r="LG46" s="33"/>
      <c r="LH46" s="33"/>
      <c r="LI46" s="33"/>
      <c r="LJ46" s="33"/>
      <c r="LK46" s="33"/>
      <c r="LL46" s="33"/>
      <c r="LM46" s="33"/>
      <c r="LN46" s="33"/>
      <c r="LO46" s="33"/>
      <c r="LP46" s="33"/>
      <c r="LQ46" s="33"/>
      <c r="LR46" s="33"/>
      <c r="LS46" s="33"/>
      <c r="LT46" s="33"/>
      <c r="LU46" s="33"/>
      <c r="LV46" s="33"/>
      <c r="LW46" s="33"/>
      <c r="LX46" s="37">
        <f t="shared" ref="LX46:VR46" si="97">LX45/LX8</f>
        <v>4.5284107297375253E-2</v>
      </c>
      <c r="LY46" s="37">
        <f t="shared" si="97"/>
        <v>4.5284107297375253E-2</v>
      </c>
      <c r="LZ46" s="37">
        <f t="shared" si="97"/>
        <v>4.5284107297375253E-2</v>
      </c>
      <c r="MA46" s="37">
        <f t="shared" si="97"/>
        <v>4.9536500579374275E-2</v>
      </c>
      <c r="MB46" s="37">
        <f t="shared" si="97"/>
        <v>4.9536500579374275E-2</v>
      </c>
      <c r="MC46" s="37">
        <f t="shared" si="97"/>
        <v>4.612894523873752E-2</v>
      </c>
      <c r="MD46" s="37">
        <f t="shared" si="97"/>
        <v>4.612894523873752E-2</v>
      </c>
      <c r="ME46" s="37">
        <f t="shared" si="97"/>
        <v>4.5859185325060697E-2</v>
      </c>
      <c r="MF46" s="37">
        <f t="shared" si="97"/>
        <v>4.8017264634475317E-2</v>
      </c>
      <c r="MG46" s="37">
        <f t="shared" si="97"/>
        <v>4.8017264634475317E-2</v>
      </c>
      <c r="MH46" s="37">
        <f t="shared" si="97"/>
        <v>4.8017264634475317E-2</v>
      </c>
      <c r="MI46" s="37">
        <f t="shared" si="97"/>
        <v>4.7265002655337229E-2</v>
      </c>
      <c r="MJ46" s="37">
        <f t="shared" si="97"/>
        <v>4.7378227309023156E-2</v>
      </c>
      <c r="MK46" s="37">
        <f t="shared" si="97"/>
        <v>4.7378227309023156E-2</v>
      </c>
      <c r="ML46" s="37">
        <f t="shared" si="97"/>
        <v>4.7378227309023156E-2</v>
      </c>
      <c r="MM46" s="37">
        <f t="shared" si="97"/>
        <v>4.6940928270042197E-2</v>
      </c>
      <c r="MN46" s="37">
        <f t="shared" si="97"/>
        <v>4.6940928270042197E-2</v>
      </c>
      <c r="MO46" s="37">
        <f t="shared" si="97"/>
        <v>4.6487333507443197E-2</v>
      </c>
      <c r="MP46" s="37">
        <f t="shared" si="97"/>
        <v>4.646306447402767E-2</v>
      </c>
      <c r="MQ46" s="37">
        <f t="shared" si="97"/>
        <v>4.594100756982511E-2</v>
      </c>
      <c r="MR46" s="37">
        <f t="shared" si="97"/>
        <v>5.1161576611850688E-2</v>
      </c>
      <c r="MS46" s="37">
        <f t="shared" si="97"/>
        <v>5.1161576611850688E-2</v>
      </c>
      <c r="MT46" s="37">
        <f t="shared" si="97"/>
        <v>5.1161576611850688E-2</v>
      </c>
      <c r="MU46" s="37">
        <f t="shared" si="97"/>
        <v>5.1161576611850688E-2</v>
      </c>
      <c r="MV46" s="37">
        <f t="shared" si="97"/>
        <v>5.2205690420255808E-2</v>
      </c>
      <c r="MW46" s="37">
        <f t="shared" si="97"/>
        <v>5.2205690420255808E-2</v>
      </c>
      <c r="MX46" s="37">
        <f t="shared" si="97"/>
        <v>5.2205690420255808E-2</v>
      </c>
      <c r="MY46" s="37">
        <f t="shared" si="97"/>
        <v>5.2205690420255808E-2</v>
      </c>
      <c r="MZ46" s="37">
        <f t="shared" si="97"/>
        <v>5.1944661968154532E-2</v>
      </c>
      <c r="NA46" s="37">
        <f t="shared" si="97"/>
        <v>5.1944661968154532E-2</v>
      </c>
      <c r="NB46" s="37">
        <f t="shared" si="97"/>
        <v>5.1944661968154532E-2</v>
      </c>
      <c r="NC46" s="37">
        <f t="shared" si="97"/>
        <v>5.1944661968154532E-2</v>
      </c>
      <c r="ND46" s="37">
        <f t="shared" si="97"/>
        <v>5.1944661968154532E-2</v>
      </c>
      <c r="NE46" s="37">
        <f t="shared" si="97"/>
        <v>5.1944661968154532E-2</v>
      </c>
      <c r="NF46" s="37">
        <f t="shared" si="97"/>
        <v>5.5338031845471154E-2</v>
      </c>
      <c r="NG46" s="37">
        <f t="shared" si="97"/>
        <v>5.5338031845471154E-2</v>
      </c>
      <c r="NH46" s="37">
        <f t="shared" si="97"/>
        <v>5.5120167189132707E-2</v>
      </c>
      <c r="NI46" s="37">
        <f t="shared" si="97"/>
        <v>5.5192257389484696E-2</v>
      </c>
      <c r="NJ46" s="37">
        <f t="shared" si="97"/>
        <v>5.4962229747330033E-2</v>
      </c>
      <c r="NK46" s="37">
        <f t="shared" si="97"/>
        <v>5.7827559260224017E-2</v>
      </c>
      <c r="NL46" s="37">
        <f t="shared" si="97"/>
        <v>5.7827559260224017E-2</v>
      </c>
      <c r="NM46" s="37">
        <f t="shared" si="97"/>
        <v>5.7827559260224017E-2</v>
      </c>
      <c r="NN46" s="37">
        <f t="shared" si="97"/>
        <v>5.7827559260224017E-2</v>
      </c>
      <c r="NO46" s="37">
        <f t="shared" si="97"/>
        <v>5.7498057498057496E-2</v>
      </c>
      <c r="NP46" s="37">
        <f t="shared" si="97"/>
        <v>5.7483169342309681E-2</v>
      </c>
      <c r="NQ46" s="37">
        <f t="shared" si="97"/>
        <v>5.7483169342309681E-2</v>
      </c>
      <c r="NR46" s="37">
        <f t="shared" si="97"/>
        <v>5.7483169342309681E-2</v>
      </c>
      <c r="NS46" s="37">
        <f t="shared" si="97"/>
        <v>5.7239057239057242E-2</v>
      </c>
      <c r="NT46" s="37">
        <f t="shared" si="97"/>
        <v>5.7239057239057242E-2</v>
      </c>
      <c r="NU46" s="37">
        <f t="shared" si="97"/>
        <v>5.7239057239057242E-2</v>
      </c>
      <c r="NV46" s="37">
        <f t="shared" si="97"/>
        <v>6.5290322580645155E-2</v>
      </c>
      <c r="NW46" s="37">
        <f t="shared" si="97"/>
        <v>6.5032258064516124E-2</v>
      </c>
      <c r="NX46" s="37">
        <f t="shared" si="97"/>
        <v>6.5032258064516124E-2</v>
      </c>
      <c r="NY46" s="37">
        <f t="shared" si="97"/>
        <v>6.580645161290323E-2</v>
      </c>
      <c r="NZ46" s="37">
        <f t="shared" si="97"/>
        <v>6.580645161290323E-2</v>
      </c>
      <c r="OA46" s="37">
        <f t="shared" si="97"/>
        <v>6.580645161290323E-2</v>
      </c>
      <c r="OB46" s="37">
        <f t="shared" si="97"/>
        <v>6.580645161290323E-2</v>
      </c>
      <c r="OC46" s="37">
        <f t="shared" si="97"/>
        <v>6.580645161290323E-2</v>
      </c>
      <c r="OD46" s="37">
        <f t="shared" si="97"/>
        <v>6.4911832353692814E-2</v>
      </c>
      <c r="OE46" s="37">
        <f t="shared" si="97"/>
        <v>6.4060529634300131E-2</v>
      </c>
      <c r="OF46" s="37">
        <f t="shared" si="97"/>
        <v>6.3500000000000001E-2</v>
      </c>
      <c r="OG46" s="37">
        <f t="shared" si="97"/>
        <v>6.2623762376237624E-2</v>
      </c>
      <c r="OH46" s="37">
        <f t="shared" si="97"/>
        <v>6.2376237623762376E-2</v>
      </c>
      <c r="OI46" s="37">
        <f t="shared" si="97"/>
        <v>6.2376237623762376E-2</v>
      </c>
      <c r="OJ46" s="37">
        <f t="shared" si="97"/>
        <v>6.2053681359271112E-2</v>
      </c>
      <c r="OK46" s="37">
        <f t="shared" si="97"/>
        <v>6.6372765123683564E-2</v>
      </c>
      <c r="OL46" s="37">
        <f t="shared" si="97"/>
        <v>6.6127847171197643E-2</v>
      </c>
      <c r="OM46" s="37">
        <f t="shared" si="97"/>
        <v>6.5998533365925205E-2</v>
      </c>
      <c r="ON46" s="37">
        <f t="shared" si="97"/>
        <v>6.5805508164757498E-2</v>
      </c>
      <c r="OO46" s="37">
        <f t="shared" si="97"/>
        <v>6.5561784060443579E-2</v>
      </c>
      <c r="OP46" s="37">
        <f t="shared" si="97"/>
        <v>6.9705093833780166E-2</v>
      </c>
      <c r="OQ46" s="37">
        <f t="shared" si="97"/>
        <v>6.9705093833780166E-2</v>
      </c>
      <c r="OR46" s="37">
        <f t="shared" si="97"/>
        <v>6.8865880086684331E-2</v>
      </c>
      <c r="OS46" s="37">
        <f t="shared" si="97"/>
        <v>6.758034026465029E-2</v>
      </c>
      <c r="OT46" s="37">
        <f t="shared" si="97"/>
        <v>6.6947565543071158E-2</v>
      </c>
      <c r="OU46" s="37">
        <f t="shared" si="97"/>
        <v>6.5954482117974916E-2</v>
      </c>
      <c r="OV46" s="37">
        <f t="shared" si="97"/>
        <v>6.5954482117974916E-2</v>
      </c>
      <c r="OW46" s="37">
        <f t="shared" si="97"/>
        <v>6.4766248574686436E-2</v>
      </c>
      <c r="OX46" s="37">
        <f t="shared" si="97"/>
        <v>6.4050518718989632E-2</v>
      </c>
      <c r="OY46" s="37">
        <f t="shared" si="97"/>
        <v>6.3435336162608894E-2</v>
      </c>
      <c r="OZ46" s="37">
        <f t="shared" si="97"/>
        <v>6.1615501850642282E-2</v>
      </c>
      <c r="PA46" s="37">
        <f t="shared" si="97"/>
        <v>6.5845369583687335E-2</v>
      </c>
      <c r="PB46" s="37">
        <f t="shared" si="97"/>
        <v>6.5677966101694921E-2</v>
      </c>
      <c r="PC46" s="37">
        <f t="shared" si="97"/>
        <v>6.4637197664720605E-2</v>
      </c>
      <c r="PD46" s="37">
        <f t="shared" si="97"/>
        <v>6.4637197664720605E-2</v>
      </c>
      <c r="PE46" s="37">
        <f t="shared" si="97"/>
        <v>6.4033264033264037E-2</v>
      </c>
      <c r="PF46" s="37">
        <f t="shared" si="97"/>
        <v>6.3478977741137671E-2</v>
      </c>
      <c r="PG46" s="37">
        <f t="shared" si="97"/>
        <v>6.1572402727637386E-2</v>
      </c>
      <c r="PH46" s="37">
        <f t="shared" si="97"/>
        <v>6.02125147579693E-2</v>
      </c>
      <c r="PI46" s="37">
        <f t="shared" si="97"/>
        <v>5.9651867787991392E-2</v>
      </c>
      <c r="PJ46" s="37">
        <f t="shared" si="97"/>
        <v>5.9456287893604534E-2</v>
      </c>
      <c r="PK46" s="37">
        <f t="shared" si="97"/>
        <v>5.9456287893604534E-2</v>
      </c>
      <c r="PL46" s="37">
        <f t="shared" si="97"/>
        <v>5.8697764820213799E-2</v>
      </c>
      <c r="PM46" s="37">
        <f t="shared" si="97"/>
        <v>5.8334943017191422E-2</v>
      </c>
      <c r="PN46" s="37">
        <f t="shared" si="97"/>
        <v>5.8301158301158298E-2</v>
      </c>
      <c r="PO46" s="37">
        <f t="shared" si="97"/>
        <v>5.8108108108108111E-2</v>
      </c>
      <c r="PP46" s="37">
        <f t="shared" si="97"/>
        <v>6.4013840830449822E-2</v>
      </c>
      <c r="PQ46" s="37">
        <f t="shared" si="97"/>
        <v>6.382160707420223E-2</v>
      </c>
      <c r="PR46" s="37">
        <f t="shared" si="97"/>
        <v>6.382160707420223E-2</v>
      </c>
      <c r="PS46" s="37">
        <f t="shared" si="97"/>
        <v>6.3846153846153844E-2</v>
      </c>
      <c r="PT46" s="37">
        <f t="shared" si="97"/>
        <v>6.3153890051360087E-2</v>
      </c>
      <c r="PU46" s="37">
        <f t="shared" si="97"/>
        <v>6.2642369020501146E-2</v>
      </c>
      <c r="PV46" s="37">
        <f t="shared" si="97"/>
        <v>6.2169312169312166E-2</v>
      </c>
      <c r="PW46" s="37">
        <f t="shared" si="97"/>
        <v>6.0830860534124627E-2</v>
      </c>
      <c r="PX46" s="37">
        <f t="shared" si="97"/>
        <v>6.0645400593471809E-2</v>
      </c>
      <c r="PY46" s="37">
        <f t="shared" si="97"/>
        <v>6.045994065281899E-2</v>
      </c>
      <c r="PZ46" s="37">
        <f t="shared" si="97"/>
        <v>5.9764619345347554E-2</v>
      </c>
      <c r="QA46" s="37">
        <f t="shared" si="97"/>
        <v>5.9775611550487398E-2</v>
      </c>
      <c r="QB46" s="37">
        <f t="shared" si="97"/>
        <v>5.8358771772311011E-2</v>
      </c>
      <c r="QC46" s="37">
        <f t="shared" si="97"/>
        <v>5.8358771772311011E-2</v>
      </c>
      <c r="QD46" s="37">
        <f t="shared" si="97"/>
        <v>5.7532306602938572E-2</v>
      </c>
      <c r="QE46" s="37">
        <f t="shared" si="97"/>
        <v>5.7532306602938572E-2</v>
      </c>
      <c r="QF46" s="37">
        <f t="shared" si="97"/>
        <v>6.1468212153143659E-2</v>
      </c>
      <c r="QG46" s="37">
        <f t="shared" si="97"/>
        <v>6.1468212153143659E-2</v>
      </c>
      <c r="QH46" s="37">
        <f t="shared" si="97"/>
        <v>6.1468212153143659E-2</v>
      </c>
      <c r="QI46" s="37">
        <f t="shared" si="97"/>
        <v>6.1116965226554271E-2</v>
      </c>
      <c r="QJ46" s="37">
        <f t="shared" si="97"/>
        <v>5.9223961878829133E-2</v>
      </c>
      <c r="QK46" s="37">
        <f t="shared" si="97"/>
        <v>5.7837384744341996E-2</v>
      </c>
      <c r="QL46" s="37">
        <f t="shared" si="97"/>
        <v>5.7837384744341996E-2</v>
      </c>
      <c r="QM46" s="37">
        <f t="shared" si="97"/>
        <v>5.7669740150880132E-2</v>
      </c>
      <c r="QN46" s="37">
        <f t="shared" si="97"/>
        <v>5.7119067443796835E-2</v>
      </c>
      <c r="QO46" s="37">
        <f t="shared" si="97"/>
        <v>5.2445401414949244E-2</v>
      </c>
      <c r="QP46" s="37">
        <f t="shared" si="97"/>
        <v>5.247768544167436E-2</v>
      </c>
      <c r="QQ46" s="37">
        <f t="shared" si="97"/>
        <v>5.2323791935980302E-2</v>
      </c>
      <c r="QR46" s="37">
        <f t="shared" si="97"/>
        <v>5.1978391005986273E-2</v>
      </c>
      <c r="QS46" s="37">
        <f t="shared" si="97"/>
        <v>5.1978391005986273E-2</v>
      </c>
      <c r="QT46" s="37">
        <f t="shared" si="97"/>
        <v>5.1978391005986273E-2</v>
      </c>
      <c r="QU46" s="37">
        <f t="shared" si="97"/>
        <v>5.1555425733898055E-2</v>
      </c>
      <c r="QV46" s="37">
        <f t="shared" si="97"/>
        <v>4.9964513839602556E-2</v>
      </c>
      <c r="QW46" s="37">
        <f t="shared" si="97"/>
        <v>4.9548277809147376E-2</v>
      </c>
      <c r="QX46" s="37">
        <f t="shared" si="97"/>
        <v>4.9548277809147376E-2</v>
      </c>
      <c r="QY46" s="37">
        <f t="shared" si="97"/>
        <v>4.926595143986448E-2</v>
      </c>
      <c r="QZ46" s="37">
        <f t="shared" si="97"/>
        <v>4.926595143986448E-2</v>
      </c>
      <c r="RA46" s="37">
        <f t="shared" si="97"/>
        <v>4.926595143986448E-2</v>
      </c>
      <c r="RB46" s="37">
        <f t="shared" si="97"/>
        <v>4.900437791272419E-2</v>
      </c>
      <c r="RC46" s="37">
        <f t="shared" si="97"/>
        <v>4.8369110677446335E-2</v>
      </c>
      <c r="RD46" s="37">
        <f t="shared" si="97"/>
        <v>4.7950933928073598E-2</v>
      </c>
      <c r="RE46" s="37">
        <f t="shared" si="97"/>
        <v>4.7572949799474483E-2</v>
      </c>
      <c r="RF46" s="37">
        <f t="shared" si="97"/>
        <v>4.7572949799474483E-2</v>
      </c>
      <c r="RG46" s="37">
        <f t="shared" si="97"/>
        <v>4.7572949799474483E-2</v>
      </c>
      <c r="RH46" s="37">
        <f t="shared" si="97"/>
        <v>4.8955884386668508E-2</v>
      </c>
      <c r="RI46" s="37">
        <f t="shared" si="97"/>
        <v>4.8219178082191783E-2</v>
      </c>
      <c r="RJ46" s="37">
        <f t="shared" si="97"/>
        <v>4.7716150081566065E-2</v>
      </c>
      <c r="RK46" s="37">
        <f t="shared" si="97"/>
        <v>4.7716150081566065E-2</v>
      </c>
      <c r="RL46" s="37">
        <f t="shared" si="97"/>
        <v>4.7709664265325538E-2</v>
      </c>
      <c r="RM46" s="37">
        <f t="shared" si="97"/>
        <v>4.6629363176125767E-2</v>
      </c>
      <c r="RN46" s="37">
        <f t="shared" si="97"/>
        <v>4.6629363176125767E-2</v>
      </c>
      <c r="RO46" s="37">
        <f t="shared" si="97"/>
        <v>4.6629363176125767E-2</v>
      </c>
      <c r="RP46" s="37">
        <f t="shared" si="97"/>
        <v>4.6259582342056571E-2</v>
      </c>
      <c r="RQ46" s="37">
        <f t="shared" si="97"/>
        <v>4.6259582342056571E-2</v>
      </c>
      <c r="RR46" s="37">
        <f t="shared" si="97"/>
        <v>4.6284051838138059E-2</v>
      </c>
      <c r="RS46" s="37">
        <f t="shared" si="97"/>
        <v>4.6157915619627031E-2</v>
      </c>
      <c r="RT46" s="37">
        <f t="shared" si="97"/>
        <v>4.6157915619627031E-2</v>
      </c>
      <c r="RU46" s="37">
        <f t="shared" si="97"/>
        <v>4.6157915619627031E-2</v>
      </c>
      <c r="RV46" s="37">
        <f t="shared" si="97"/>
        <v>4.6157915619627031E-2</v>
      </c>
      <c r="RW46" s="37">
        <f t="shared" si="97"/>
        <v>4.853855310144161E-2</v>
      </c>
      <c r="RX46" s="37">
        <f t="shared" si="97"/>
        <v>4.7360248447204968E-2</v>
      </c>
      <c r="RY46" s="37">
        <f t="shared" si="97"/>
        <v>4.6505717916137231E-2</v>
      </c>
      <c r="RZ46" s="37">
        <f t="shared" si="97"/>
        <v>4.6085858585858584E-2</v>
      </c>
      <c r="SA46" s="37">
        <f t="shared" si="97"/>
        <v>4.5959595959595957E-2</v>
      </c>
      <c r="SB46" s="37">
        <f t="shared" si="97"/>
        <v>4.5959595959595957E-2</v>
      </c>
      <c r="SC46" s="37">
        <f t="shared" si="97"/>
        <v>4.5959595959595957E-2</v>
      </c>
      <c r="SD46" s="37">
        <f t="shared" si="97"/>
        <v>4.479448683238986E-2</v>
      </c>
      <c r="SE46" s="37">
        <f t="shared" si="97"/>
        <v>4.4425301501353681E-2</v>
      </c>
      <c r="SF46" s="37">
        <f t="shared" si="97"/>
        <v>4.4278179811112477E-2</v>
      </c>
      <c r="SG46" s="37">
        <f t="shared" si="97"/>
        <v>4.3853255587949468E-2</v>
      </c>
      <c r="SH46" s="37">
        <f t="shared" si="97"/>
        <v>4.3610301263362489E-2</v>
      </c>
      <c r="SI46" s="37">
        <f t="shared" si="97"/>
        <v>4.3605004251184257E-2</v>
      </c>
      <c r="SJ46" s="37">
        <f t="shared" si="97"/>
        <v>4.3483541843799343E-2</v>
      </c>
      <c r="SK46" s="37">
        <f t="shared" si="97"/>
        <v>4.2792254362897443E-2</v>
      </c>
      <c r="SL46" s="37">
        <f t="shared" si="97"/>
        <v>4.1930194424923871E-2</v>
      </c>
      <c r="SM46" s="37">
        <f t="shared" si="97"/>
        <v>4.5502275113755687E-2</v>
      </c>
      <c r="SN46" s="37">
        <f t="shared" si="97"/>
        <v>4.5502275113755687E-2</v>
      </c>
      <c r="SO46" s="37">
        <f t="shared" si="97"/>
        <v>4.4686269969900438E-2</v>
      </c>
      <c r="SP46" s="37">
        <f t="shared" si="97"/>
        <v>4.4686269969900438E-2</v>
      </c>
      <c r="SQ46" s="37">
        <f t="shared" si="97"/>
        <v>4.4686269969900438E-2</v>
      </c>
      <c r="SR46" s="37">
        <f t="shared" si="97"/>
        <v>4.4570502431118313E-2</v>
      </c>
      <c r="SS46" s="37">
        <f t="shared" si="97"/>
        <v>4.3775649794801641E-2</v>
      </c>
      <c r="ST46" s="37">
        <f t="shared" si="97"/>
        <v>4.288280197575213E-2</v>
      </c>
      <c r="SU46" s="37">
        <f t="shared" si="97"/>
        <v>4.2422892773633224E-2</v>
      </c>
      <c r="SV46" s="37">
        <f t="shared" si="97"/>
        <v>4.2105263157894736E-2</v>
      </c>
      <c r="SW46" s="37">
        <f t="shared" si="97"/>
        <v>4.1883656509695291E-2</v>
      </c>
      <c r="SX46" s="37">
        <f t="shared" si="97"/>
        <v>4.1883656509695291E-2</v>
      </c>
      <c r="SY46" s="37">
        <f t="shared" si="97"/>
        <v>4.1777482269503549E-2</v>
      </c>
      <c r="SZ46" s="37">
        <f t="shared" si="97"/>
        <v>4.1666666666666664E-2</v>
      </c>
      <c r="TA46" s="37">
        <f t="shared" si="97"/>
        <v>4.4214694236691596E-2</v>
      </c>
      <c r="TB46" s="37">
        <f t="shared" si="97"/>
        <v>4.4219557804421959E-2</v>
      </c>
      <c r="TC46" s="37">
        <f t="shared" si="97"/>
        <v>4.3337296012104183E-2</v>
      </c>
      <c r="TD46" s="37">
        <f t="shared" si="97"/>
        <v>4.3337296012104183E-2</v>
      </c>
      <c r="TE46" s="37">
        <f t="shared" si="97"/>
        <v>4.3229222954717386E-2</v>
      </c>
      <c r="TF46" s="37">
        <f t="shared" si="97"/>
        <v>4.3047783039173483E-2</v>
      </c>
      <c r="TG46" s="37">
        <f t="shared" si="97"/>
        <v>4.1425020712510356E-2</v>
      </c>
      <c r="TH46" s="37">
        <f t="shared" si="97"/>
        <v>4.07725321888412E-2</v>
      </c>
      <c r="TI46" s="37">
        <f t="shared" si="97"/>
        <v>4.0678659035159444E-2</v>
      </c>
      <c r="TJ46" s="37">
        <f t="shared" si="97"/>
        <v>4.0474243663123466E-2</v>
      </c>
      <c r="TK46" s="37">
        <f t="shared" si="97"/>
        <v>4.037203597710548E-2</v>
      </c>
      <c r="TL46" s="37">
        <f t="shared" si="97"/>
        <v>4.037203597710548E-2</v>
      </c>
      <c r="TM46" s="37">
        <f t="shared" si="97"/>
        <v>3.9262820512820512E-2</v>
      </c>
      <c r="TN46" s="37">
        <f t="shared" si="97"/>
        <v>3.8090599123234294E-2</v>
      </c>
      <c r="TO46" s="37">
        <f t="shared" si="97"/>
        <v>3.7520391517128875E-2</v>
      </c>
      <c r="TP46" s="37">
        <f t="shared" si="97"/>
        <v>3.7419848789357835E-2</v>
      </c>
      <c r="TQ46" s="37">
        <f t="shared" si="97"/>
        <v>4.0099531055603405E-2</v>
      </c>
      <c r="TR46" s="37">
        <f t="shared" si="97"/>
        <v>4.0099531055603405E-2</v>
      </c>
      <c r="TS46" s="37">
        <f t="shared" si="97"/>
        <v>4.0099531055603405E-2</v>
      </c>
      <c r="TT46" s="37">
        <f t="shared" si="97"/>
        <v>4.0099531055603405E-2</v>
      </c>
      <c r="TU46" s="37">
        <f t="shared" si="97"/>
        <v>3.8330728927291113E-2</v>
      </c>
      <c r="TV46" s="37">
        <f t="shared" si="97"/>
        <v>3.8165842943437674E-2</v>
      </c>
      <c r="TW46" s="37">
        <f t="shared" si="97"/>
        <v>3.8018643757996712E-2</v>
      </c>
      <c r="TX46" s="37">
        <f t="shared" si="97"/>
        <v>3.7562076749435666E-2</v>
      </c>
      <c r="TY46" s="37">
        <f t="shared" si="97"/>
        <v>3.7562076749435666E-2</v>
      </c>
      <c r="TZ46" s="37">
        <f t="shared" si="97"/>
        <v>3.7562076749435666E-2</v>
      </c>
      <c r="UA46" s="37">
        <f t="shared" si="97"/>
        <v>3.7524806061699438E-2</v>
      </c>
      <c r="UB46" s="37">
        <f t="shared" si="97"/>
        <v>3.6285362853628537E-2</v>
      </c>
      <c r="UC46" s="37">
        <f t="shared" si="97"/>
        <v>3.6159382130946112E-2</v>
      </c>
      <c r="UD46" s="37">
        <f t="shared" si="97"/>
        <v>3.6159382130946112E-2</v>
      </c>
      <c r="UE46" s="37">
        <f t="shared" si="97"/>
        <v>3.5914998243765366E-2</v>
      </c>
      <c r="UF46" s="37">
        <f t="shared" si="97"/>
        <v>3.7934668071654375E-2</v>
      </c>
      <c r="UG46" s="37">
        <f t="shared" si="97"/>
        <v>3.7934668071654375E-2</v>
      </c>
      <c r="UH46" s="37">
        <f t="shared" si="97"/>
        <v>3.7759044608359674E-2</v>
      </c>
      <c r="UI46" s="37">
        <f t="shared" si="97"/>
        <v>3.7681159420289857E-2</v>
      </c>
      <c r="UJ46" s="37">
        <f t="shared" si="97"/>
        <v>3.7207684951751717E-2</v>
      </c>
      <c r="UK46" s="37">
        <f t="shared" si="97"/>
        <v>3.7162455500564386E-2</v>
      </c>
      <c r="UL46" s="37">
        <f t="shared" si="97"/>
        <v>3.7075627333506993E-2</v>
      </c>
      <c r="UM46" s="37">
        <f t="shared" si="97"/>
        <v>3.7075627333506993E-2</v>
      </c>
      <c r="UN46" s="37">
        <f t="shared" si="97"/>
        <v>3.6988799166449593E-2</v>
      </c>
      <c r="UO46" s="37">
        <f t="shared" si="97"/>
        <v>3.6741767764298092E-2</v>
      </c>
      <c r="UP46" s="37">
        <f t="shared" si="97"/>
        <v>3.6741767764298092E-2</v>
      </c>
      <c r="UQ46" s="37">
        <f t="shared" si="97"/>
        <v>3.6602209944751378E-2</v>
      </c>
      <c r="UR46" s="37">
        <f t="shared" si="97"/>
        <v>3.6564332528458088E-2</v>
      </c>
      <c r="US46" s="37">
        <f t="shared" si="97"/>
        <v>3.6440385940730534E-2</v>
      </c>
      <c r="UT46" s="37">
        <f t="shared" si="97"/>
        <v>3.635423845623708E-2</v>
      </c>
      <c r="UU46" s="37">
        <f t="shared" si="97"/>
        <v>3.635423845623708E-2</v>
      </c>
      <c r="UV46" s="37">
        <f t="shared" si="97"/>
        <v>3.7388008270158514E-2</v>
      </c>
      <c r="UW46" s="37">
        <f t="shared" si="97"/>
        <v>3.6436907060700192E-2</v>
      </c>
      <c r="UX46" s="37">
        <f t="shared" si="97"/>
        <v>3.6261619629846746E-2</v>
      </c>
      <c r="UY46" s="37">
        <f t="shared" si="97"/>
        <v>3.6008316008316006E-2</v>
      </c>
      <c r="UZ46" s="37">
        <f t="shared" si="97"/>
        <v>3.6008316008316006E-2</v>
      </c>
      <c r="VA46" s="37">
        <f t="shared" si="97"/>
        <v>3.6008316008316006E-2</v>
      </c>
      <c r="VB46" s="37">
        <f t="shared" si="97"/>
        <v>3.6008316008316006E-2</v>
      </c>
      <c r="VC46" s="37">
        <f t="shared" si="97"/>
        <v>3.5972418376671929E-2</v>
      </c>
      <c r="VD46" s="37">
        <f t="shared" si="97"/>
        <v>3.5960468399634585E-2</v>
      </c>
      <c r="VE46" s="37">
        <f t="shared" si="97"/>
        <v>3.5623200329082685E-2</v>
      </c>
      <c r="VF46" s="37">
        <f t="shared" si="97"/>
        <v>3.5623200329082685E-2</v>
      </c>
      <c r="VG46" s="183">
        <f t="shared" si="97"/>
        <v>3.5136234241561613E-2</v>
      </c>
      <c r="VH46" s="183">
        <f t="shared" si="97"/>
        <v>3.4893134715025906E-2</v>
      </c>
      <c r="VI46" s="183">
        <f t="shared" si="97"/>
        <v>3.4971262041609323E-2</v>
      </c>
      <c r="VJ46" s="183">
        <f t="shared" si="97"/>
        <v>3.5052214037076014E-2</v>
      </c>
      <c r="VK46" s="183">
        <f t="shared" si="97"/>
        <v>3.6269430051813469E-2</v>
      </c>
      <c r="VL46" s="183">
        <f t="shared" si="97"/>
        <v>3.6269430051813469E-2</v>
      </c>
      <c r="VM46" s="183">
        <f t="shared" si="97"/>
        <v>3.5989717223650387E-2</v>
      </c>
      <c r="VN46" s="183">
        <f t="shared" si="97"/>
        <v>3.5909383033419021E-2</v>
      </c>
      <c r="VO46" s="183">
        <f t="shared" si="97"/>
        <v>3.5575009948269003E-2</v>
      </c>
      <c r="VP46" s="183">
        <f t="shared" si="97"/>
        <v>3.5575009948269003E-2</v>
      </c>
      <c r="VQ46" s="183">
        <f t="shared" si="97"/>
        <v>3.5575009948269003E-2</v>
      </c>
      <c r="VR46" s="183">
        <f t="shared" si="97"/>
        <v>3.5481822511509761E-2</v>
      </c>
      <c r="VS46" s="183">
        <f t="shared" ref="VS46:WH46" si="98">VS45/VS8</f>
        <v>3.5027094950129588E-2</v>
      </c>
      <c r="VT46" s="183">
        <f t="shared" si="98"/>
        <v>3.5027094950129588E-2</v>
      </c>
      <c r="VU46" s="183">
        <f t="shared" si="98"/>
        <v>3.4948558862797456E-2</v>
      </c>
      <c r="VV46" s="183">
        <f t="shared" si="98"/>
        <v>3.4847298355520751E-2</v>
      </c>
      <c r="VW46" s="183">
        <f t="shared" si="98"/>
        <v>3.4847298355520751E-2</v>
      </c>
      <c r="VX46" s="183">
        <f t="shared" si="98"/>
        <v>3.4768989819890371E-2</v>
      </c>
      <c r="VY46" s="183">
        <f t="shared" si="98"/>
        <v>3.4690681284259985E-2</v>
      </c>
      <c r="VZ46" s="183">
        <f t="shared" si="98"/>
        <v>3.6335160532498044E-2</v>
      </c>
      <c r="WA46" s="183">
        <f t="shared" si="98"/>
        <v>3.6033237555331207E-2</v>
      </c>
      <c r="WB46" s="183">
        <f t="shared" si="98"/>
        <v>3.5800264036654497E-2</v>
      </c>
      <c r="WC46" s="183">
        <f t="shared" si="98"/>
        <v>3.5722606197095594E-2</v>
      </c>
      <c r="WD46" s="183">
        <f t="shared" si="98"/>
        <v>3.5722606197095594E-2</v>
      </c>
      <c r="WE46" s="183">
        <f t="shared" si="98"/>
        <v>3.5722606197095594E-2</v>
      </c>
      <c r="WF46" s="183">
        <f t="shared" si="98"/>
        <v>3.5722606197095594E-2</v>
      </c>
      <c r="WG46" s="183">
        <f t="shared" si="98"/>
        <v>3.5197796311883085E-2</v>
      </c>
      <c r="WH46" s="183">
        <f t="shared" si="98"/>
        <v>3.5197796311883085E-2</v>
      </c>
      <c r="WI46" s="183">
        <v>3.5168195720000003E-2</v>
      </c>
      <c r="WJ46" s="183">
        <f t="shared" ref="WJ46:WO46" si="99">WJ45/WJ8</f>
        <v>3.4780631961809499E-2</v>
      </c>
      <c r="WK46" s="183">
        <f t="shared" si="99"/>
        <v>3.4704857164507087E-2</v>
      </c>
      <c r="WL46" s="183">
        <f t="shared" si="99"/>
        <v>3.4704857164507087E-2</v>
      </c>
      <c r="WM46" s="183">
        <f t="shared" si="99"/>
        <v>3.4629082367204668E-2</v>
      </c>
      <c r="WN46" s="183">
        <f t="shared" si="99"/>
        <v>3.2570736226926092E-2</v>
      </c>
      <c r="WO46" s="183">
        <f t="shared" si="99"/>
        <v>3.2380151387720775E-2</v>
      </c>
      <c r="WP46" s="183">
        <v>3.2289628180000002E-2</v>
      </c>
      <c r="WQ46" s="183">
        <f t="shared" ref="WQ46:YB46" si="100">WQ45/WQ8</f>
        <v>3.2289628180039137E-2</v>
      </c>
      <c r="WR46" s="183">
        <f t="shared" si="100"/>
        <v>3.0956218103679829E-2</v>
      </c>
      <c r="WS46" s="183">
        <f t="shared" si="100"/>
        <v>3.0811388851757788E-2</v>
      </c>
      <c r="WT46" s="183">
        <f t="shared" si="100"/>
        <v>3.0406965239759911E-2</v>
      </c>
      <c r="WU46" s="183">
        <f t="shared" si="100"/>
        <v>3.0408970976253297E-2</v>
      </c>
      <c r="WV46" s="183">
        <f t="shared" si="100"/>
        <v>3.0343007915567283E-2</v>
      </c>
      <c r="WW46" s="183">
        <f t="shared" si="100"/>
        <v>2.9971331769611677E-2</v>
      </c>
      <c r="WX46" s="183">
        <f t="shared" si="100"/>
        <v>2.9820686070686071E-2</v>
      </c>
      <c r="WY46" s="183">
        <f t="shared" si="100"/>
        <v>2.9820686070686071E-2</v>
      </c>
      <c r="WZ46" s="183">
        <f t="shared" si="100"/>
        <v>2.9820686070686071E-2</v>
      </c>
      <c r="XA46" s="183">
        <f t="shared" si="100"/>
        <v>2.9820686070686071E-2</v>
      </c>
      <c r="XB46" s="183">
        <f t="shared" si="100"/>
        <v>2.9493028336438989E-2</v>
      </c>
      <c r="XC46" s="183">
        <f t="shared" si="100"/>
        <v>2.9308473277568484E-2</v>
      </c>
      <c r="XD46" s="183">
        <f t="shared" si="100"/>
        <v>2.9282296650717705E-2</v>
      </c>
      <c r="XE46" s="183">
        <f t="shared" si="100"/>
        <v>3.1085118555718008E-2</v>
      </c>
      <c r="XF46" s="183">
        <f t="shared" si="100"/>
        <v>3.095798105651262E-2</v>
      </c>
      <c r="XG46" s="183">
        <f t="shared" si="100"/>
        <v>3.095798105651262E-2</v>
      </c>
      <c r="XH46" s="183">
        <f t="shared" si="100"/>
        <v>3.0867718831209989E-2</v>
      </c>
      <c r="XI46" s="183">
        <f t="shared" si="100"/>
        <v>3.0738093732211751E-2</v>
      </c>
      <c r="XJ46" s="183">
        <f t="shared" si="100"/>
        <v>3.061031681048057E-2</v>
      </c>
      <c r="XK46" s="183">
        <f t="shared" si="100"/>
        <v>3.0453035904505293E-2</v>
      </c>
      <c r="XL46" s="183">
        <f t="shared" si="100"/>
        <v>3.0310589996257953E-2</v>
      </c>
      <c r="XM46" s="183">
        <f t="shared" si="100"/>
        <v>3.0310589996257953E-2</v>
      </c>
      <c r="XN46" s="183">
        <f t="shared" si="100"/>
        <v>3.0310589996257953E-2</v>
      </c>
      <c r="XO46" s="183">
        <f t="shared" si="100"/>
        <v>3.0310589996257953E-2</v>
      </c>
      <c r="XP46" s="183">
        <f t="shared" si="100"/>
        <v>2.9749125927743359E-2</v>
      </c>
      <c r="XQ46" s="183">
        <f t="shared" si="100"/>
        <v>2.9812292970187709E-2</v>
      </c>
      <c r="XR46" s="183">
        <f t="shared" si="100"/>
        <v>2.9812292970187709E-2</v>
      </c>
      <c r="XS46" s="183">
        <f t="shared" si="100"/>
        <v>2.9812292970187709E-2</v>
      </c>
      <c r="XT46" s="183">
        <f t="shared" si="100"/>
        <v>3.0732425469267573E-2</v>
      </c>
      <c r="XU46" s="183">
        <f t="shared" si="100"/>
        <v>3.0732425469267573E-2</v>
      </c>
      <c r="XV46" s="183">
        <f t="shared" si="100"/>
        <v>3.0732425469267573E-2</v>
      </c>
      <c r="XW46" s="183">
        <f t="shared" si="100"/>
        <v>3.0730540391339017E-2</v>
      </c>
      <c r="XX46" s="183">
        <f t="shared" si="100"/>
        <v>3.0730540391339017E-2</v>
      </c>
      <c r="XY46" s="183">
        <f t="shared" si="100"/>
        <v>3.0730540391339017E-2</v>
      </c>
      <c r="XZ46" s="183">
        <f t="shared" si="100"/>
        <v>3.0732425469267573E-2</v>
      </c>
      <c r="YA46" s="183">
        <f t="shared" si="100"/>
        <v>3.0732425469267573E-2</v>
      </c>
      <c r="YB46" s="183">
        <f t="shared" si="100"/>
        <v>3.0732425469267573E-2</v>
      </c>
      <c r="YC46" s="184">
        <v>0.03</v>
      </c>
      <c r="YD46" s="184">
        <f t="shared" ref="YD46:YF46" si="101">YD45/YD8</f>
        <v>3.0732425469267573E-2</v>
      </c>
      <c r="YE46" s="184">
        <f t="shared" si="101"/>
        <v>3.0671083302662251E-2</v>
      </c>
      <c r="YF46" s="184">
        <f t="shared" si="101"/>
        <v>3.0671083302662251E-2</v>
      </c>
      <c r="YG46" s="184">
        <f t="shared" ref="YG46:YL46" si="102">YG45/YG8</f>
        <v>3.0671083302662251E-2</v>
      </c>
      <c r="YH46" s="184">
        <f t="shared" si="102"/>
        <v>3.0671083302662251E-2</v>
      </c>
      <c r="YI46" s="184">
        <f t="shared" si="102"/>
        <v>3.0671083302662251E-2</v>
      </c>
      <c r="YJ46" s="184">
        <f t="shared" si="102"/>
        <v>3.2574688669406784E-2</v>
      </c>
      <c r="YK46" s="184">
        <f t="shared" si="102"/>
        <v>3.2574688669406784E-2</v>
      </c>
      <c r="YL46" s="184">
        <f t="shared" si="102"/>
        <v>3.2574688669406784E-2</v>
      </c>
      <c r="YM46" s="184">
        <f>YM45/YM8</f>
        <v>3.2574688669406784E-2</v>
      </c>
    </row>
    <row r="47" spans="1:663" ht="15.75" customHeight="1" x14ac:dyDescent="0.2">
      <c r="A47" s="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175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175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175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/>
      <c r="RK47" s="84"/>
      <c r="RL47" s="84"/>
      <c r="RM47" s="84"/>
      <c r="RN47" s="84"/>
      <c r="RO47" s="84"/>
      <c r="RP47" s="84"/>
      <c r="RQ47" s="84"/>
      <c r="RR47" s="84"/>
      <c r="RS47" s="84"/>
      <c r="RT47" s="84"/>
      <c r="RU47" s="84"/>
      <c r="RV47" s="84"/>
      <c r="RW47" s="84"/>
      <c r="RX47" s="84"/>
      <c r="RY47" s="84"/>
      <c r="RZ47" s="84"/>
      <c r="SA47" s="84"/>
      <c r="SB47" s="84"/>
      <c r="SC47" s="84"/>
      <c r="SD47" s="84"/>
      <c r="SE47" s="84"/>
      <c r="SF47" s="84"/>
      <c r="SG47" s="84"/>
      <c r="SH47" s="84"/>
      <c r="SI47" s="84"/>
      <c r="SJ47" s="84"/>
      <c r="SK47" s="84"/>
      <c r="SL47" s="84"/>
      <c r="SM47" s="84"/>
      <c r="SN47" s="84"/>
      <c r="SO47" s="84"/>
      <c r="SP47" s="84"/>
      <c r="SQ47" s="84"/>
      <c r="SR47" s="84"/>
      <c r="SS47" s="84"/>
      <c r="ST47" s="84"/>
      <c r="SU47" s="84"/>
      <c r="SV47" s="84"/>
      <c r="SW47" s="84"/>
      <c r="SX47" s="84"/>
      <c r="SY47" s="84"/>
      <c r="SZ47" s="84"/>
      <c r="TA47" s="84"/>
      <c r="TB47" s="84"/>
      <c r="TC47" s="84"/>
      <c r="TD47" s="84"/>
      <c r="TE47" s="84"/>
      <c r="TF47" s="84"/>
      <c r="TG47" s="84"/>
      <c r="TH47" s="84"/>
      <c r="TI47" s="84"/>
      <c r="TJ47" s="84"/>
      <c r="TK47" s="84"/>
      <c r="TL47" s="84"/>
      <c r="TM47" s="84"/>
      <c r="TN47" s="84"/>
      <c r="TO47" s="84"/>
      <c r="TP47" s="84"/>
      <c r="TQ47" s="84"/>
      <c r="TR47" s="84"/>
      <c r="TS47" s="84"/>
      <c r="TT47" s="84"/>
      <c r="TU47" s="84"/>
      <c r="TV47" s="84"/>
      <c r="TW47" s="84"/>
      <c r="TX47" s="84"/>
      <c r="TY47" s="84"/>
      <c r="TZ47" s="84"/>
      <c r="UA47" s="84"/>
      <c r="UB47" s="84"/>
      <c r="UC47" s="84"/>
      <c r="UD47" s="84"/>
      <c r="UE47" s="84"/>
      <c r="UF47" s="84"/>
      <c r="UG47" s="84"/>
      <c r="UH47" s="84"/>
      <c r="UI47" s="84"/>
      <c r="UJ47" s="84"/>
      <c r="UK47" s="84"/>
      <c r="UL47" s="84"/>
      <c r="UM47" s="84"/>
      <c r="UN47" s="84"/>
      <c r="UO47" s="84"/>
      <c r="UP47" s="84"/>
      <c r="UQ47" s="84"/>
      <c r="UR47" s="84"/>
      <c r="US47" s="84"/>
      <c r="UT47" s="84"/>
      <c r="UU47" s="84"/>
      <c r="UV47" s="84"/>
      <c r="UW47" s="84"/>
      <c r="UX47" s="84"/>
      <c r="UY47" s="84"/>
      <c r="UZ47" s="84"/>
      <c r="VA47" s="84"/>
      <c r="VB47" s="84"/>
      <c r="VC47" s="84"/>
      <c r="VD47" s="84"/>
      <c r="VE47" s="84"/>
      <c r="VF47" s="84"/>
      <c r="VG47" s="179"/>
      <c r="VH47" s="179"/>
      <c r="VI47" s="179"/>
      <c r="VJ47" s="179"/>
      <c r="VK47" s="179"/>
      <c r="VL47" s="179"/>
      <c r="VM47" s="179"/>
      <c r="VN47" s="179"/>
      <c r="VO47" s="179"/>
      <c r="VP47" s="179"/>
      <c r="VQ47" s="179"/>
      <c r="VR47" s="179"/>
      <c r="VS47" s="179"/>
      <c r="VT47" s="179"/>
      <c r="VU47" s="179"/>
      <c r="VV47" s="179"/>
      <c r="VW47" s="179"/>
      <c r="VX47" s="179"/>
      <c r="VY47" s="179"/>
      <c r="VZ47" s="179"/>
      <c r="WA47" s="179"/>
      <c r="WB47" s="179"/>
      <c r="WC47" s="179"/>
      <c r="WD47" s="179"/>
      <c r="WE47" s="179"/>
      <c r="WF47" s="179"/>
      <c r="WG47" s="179"/>
      <c r="WH47" s="179"/>
      <c r="WI47" s="179"/>
      <c r="WJ47" s="179"/>
      <c r="WK47" s="179"/>
      <c r="WL47" s="179"/>
      <c r="WM47" s="179"/>
      <c r="WN47" s="179"/>
      <c r="WO47" s="179"/>
      <c r="WP47" s="179"/>
      <c r="WQ47" s="179"/>
      <c r="WR47" s="179"/>
      <c r="WS47" s="179"/>
      <c r="WT47" s="179"/>
      <c r="WU47" s="179"/>
      <c r="WV47" s="179"/>
      <c r="WW47" s="179"/>
      <c r="WX47" s="179"/>
      <c r="WY47" s="179"/>
      <c r="WZ47" s="179"/>
      <c r="XA47" s="179"/>
      <c r="XB47" s="179"/>
      <c r="XC47" s="179"/>
      <c r="XD47" s="179"/>
      <c r="XE47" s="179"/>
      <c r="XF47" s="179"/>
      <c r="XG47" s="179"/>
      <c r="XH47" s="179"/>
      <c r="XI47" s="179"/>
      <c r="XJ47" s="179"/>
      <c r="XK47" s="179"/>
      <c r="XL47" s="179"/>
      <c r="XM47" s="179"/>
      <c r="XN47" s="179"/>
      <c r="XO47" s="179"/>
      <c r="XP47" s="179"/>
      <c r="XQ47" s="179"/>
      <c r="XR47" s="179"/>
      <c r="XS47" s="179"/>
      <c r="XT47" s="179"/>
      <c r="XU47" s="179"/>
      <c r="XV47" s="179"/>
      <c r="XW47" s="179"/>
      <c r="XX47" s="179"/>
      <c r="XY47" s="179"/>
      <c r="XZ47" s="179"/>
      <c r="YA47" s="179"/>
      <c r="YB47" s="179"/>
      <c r="YC47" s="180"/>
      <c r="YD47" s="180"/>
      <c r="YE47" s="180"/>
      <c r="YF47" s="180"/>
      <c r="YG47" s="180"/>
      <c r="YH47" s="180"/>
      <c r="YI47" s="180"/>
      <c r="YJ47" s="180"/>
      <c r="YK47" s="180"/>
      <c r="YL47" s="180"/>
      <c r="YM47" s="180"/>
    </row>
    <row r="48" spans="1:663" ht="15.75" customHeight="1" x14ac:dyDescent="0.2">
      <c r="A48" s="21"/>
      <c r="B48" s="185" t="s">
        <v>111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  <c r="HI48" s="33"/>
      <c r="HJ48" s="33"/>
      <c r="HK48" s="33"/>
      <c r="HL48" s="33"/>
      <c r="HM48" s="33"/>
      <c r="HN48" s="33"/>
      <c r="HO48" s="33"/>
      <c r="HP48" s="33"/>
      <c r="HQ48" s="33"/>
      <c r="HR48" s="33"/>
      <c r="HS48" s="33"/>
      <c r="HT48" s="33"/>
      <c r="HU48" s="33"/>
      <c r="HV48" s="33"/>
      <c r="HW48" s="33"/>
      <c r="HX48" s="33"/>
      <c r="HY48" s="33"/>
      <c r="HZ48" s="33"/>
      <c r="IA48" s="33"/>
      <c r="IB48" s="33"/>
      <c r="IC48" s="33"/>
      <c r="ID48" s="33"/>
      <c r="IE48" s="33"/>
      <c r="IF48" s="33"/>
      <c r="IG48" s="33"/>
      <c r="IH48" s="33"/>
      <c r="II48" s="33"/>
      <c r="IJ48" s="33"/>
      <c r="IK48" s="33"/>
      <c r="IL48" s="33"/>
      <c r="IM48" s="33"/>
      <c r="IN48" s="33"/>
      <c r="IO48" s="33"/>
      <c r="IP48" s="33"/>
      <c r="IQ48" s="33"/>
      <c r="IR48" s="33"/>
      <c r="IS48" s="33"/>
      <c r="IT48" s="33"/>
      <c r="IU48" s="33"/>
      <c r="IV48" s="33"/>
      <c r="IW48" s="33"/>
      <c r="IX48" s="33"/>
      <c r="IY48" s="33"/>
      <c r="IZ48" s="33"/>
      <c r="JA48" s="33"/>
      <c r="JB48" s="33"/>
      <c r="JC48" s="33"/>
      <c r="JD48" s="33"/>
      <c r="JE48" s="33"/>
      <c r="JF48" s="33"/>
      <c r="JG48" s="33"/>
      <c r="JH48" s="33"/>
      <c r="JI48" s="33"/>
      <c r="JJ48" s="33"/>
      <c r="JK48" s="33"/>
      <c r="JL48" s="33"/>
      <c r="JM48" s="33"/>
      <c r="JN48" s="33"/>
      <c r="JO48" s="33"/>
      <c r="JP48" s="33"/>
      <c r="JQ48" s="33"/>
      <c r="JR48" s="33"/>
      <c r="JS48" s="33"/>
      <c r="JT48" s="33"/>
      <c r="JU48" s="33"/>
      <c r="JV48" s="33"/>
      <c r="JW48" s="33"/>
      <c r="JX48" s="33"/>
      <c r="JY48" s="33"/>
      <c r="JZ48" s="33"/>
      <c r="KA48" s="33"/>
      <c r="KB48" s="33"/>
      <c r="KC48" s="33"/>
      <c r="KD48" s="33"/>
      <c r="KE48" s="33"/>
      <c r="KF48" s="33"/>
      <c r="KG48" s="33"/>
      <c r="KH48" s="33"/>
      <c r="KI48" s="33"/>
      <c r="KJ48" s="33"/>
      <c r="KK48" s="33"/>
      <c r="KL48" s="33"/>
      <c r="KM48" s="33"/>
      <c r="KN48" s="33"/>
      <c r="KO48" s="33"/>
      <c r="KP48" s="33"/>
      <c r="KQ48" s="33"/>
      <c r="KR48" s="33"/>
      <c r="KS48" s="33"/>
      <c r="KT48" s="33"/>
      <c r="KU48" s="33"/>
      <c r="KV48" s="33"/>
      <c r="KW48" s="33"/>
      <c r="KX48" s="33"/>
      <c r="KY48" s="33"/>
      <c r="KZ48" s="33"/>
      <c r="LA48" s="33"/>
      <c r="LB48" s="33"/>
      <c r="LC48" s="33"/>
      <c r="LD48" s="33"/>
      <c r="LE48" s="33"/>
      <c r="LF48" s="33"/>
      <c r="LG48" s="33"/>
      <c r="LH48" s="33"/>
      <c r="LI48" s="33"/>
      <c r="LJ48" s="33"/>
      <c r="LK48" s="33"/>
      <c r="LL48" s="33"/>
      <c r="LM48" s="33"/>
      <c r="LN48" s="33"/>
      <c r="LO48" s="33"/>
      <c r="LP48" s="33"/>
      <c r="LQ48" s="33"/>
      <c r="LR48" s="33"/>
      <c r="LS48" s="33"/>
      <c r="LT48" s="33"/>
      <c r="LU48" s="33"/>
      <c r="LV48" s="33"/>
      <c r="LW48" s="33"/>
      <c r="LX48" s="33"/>
      <c r="LY48" s="33"/>
      <c r="LZ48" s="33"/>
      <c r="MA48" s="33"/>
      <c r="MB48" s="33"/>
      <c r="MC48" s="33"/>
      <c r="MD48" s="33"/>
      <c r="ME48" s="33"/>
      <c r="MF48" s="33"/>
      <c r="MG48" s="33"/>
      <c r="MH48" s="33"/>
      <c r="MI48" s="33"/>
      <c r="MJ48" s="33"/>
      <c r="MK48" s="33"/>
      <c r="ML48" s="33"/>
      <c r="MM48" s="33"/>
      <c r="MN48" s="33"/>
      <c r="MO48" s="33"/>
      <c r="MP48" s="33"/>
      <c r="MQ48" s="33"/>
      <c r="MR48" s="33"/>
      <c r="MS48" s="33"/>
      <c r="MT48" s="33"/>
      <c r="MU48" s="33"/>
      <c r="MV48" s="33"/>
      <c r="MW48" s="33"/>
      <c r="MX48" s="33"/>
      <c r="MY48" s="33"/>
      <c r="MZ48" s="33"/>
      <c r="NA48" s="33"/>
      <c r="NB48" s="33"/>
      <c r="NC48" s="33"/>
      <c r="ND48" s="33"/>
      <c r="NE48" s="33"/>
      <c r="NF48" s="33"/>
      <c r="NG48" s="33"/>
      <c r="NH48" s="33"/>
      <c r="NI48" s="33"/>
      <c r="NJ48" s="33"/>
      <c r="NK48" s="33"/>
      <c r="NL48" s="33"/>
      <c r="NM48" s="33"/>
      <c r="NN48" s="33"/>
      <c r="NO48" s="33"/>
      <c r="NP48" s="33"/>
      <c r="NQ48" s="33"/>
      <c r="NR48" s="33"/>
      <c r="NS48" s="33"/>
      <c r="NT48" s="33"/>
      <c r="NU48" s="33"/>
      <c r="NV48" s="33"/>
      <c r="NW48" s="33"/>
      <c r="NX48" s="33"/>
      <c r="NY48" s="33"/>
      <c r="NZ48" s="33"/>
      <c r="OA48" s="33"/>
      <c r="OB48" s="33"/>
      <c r="OC48" s="33"/>
      <c r="OD48" s="33"/>
      <c r="OE48" s="33"/>
      <c r="OF48" s="33"/>
      <c r="OG48" s="33"/>
      <c r="OH48" s="33"/>
      <c r="OI48" s="33"/>
      <c r="OJ48" s="33"/>
      <c r="OK48" s="33"/>
      <c r="OL48" s="33"/>
      <c r="OM48" s="33"/>
      <c r="ON48" s="33"/>
      <c r="OO48" s="33"/>
      <c r="OP48" s="33"/>
      <c r="OQ48" s="33"/>
      <c r="OR48" s="33"/>
      <c r="OS48" s="33"/>
      <c r="OT48" s="33"/>
      <c r="OU48" s="33"/>
      <c r="OV48" s="33"/>
      <c r="OW48" s="33"/>
      <c r="OX48" s="33"/>
      <c r="OY48" s="33"/>
      <c r="OZ48" s="33"/>
      <c r="PA48" s="33"/>
      <c r="PB48" s="33"/>
      <c r="PC48" s="33"/>
      <c r="PD48" s="33"/>
      <c r="PE48" s="33"/>
      <c r="PF48" s="33"/>
      <c r="PG48" s="33"/>
      <c r="PH48" s="33"/>
      <c r="PI48" s="33"/>
      <c r="PJ48" s="33"/>
      <c r="PK48" s="33"/>
      <c r="PL48" s="33"/>
      <c r="PM48" s="33"/>
      <c r="PN48" s="33"/>
      <c r="PO48" s="33"/>
      <c r="PP48" s="33"/>
      <c r="PQ48" s="33"/>
      <c r="PR48" s="33"/>
      <c r="PS48" s="33"/>
      <c r="PT48" s="33"/>
      <c r="PU48" s="33"/>
      <c r="PV48" s="33"/>
      <c r="PW48" s="33"/>
      <c r="PX48" s="33"/>
      <c r="PY48" s="33"/>
      <c r="PZ48" s="33"/>
      <c r="QA48" s="33"/>
      <c r="QB48" s="33"/>
      <c r="QC48" s="33"/>
      <c r="QD48" s="33"/>
      <c r="QE48" s="33"/>
      <c r="QF48" s="33"/>
      <c r="QG48" s="33"/>
      <c r="QH48" s="33"/>
      <c r="QI48" s="33"/>
      <c r="QJ48" s="33"/>
      <c r="QK48" s="33"/>
      <c r="QL48" s="33"/>
      <c r="QM48" s="33"/>
      <c r="QN48" s="33"/>
      <c r="QO48" s="33"/>
      <c r="QP48" s="33"/>
      <c r="QQ48" s="33"/>
      <c r="QR48" s="33"/>
      <c r="QS48" s="33"/>
      <c r="QT48" s="33"/>
      <c r="QU48" s="33"/>
      <c r="QV48" s="33"/>
      <c r="QW48" s="33"/>
      <c r="QX48" s="33"/>
      <c r="QY48" s="33"/>
      <c r="QZ48" s="33"/>
      <c r="RA48" s="33"/>
      <c r="RB48" s="33"/>
      <c r="RC48" s="33"/>
      <c r="RD48" s="33"/>
      <c r="RE48" s="33"/>
      <c r="RF48" s="33"/>
      <c r="RG48" s="33"/>
      <c r="RH48" s="33"/>
      <c r="RI48" s="33"/>
      <c r="RJ48" s="33"/>
      <c r="RK48" s="33"/>
      <c r="RL48" s="33"/>
      <c r="RM48" s="33"/>
      <c r="RN48" s="33"/>
      <c r="RO48" s="33"/>
      <c r="RP48" s="33"/>
      <c r="RQ48" s="33"/>
      <c r="RR48" s="33"/>
      <c r="RS48" s="33"/>
      <c r="RT48" s="33"/>
      <c r="RU48" s="33"/>
      <c r="RV48" s="33"/>
      <c r="RW48" s="33"/>
      <c r="RX48" s="33"/>
      <c r="RY48" s="33"/>
      <c r="RZ48" s="33"/>
      <c r="SA48" s="33"/>
      <c r="SB48" s="33"/>
      <c r="SC48" s="33"/>
      <c r="SD48" s="33"/>
      <c r="SE48" s="33"/>
      <c r="SF48" s="33"/>
      <c r="SG48" s="33"/>
      <c r="SH48" s="33"/>
      <c r="SI48" s="33"/>
      <c r="SJ48" s="33"/>
      <c r="SK48" s="33"/>
      <c r="SL48" s="33"/>
      <c r="SM48" s="33"/>
      <c r="SN48" s="33"/>
      <c r="SO48" s="33"/>
      <c r="SP48" s="33"/>
      <c r="SQ48" s="33"/>
      <c r="SR48" s="33"/>
      <c r="SS48" s="33"/>
      <c r="ST48" s="33"/>
      <c r="SU48" s="33"/>
      <c r="SV48" s="33"/>
      <c r="SW48" s="33"/>
      <c r="SX48" s="33"/>
      <c r="SY48" s="33"/>
      <c r="SZ48" s="33"/>
      <c r="TA48" s="33"/>
      <c r="TB48" s="33"/>
      <c r="TC48" s="33"/>
      <c r="TD48" s="33"/>
      <c r="TE48" s="33"/>
      <c r="TF48" s="33"/>
      <c r="TG48" s="33"/>
      <c r="TH48" s="33"/>
      <c r="TI48" s="33"/>
      <c r="TJ48" s="33"/>
      <c r="TK48" s="33"/>
      <c r="TL48" s="33"/>
      <c r="TM48" s="33"/>
      <c r="TN48" s="33"/>
      <c r="TO48" s="33"/>
      <c r="TP48" s="33"/>
      <c r="TQ48" s="33"/>
      <c r="TR48" s="33"/>
      <c r="TS48" s="33"/>
      <c r="TT48" s="33"/>
      <c r="TU48" s="33"/>
      <c r="TV48" s="33"/>
      <c r="TW48" s="33"/>
      <c r="TX48" s="33"/>
      <c r="TY48" s="33"/>
      <c r="TZ48" s="33"/>
      <c r="UA48" s="33"/>
      <c r="UB48" s="33"/>
      <c r="UC48" s="33"/>
      <c r="UD48" s="33"/>
      <c r="UE48" s="33"/>
      <c r="UF48" s="33"/>
      <c r="UG48" s="33"/>
      <c r="UH48" s="33"/>
      <c r="UI48" s="33"/>
      <c r="UJ48" s="33"/>
      <c r="UK48" s="33"/>
      <c r="UL48" s="33"/>
      <c r="UM48" s="33"/>
      <c r="UN48" s="33"/>
      <c r="UO48" s="33"/>
      <c r="UP48" s="33"/>
      <c r="UQ48" s="33"/>
      <c r="UR48" s="33"/>
      <c r="US48" s="33"/>
      <c r="UT48" s="33"/>
      <c r="UU48" s="33"/>
      <c r="UV48" s="33"/>
      <c r="UW48" s="33"/>
      <c r="UX48" s="33"/>
      <c r="UY48" s="33"/>
      <c r="UZ48" s="33"/>
      <c r="VA48" s="33"/>
      <c r="VB48" s="33"/>
      <c r="VC48" s="33"/>
      <c r="VD48" s="33"/>
      <c r="VE48" s="33"/>
      <c r="VF48" s="33"/>
      <c r="VG48" s="186"/>
      <c r="VH48" s="186"/>
      <c r="VI48" s="186"/>
      <c r="VJ48" s="186"/>
      <c r="VK48" s="186"/>
      <c r="VL48" s="186"/>
      <c r="VM48" s="186"/>
      <c r="VN48" s="186"/>
      <c r="VO48" s="186"/>
      <c r="VP48" s="186"/>
      <c r="VQ48" s="186"/>
      <c r="VR48" s="186"/>
      <c r="VS48" s="186"/>
      <c r="VT48" s="186"/>
      <c r="VU48" s="186"/>
      <c r="VV48" s="186"/>
      <c r="VW48" s="186"/>
      <c r="VX48" s="186"/>
      <c r="VY48" s="186"/>
      <c r="VZ48" s="186"/>
      <c r="WA48" s="186"/>
      <c r="WB48" s="186"/>
      <c r="WC48" s="186"/>
      <c r="WD48" s="186"/>
      <c r="WE48" s="186"/>
      <c r="WF48" s="186"/>
      <c r="WG48" s="186"/>
      <c r="WH48" s="186"/>
      <c r="WI48" s="186"/>
      <c r="WJ48" s="186"/>
      <c r="WK48" s="186"/>
      <c r="WL48" s="186"/>
      <c r="WM48" s="186"/>
      <c r="WN48" s="186"/>
      <c r="WO48" s="186"/>
      <c r="WP48" s="186"/>
      <c r="WQ48" s="186"/>
      <c r="WR48" s="186"/>
      <c r="WS48" s="186"/>
      <c r="WT48" s="186"/>
      <c r="WU48" s="186"/>
      <c r="WV48" s="186"/>
      <c r="WW48" s="186"/>
      <c r="WX48" s="186"/>
      <c r="WY48" s="186"/>
      <c r="WZ48" s="186"/>
      <c r="XA48" s="186"/>
      <c r="XB48" s="186"/>
      <c r="XC48" s="186"/>
      <c r="XD48" s="186"/>
      <c r="XE48" s="186"/>
      <c r="XF48" s="186"/>
      <c r="XG48" s="186"/>
      <c r="XH48" s="186"/>
      <c r="XI48" s="186"/>
      <c r="XJ48" s="186"/>
      <c r="XK48" s="186"/>
      <c r="XL48" s="186"/>
      <c r="XM48" s="186"/>
      <c r="XN48" s="186"/>
      <c r="XO48" s="186"/>
      <c r="XP48" s="186"/>
      <c r="XQ48" s="186"/>
      <c r="XR48" s="186"/>
      <c r="XS48" s="186"/>
      <c r="XT48" s="186"/>
      <c r="XU48" s="186"/>
      <c r="XV48" s="186"/>
      <c r="XW48" s="186"/>
      <c r="XX48" s="186"/>
      <c r="XY48" s="186"/>
      <c r="XZ48" s="186"/>
      <c r="YA48" s="186"/>
      <c r="YB48" s="186"/>
      <c r="YC48" s="187"/>
      <c r="YD48" s="187"/>
      <c r="YE48" s="187"/>
      <c r="YF48" s="187"/>
      <c r="YG48" s="187"/>
      <c r="YH48" s="187"/>
      <c r="YI48" s="187"/>
      <c r="YJ48" s="187"/>
      <c r="YK48" s="187"/>
      <c r="YL48" s="187"/>
      <c r="YM48" s="187"/>
    </row>
    <row r="49" spans="1:663" ht="15.75" customHeight="1" x14ac:dyDescent="0.2">
      <c r="A49" s="86"/>
      <c r="B49" s="188" t="s">
        <v>112</v>
      </c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79"/>
      <c r="CY49" s="79"/>
      <c r="CZ49" s="79"/>
      <c r="DA49" s="79"/>
      <c r="DB49" s="79"/>
      <c r="DC49" s="79"/>
      <c r="DD49" s="79"/>
      <c r="DE49" s="79"/>
      <c r="DF49" s="79"/>
      <c r="DG49" s="79"/>
      <c r="DH49" s="79"/>
      <c r="DI49" s="79"/>
      <c r="DJ49" s="79"/>
      <c r="DK49" s="79"/>
      <c r="DL49" s="79"/>
      <c r="DM49" s="79"/>
      <c r="DN49" s="79"/>
      <c r="DO49" s="79"/>
      <c r="DP49" s="79"/>
      <c r="DQ49" s="79"/>
      <c r="DR49" s="79"/>
      <c r="DS49" s="79"/>
      <c r="DT49" s="79"/>
      <c r="DU49" s="79"/>
      <c r="DV49" s="79"/>
      <c r="DW49" s="79"/>
      <c r="DX49" s="79"/>
      <c r="DY49" s="79"/>
      <c r="DZ49" s="79"/>
      <c r="EA49" s="79"/>
      <c r="EB49" s="79"/>
      <c r="EC49" s="79"/>
      <c r="ED49" s="79"/>
      <c r="EE49" s="79"/>
      <c r="EF49" s="79"/>
      <c r="EG49" s="79"/>
      <c r="EH49" s="79"/>
      <c r="EI49" s="79"/>
      <c r="EJ49" s="79"/>
      <c r="EK49" s="79"/>
      <c r="EL49" s="79"/>
      <c r="EM49" s="79"/>
      <c r="EN49" s="79"/>
      <c r="EO49" s="79"/>
      <c r="EP49" s="79"/>
      <c r="EQ49" s="79"/>
      <c r="ER49" s="79"/>
      <c r="ES49" s="79"/>
      <c r="ET49" s="79"/>
      <c r="EU49" s="79"/>
      <c r="EV49" s="79"/>
      <c r="EW49" s="79"/>
      <c r="EX49" s="79"/>
      <c r="EY49" s="79"/>
      <c r="EZ49" s="79"/>
      <c r="FA49" s="79"/>
      <c r="FB49" s="79"/>
      <c r="FC49" s="79"/>
      <c r="FD49" s="79"/>
      <c r="FE49" s="79"/>
      <c r="FF49" s="79"/>
      <c r="FG49" s="79"/>
      <c r="FH49" s="79"/>
      <c r="FI49" s="79"/>
      <c r="FJ49" s="79"/>
      <c r="FK49" s="79"/>
      <c r="FL49" s="79"/>
      <c r="FM49" s="79"/>
      <c r="FN49" s="79"/>
      <c r="FO49" s="79"/>
      <c r="FP49" s="79"/>
      <c r="FQ49" s="79"/>
      <c r="FR49" s="79"/>
      <c r="FS49" s="79"/>
      <c r="FT49" s="79"/>
      <c r="FU49" s="79"/>
      <c r="FV49" s="79"/>
      <c r="FW49" s="79"/>
      <c r="FX49" s="79"/>
      <c r="FY49" s="79"/>
      <c r="FZ49" s="79"/>
      <c r="GA49" s="79"/>
      <c r="GB49" s="79"/>
      <c r="GC49" s="79"/>
      <c r="GD49" s="79"/>
      <c r="GE49" s="79"/>
      <c r="GF49" s="79"/>
      <c r="GG49" s="79"/>
      <c r="GH49" s="79"/>
      <c r="GI49" s="79"/>
      <c r="GJ49" s="79"/>
      <c r="GK49" s="79"/>
      <c r="GL49" s="79"/>
      <c r="GM49" s="79"/>
      <c r="GN49" s="79"/>
      <c r="GO49" s="79"/>
      <c r="GP49" s="79"/>
      <c r="GQ49" s="79"/>
      <c r="GR49" s="79"/>
      <c r="GS49" s="79"/>
      <c r="GT49" s="79"/>
      <c r="GU49" s="79"/>
      <c r="GV49" s="79"/>
      <c r="GW49" s="79"/>
      <c r="GX49" s="79"/>
      <c r="GY49" s="79"/>
      <c r="GZ49" s="79"/>
      <c r="HA49" s="79"/>
      <c r="HB49" s="79"/>
      <c r="HC49" s="79"/>
      <c r="HD49" s="79"/>
      <c r="HE49" s="79"/>
      <c r="HF49" s="79"/>
      <c r="HG49" s="79"/>
      <c r="HH49" s="79"/>
      <c r="HI49" s="79"/>
      <c r="HJ49" s="79"/>
      <c r="HK49" s="79"/>
      <c r="HL49" s="79"/>
      <c r="HM49" s="79"/>
      <c r="HN49" s="79"/>
      <c r="HO49" s="79"/>
      <c r="HP49" s="79"/>
      <c r="HQ49" s="79"/>
      <c r="HR49" s="79"/>
      <c r="HS49" s="79"/>
      <c r="HT49" s="79"/>
      <c r="HU49" s="79"/>
      <c r="HV49" s="79"/>
      <c r="HW49" s="79"/>
      <c r="HX49" s="79"/>
      <c r="HY49" s="79"/>
      <c r="HZ49" s="79"/>
      <c r="IA49" s="79"/>
      <c r="IB49" s="79"/>
      <c r="IC49" s="79"/>
      <c r="ID49" s="79"/>
      <c r="IE49" s="79"/>
      <c r="IF49" s="79"/>
      <c r="IG49" s="79"/>
      <c r="IH49" s="79"/>
      <c r="II49" s="79"/>
      <c r="IJ49" s="79"/>
      <c r="IK49" s="79"/>
      <c r="IL49" s="79"/>
      <c r="IM49" s="79"/>
      <c r="IN49" s="79"/>
      <c r="IO49" s="79"/>
      <c r="IP49" s="79"/>
      <c r="IQ49" s="79"/>
      <c r="IR49" s="79"/>
      <c r="IS49" s="79"/>
      <c r="IT49" s="79"/>
      <c r="IU49" s="79"/>
      <c r="IV49" s="79"/>
      <c r="IW49" s="79"/>
      <c r="IX49" s="79"/>
      <c r="IY49" s="79"/>
      <c r="IZ49" s="79"/>
      <c r="JA49" s="79"/>
      <c r="JB49" s="79"/>
      <c r="JC49" s="79"/>
      <c r="JD49" s="79"/>
      <c r="JE49" s="79"/>
      <c r="JF49" s="79"/>
      <c r="JG49" s="79"/>
      <c r="JH49" s="79"/>
      <c r="JI49" s="79"/>
      <c r="JJ49" s="79"/>
      <c r="JK49" s="79"/>
      <c r="JL49" s="79"/>
      <c r="JM49" s="79"/>
      <c r="JN49" s="79"/>
      <c r="JO49" s="79">
        <v>1103872.51</v>
      </c>
      <c r="JP49" s="79">
        <v>1551413.46</v>
      </c>
      <c r="JQ49" s="79">
        <v>1075572.3</v>
      </c>
      <c r="JR49" s="79">
        <v>1174344.1200000001</v>
      </c>
      <c r="JS49" s="79">
        <v>1114614.79</v>
      </c>
      <c r="JT49" s="79">
        <v>1086690.96</v>
      </c>
      <c r="JU49" s="79">
        <v>985758.69</v>
      </c>
      <c r="JV49" s="79">
        <v>945820.42</v>
      </c>
      <c r="JW49" s="79">
        <v>1969799.66</v>
      </c>
      <c r="JX49" s="79">
        <v>1862485.24</v>
      </c>
      <c r="JY49" s="79">
        <v>1687667.01</v>
      </c>
      <c r="JZ49" s="79">
        <v>1677642.49</v>
      </c>
      <c r="KA49" s="79">
        <v>1672642.49</v>
      </c>
      <c r="KB49" s="79">
        <v>1570483.22</v>
      </c>
      <c r="KC49" s="79">
        <v>1535355.68</v>
      </c>
      <c r="KD49" s="79">
        <v>1488508.34</v>
      </c>
      <c r="KE49" s="79">
        <v>1488508.34</v>
      </c>
      <c r="KF49" s="79">
        <v>1488508.34</v>
      </c>
      <c r="KG49" s="79">
        <v>1488508.34</v>
      </c>
      <c r="KH49" s="79">
        <v>2867275.14</v>
      </c>
      <c r="KI49" s="79">
        <v>2310616.6800000002</v>
      </c>
      <c r="KJ49" s="79"/>
      <c r="KK49" s="79">
        <v>2053738.79</v>
      </c>
      <c r="KL49" s="79">
        <v>2080882.89</v>
      </c>
      <c r="KM49" s="79">
        <v>2059735.63</v>
      </c>
      <c r="KN49" s="79">
        <v>1937867.62</v>
      </c>
      <c r="KO49" s="79">
        <v>1908426.94</v>
      </c>
      <c r="KP49" s="79">
        <v>1899311.04</v>
      </c>
      <c r="KQ49" s="79">
        <v>1826454.61</v>
      </c>
      <c r="KR49" s="79">
        <v>1826454.61</v>
      </c>
      <c r="KS49" s="79">
        <v>1774002.53</v>
      </c>
      <c r="KT49" s="79">
        <v>1767002.53</v>
      </c>
      <c r="KU49" s="79">
        <v>1767002.53</v>
      </c>
      <c r="KV49" s="79">
        <v>1584690.76</v>
      </c>
      <c r="KW49" s="79">
        <v>2866050.8</v>
      </c>
      <c r="KX49" s="79">
        <v>2741611.22</v>
      </c>
      <c r="KY49" s="79">
        <v>2709164.26</v>
      </c>
      <c r="KZ49" s="79">
        <v>2588452.7400000002</v>
      </c>
      <c r="LA49" s="79">
        <v>2052828.49</v>
      </c>
      <c r="LB49" s="79">
        <v>2704362.65</v>
      </c>
      <c r="LC49" s="79">
        <v>2642887.9900000002</v>
      </c>
      <c r="LD49" s="79">
        <v>2517185.14</v>
      </c>
      <c r="LE49" s="79">
        <v>2486585.79</v>
      </c>
      <c r="LF49" s="79">
        <v>2429271.7000000002</v>
      </c>
      <c r="LG49" s="79">
        <v>2404530.7000000002</v>
      </c>
      <c r="LH49" s="79">
        <v>2216761.71</v>
      </c>
      <c r="LI49" s="79">
        <v>2199561.71</v>
      </c>
      <c r="LJ49" s="79">
        <v>2199561.71</v>
      </c>
      <c r="LK49" s="79">
        <v>2171296.1800000002</v>
      </c>
      <c r="LL49" s="79">
        <v>1271279.72</v>
      </c>
      <c r="LM49" s="79">
        <v>2927893.53</v>
      </c>
      <c r="LN49" s="79">
        <v>2614303.7599999998</v>
      </c>
      <c r="LO49" s="79">
        <v>2545480.12</v>
      </c>
      <c r="LP49" s="79">
        <v>2464809.06</v>
      </c>
      <c r="LQ49" s="79">
        <v>2599537.3199999998</v>
      </c>
      <c r="LR49" s="79">
        <v>2564222.1</v>
      </c>
      <c r="LS49" s="79">
        <v>2551316.29</v>
      </c>
      <c r="LT49" s="79">
        <v>2542196.6</v>
      </c>
      <c r="LU49" s="79">
        <v>2497704.85</v>
      </c>
      <c r="LV49" s="79">
        <v>2470335.9</v>
      </c>
      <c r="LW49" s="79">
        <v>2364895.36</v>
      </c>
      <c r="LX49" s="79">
        <v>2349152.36</v>
      </c>
      <c r="LY49" s="79">
        <v>2365299.46</v>
      </c>
      <c r="LZ49" s="79">
        <v>2327856.65</v>
      </c>
      <c r="MA49" s="79">
        <v>3056816.79</v>
      </c>
      <c r="MB49" s="79">
        <v>2988202.67</v>
      </c>
      <c r="MC49" s="79">
        <v>2830171.15</v>
      </c>
      <c r="MD49" s="79">
        <v>2768557.36</v>
      </c>
      <c r="ME49" s="79">
        <v>2751557.51</v>
      </c>
      <c r="MF49" s="79">
        <v>3630701.91</v>
      </c>
      <c r="MG49" s="79">
        <v>3586201.65</v>
      </c>
      <c r="MH49" s="79">
        <v>3442754.17</v>
      </c>
      <c r="MI49" s="79">
        <v>3341464.81</v>
      </c>
      <c r="MJ49" s="79">
        <v>3245276.76</v>
      </c>
      <c r="MK49" s="79">
        <v>3170396.33</v>
      </c>
      <c r="ML49" s="79">
        <v>3166167.79</v>
      </c>
      <c r="MM49" s="79">
        <v>3146708.94</v>
      </c>
      <c r="MN49" s="79">
        <v>3049098.37</v>
      </c>
      <c r="MO49" s="79">
        <v>2898960.71</v>
      </c>
      <c r="MP49" s="79">
        <v>2898960.71</v>
      </c>
      <c r="MQ49" s="79">
        <v>6051510.0899999999</v>
      </c>
      <c r="MR49" s="79">
        <v>4485987.8899999997</v>
      </c>
      <c r="MS49" s="79">
        <v>4473489.9400000004</v>
      </c>
      <c r="MT49" s="79">
        <v>4396589.08</v>
      </c>
      <c r="MU49" s="79">
        <v>4634312.6100000003</v>
      </c>
      <c r="MV49" s="79">
        <v>3828871.74</v>
      </c>
      <c r="MW49" s="79">
        <v>3794226.02</v>
      </c>
      <c r="MX49" s="79">
        <v>3793776.02</v>
      </c>
      <c r="MY49" s="79">
        <v>3758477.02</v>
      </c>
      <c r="MZ49" s="79">
        <v>3756477.02</v>
      </c>
      <c r="NA49" s="79">
        <v>3741226.06</v>
      </c>
      <c r="NB49" s="79">
        <v>3703006.48</v>
      </c>
      <c r="NC49" s="79">
        <v>3615006.48</v>
      </c>
      <c r="ND49" s="79">
        <v>3627899.08</v>
      </c>
      <c r="NE49" s="79">
        <v>3627815.68</v>
      </c>
      <c r="NF49" s="79">
        <v>3778052.85</v>
      </c>
      <c r="NG49" s="79">
        <v>3299719.19</v>
      </c>
      <c r="NH49" s="79">
        <v>3177664</v>
      </c>
      <c r="NI49" s="79">
        <v>3083510.9</v>
      </c>
      <c r="NJ49" s="79">
        <v>3074181.14</v>
      </c>
      <c r="NK49" s="79">
        <v>3092625.74</v>
      </c>
      <c r="NL49" s="79">
        <v>3030553.92</v>
      </c>
      <c r="NM49" s="79">
        <v>2989949.85</v>
      </c>
      <c r="NN49" s="79">
        <v>2941831.37</v>
      </c>
      <c r="NO49" s="79">
        <v>2924002.21</v>
      </c>
      <c r="NP49" s="79">
        <v>2870458.36</v>
      </c>
      <c r="NQ49" s="79">
        <v>2807926.73</v>
      </c>
      <c r="NR49" s="79">
        <v>2727076.64</v>
      </c>
      <c r="NS49" s="79">
        <v>2681941.9900000002</v>
      </c>
      <c r="NT49" s="79">
        <v>2620882.59</v>
      </c>
      <c r="NU49" s="79">
        <v>2620782.59</v>
      </c>
      <c r="NV49" s="79">
        <v>3566803.78</v>
      </c>
      <c r="NW49" s="79">
        <v>3498839.62</v>
      </c>
      <c r="NX49" s="79">
        <v>3400694.3</v>
      </c>
      <c r="NY49" s="79">
        <v>3222872.82</v>
      </c>
      <c r="NZ49" s="79">
        <v>2647287.48</v>
      </c>
      <c r="OA49" s="79">
        <v>2615890.2599999998</v>
      </c>
      <c r="OB49" s="79">
        <v>2578611.02</v>
      </c>
      <c r="OC49" s="79">
        <v>2570150.9700000002</v>
      </c>
      <c r="OD49" s="79">
        <v>2435215.71</v>
      </c>
      <c r="OE49" s="79">
        <v>2421391.1</v>
      </c>
      <c r="OF49" s="79">
        <v>2355541.21</v>
      </c>
      <c r="OG49" s="79">
        <v>2195444.9900000002</v>
      </c>
      <c r="OH49" s="79">
        <v>2148853.09</v>
      </c>
      <c r="OI49" s="79">
        <v>2148853.09</v>
      </c>
      <c r="OJ49" s="79">
        <v>2139089.39</v>
      </c>
      <c r="OK49" s="79">
        <v>3442834.78</v>
      </c>
      <c r="OL49" s="79">
        <v>3375679.5</v>
      </c>
      <c r="OM49" s="79">
        <v>3320799.43</v>
      </c>
      <c r="ON49" s="79">
        <v>3295171.47</v>
      </c>
      <c r="OO49" s="79">
        <v>3283298.81</v>
      </c>
      <c r="OP49" s="79">
        <v>2928191.38</v>
      </c>
      <c r="OQ49" s="79">
        <v>2886856.54</v>
      </c>
      <c r="OR49" s="79">
        <v>2811636.56</v>
      </c>
      <c r="OS49" s="79">
        <v>2768475.34</v>
      </c>
      <c r="OT49" s="79">
        <v>2726743.83</v>
      </c>
      <c r="OU49" s="79">
        <v>2630000.0699999998</v>
      </c>
      <c r="OV49" s="79">
        <v>2609395.7000000002</v>
      </c>
      <c r="OW49" s="79">
        <v>2604395.7000000002</v>
      </c>
      <c r="OX49" s="79">
        <v>2482802.6</v>
      </c>
      <c r="OY49" s="79">
        <v>2482802.6</v>
      </c>
      <c r="OZ49" s="79">
        <v>2473009.4700000002</v>
      </c>
      <c r="PA49" s="79">
        <v>3953572.68</v>
      </c>
      <c r="PB49" s="79">
        <v>3548281.02</v>
      </c>
      <c r="PC49" s="79">
        <v>3533689.85</v>
      </c>
      <c r="PD49" s="79">
        <v>3468845.76</v>
      </c>
      <c r="PE49" s="79">
        <v>3331881.58</v>
      </c>
      <c r="PF49" s="79">
        <v>2847208.22</v>
      </c>
      <c r="PG49" s="79">
        <v>2776442.19</v>
      </c>
      <c r="PH49" s="79">
        <v>2731968.94</v>
      </c>
      <c r="PI49" s="79">
        <v>2704117.53</v>
      </c>
      <c r="PJ49" s="79">
        <v>2666196.0699999998</v>
      </c>
      <c r="PK49" s="79">
        <v>2616196.0699999998</v>
      </c>
      <c r="PL49" s="79">
        <v>2555670.29</v>
      </c>
      <c r="PM49" s="79">
        <v>4436624</v>
      </c>
      <c r="PN49" s="79">
        <v>4283575.29</v>
      </c>
      <c r="PO49" s="79">
        <v>3279836.85</v>
      </c>
      <c r="PP49" s="79">
        <v>1843772</v>
      </c>
      <c r="PQ49" s="79">
        <v>1839572</v>
      </c>
      <c r="PR49" s="79">
        <v>1831731.3</v>
      </c>
      <c r="PS49" s="79">
        <v>1822415.79</v>
      </c>
      <c r="PT49" s="79">
        <v>1796539.85</v>
      </c>
      <c r="PU49" s="79">
        <v>1772216.91</v>
      </c>
      <c r="PV49" s="79">
        <v>1705639.95</v>
      </c>
      <c r="PW49" s="79">
        <v>1663047.35</v>
      </c>
      <c r="PX49" s="79">
        <v>1677387.8</v>
      </c>
      <c r="PY49" s="79">
        <v>1662527.3</v>
      </c>
      <c r="PZ49" s="79">
        <v>1648170.63</v>
      </c>
      <c r="QA49" s="79">
        <v>1599741.67</v>
      </c>
      <c r="QB49" s="79">
        <v>1577773.78</v>
      </c>
      <c r="QC49" s="79">
        <v>3368717.34</v>
      </c>
      <c r="QD49" s="79">
        <v>2951449.65</v>
      </c>
      <c r="QE49" s="79">
        <v>2359969.0699999998</v>
      </c>
      <c r="QF49" s="79">
        <v>1022030.08</v>
      </c>
      <c r="QG49" s="79">
        <v>1022030.08</v>
      </c>
      <c r="QH49" s="79">
        <v>1015817.72</v>
      </c>
      <c r="QI49" s="79">
        <v>957242.19</v>
      </c>
      <c r="QJ49" s="79">
        <v>957242.19</v>
      </c>
      <c r="QK49" s="79">
        <v>844753.65</v>
      </c>
      <c r="QL49" s="79">
        <v>829704.67</v>
      </c>
      <c r="QM49" s="79">
        <v>829704.67</v>
      </c>
      <c r="QN49" s="79">
        <v>782951.75</v>
      </c>
      <c r="QO49" s="79">
        <v>731936.44</v>
      </c>
      <c r="QP49" s="79">
        <v>707066.44</v>
      </c>
      <c r="QQ49" s="79">
        <v>659721.06000000006</v>
      </c>
      <c r="QR49" s="79">
        <v>1637569.38</v>
      </c>
      <c r="QS49" s="79">
        <v>1449446.55</v>
      </c>
      <c r="QT49" s="79">
        <v>1416622.5</v>
      </c>
      <c r="QU49" s="79">
        <v>1380470.92</v>
      </c>
      <c r="QV49" s="79">
        <v>1353619.05</v>
      </c>
      <c r="QW49" s="79">
        <v>1312032.8600000001</v>
      </c>
      <c r="QX49" s="79">
        <v>1236356.8500000001</v>
      </c>
      <c r="QY49" s="79">
        <v>1235602.76</v>
      </c>
      <c r="QZ49" s="79">
        <v>1235602.76</v>
      </c>
      <c r="RA49" s="79">
        <v>1230738.75</v>
      </c>
      <c r="RB49" s="79">
        <v>1227738.75</v>
      </c>
      <c r="RC49" s="79">
        <v>1204661.6200000001</v>
      </c>
      <c r="RD49" s="79">
        <v>1196296.04</v>
      </c>
      <c r="RE49" s="79">
        <v>1173443.76</v>
      </c>
      <c r="RF49" s="79">
        <v>1166701.3600000001</v>
      </c>
      <c r="RG49" s="79">
        <v>1138701.3600000001</v>
      </c>
      <c r="RH49" s="79">
        <v>4023392.76</v>
      </c>
      <c r="RI49" s="79">
        <v>3532511.26</v>
      </c>
      <c r="RJ49" s="79">
        <v>3350080.78</v>
      </c>
      <c r="RK49" s="79">
        <v>3274111.41</v>
      </c>
      <c r="RL49" s="79">
        <v>3209532.05</v>
      </c>
      <c r="RM49" s="79">
        <v>3118376.96</v>
      </c>
      <c r="RN49" s="79">
        <v>3071812.35</v>
      </c>
      <c r="RO49" s="79">
        <v>3062361.76</v>
      </c>
      <c r="RP49" s="79">
        <v>3020361.76</v>
      </c>
      <c r="RQ49" s="79">
        <v>2981445.98</v>
      </c>
      <c r="RR49" s="79">
        <v>2946432.41</v>
      </c>
      <c r="RS49" s="79">
        <v>2919677.07</v>
      </c>
      <c r="RT49" s="79">
        <v>2812517.18</v>
      </c>
      <c r="RU49" s="79">
        <v>2501083.15</v>
      </c>
      <c r="RV49" s="79">
        <v>5486177.7400000002</v>
      </c>
      <c r="RW49" s="79">
        <v>3322632.9</v>
      </c>
      <c r="RX49" s="79">
        <v>3189582.85</v>
      </c>
      <c r="RY49" s="79">
        <v>3121202.85</v>
      </c>
      <c r="RZ49" s="79">
        <v>3032601.16</v>
      </c>
      <c r="SA49" s="79">
        <v>2287538.46</v>
      </c>
      <c r="SB49" s="79">
        <v>2287538.46</v>
      </c>
      <c r="SC49" s="79">
        <v>2275913.77</v>
      </c>
      <c r="SD49" s="79">
        <v>2273845.77</v>
      </c>
      <c r="SE49" s="79">
        <v>2240680.3199999998</v>
      </c>
      <c r="SF49" s="79">
        <v>2226720.5299999998</v>
      </c>
      <c r="SG49" s="79">
        <v>2180454.66</v>
      </c>
      <c r="SH49" s="79">
        <v>2139889.2000000002</v>
      </c>
      <c r="SI49" s="79">
        <v>2130165.33</v>
      </c>
      <c r="SJ49" s="79">
        <v>2126625.87</v>
      </c>
      <c r="SK49" s="79">
        <v>2016134.39</v>
      </c>
      <c r="SL49" s="79">
        <v>5059914.58</v>
      </c>
      <c r="SM49" s="79">
        <v>3465422.04</v>
      </c>
      <c r="SN49" s="79">
        <v>2950104.85</v>
      </c>
      <c r="SO49" s="79">
        <v>2723017.27</v>
      </c>
      <c r="SP49" s="79">
        <v>2635045.77</v>
      </c>
      <c r="SQ49" s="79">
        <v>2616095.5299999998</v>
      </c>
      <c r="SR49" s="79">
        <v>2557130.7599999998</v>
      </c>
      <c r="SS49" s="79">
        <v>2489073.4300000002</v>
      </c>
      <c r="ST49" s="79">
        <v>2412622.12</v>
      </c>
      <c r="SU49" s="79">
        <v>2392452.7400000002</v>
      </c>
      <c r="SV49" s="79">
        <v>2315171.87</v>
      </c>
      <c r="SW49" s="79">
        <v>2315171.87</v>
      </c>
      <c r="SX49" s="79">
        <v>2280707.88</v>
      </c>
      <c r="SY49" s="79">
        <v>2275725.5099999998</v>
      </c>
      <c r="SZ49" s="79">
        <v>2255764.39</v>
      </c>
      <c r="TA49" s="79">
        <v>3917863.66</v>
      </c>
      <c r="TB49" s="79">
        <v>2911930.21</v>
      </c>
      <c r="TC49" s="79">
        <v>2623238.23</v>
      </c>
      <c r="TD49" s="79">
        <v>2568771.64</v>
      </c>
      <c r="TE49" s="79">
        <v>2559927.17</v>
      </c>
      <c r="TF49" s="79">
        <v>2459055.17</v>
      </c>
      <c r="TG49" s="79">
        <v>2415882.9700000002</v>
      </c>
      <c r="TH49" s="87">
        <v>2350526.44</v>
      </c>
      <c r="TI49" s="87">
        <v>2257739.6</v>
      </c>
      <c r="TJ49" s="87">
        <v>2243071.37</v>
      </c>
      <c r="TK49" s="87">
        <v>2233752.19</v>
      </c>
      <c r="TL49" s="87">
        <v>2207884.81</v>
      </c>
      <c r="TM49" s="87">
        <v>2202884.81</v>
      </c>
      <c r="TN49" s="87">
        <v>2191534.81</v>
      </c>
      <c r="TO49" s="87">
        <v>2191534.81</v>
      </c>
      <c r="TP49" s="87">
        <v>2183905.11</v>
      </c>
      <c r="TQ49" s="87">
        <v>1407827.26</v>
      </c>
      <c r="TR49" s="87">
        <v>1357329.76</v>
      </c>
      <c r="TS49" s="87">
        <v>1347346.64</v>
      </c>
      <c r="TT49" s="87">
        <v>1312168.67</v>
      </c>
      <c r="TU49" s="87">
        <v>1285011.4099999999</v>
      </c>
      <c r="TV49" s="87">
        <v>1284002.71</v>
      </c>
      <c r="TW49" s="87">
        <v>1268250.57</v>
      </c>
      <c r="TX49" s="87">
        <v>1258518.4099999999</v>
      </c>
      <c r="TY49" s="87">
        <v>1258518.4099999999</v>
      </c>
      <c r="TZ49" s="87">
        <v>1258518.4099999999</v>
      </c>
      <c r="UA49" s="87">
        <v>1254891.4099999999</v>
      </c>
      <c r="UB49" s="87">
        <v>1227233.9099999999</v>
      </c>
      <c r="UC49" s="87">
        <v>1216846.68</v>
      </c>
      <c r="UD49" s="87">
        <v>1215005.92</v>
      </c>
      <c r="UE49" s="87">
        <v>1502522.62</v>
      </c>
      <c r="UF49" s="87">
        <v>662014.46</v>
      </c>
      <c r="UG49" s="87">
        <v>641320.6</v>
      </c>
      <c r="UH49" s="87">
        <v>640320.6</v>
      </c>
      <c r="UI49" s="87">
        <v>637173.14</v>
      </c>
      <c r="UJ49" s="87">
        <v>603420.03</v>
      </c>
      <c r="UK49" s="87">
        <v>582273.76</v>
      </c>
      <c r="UL49" s="87">
        <v>581273.76</v>
      </c>
      <c r="UM49" s="87">
        <v>569096.31999999995</v>
      </c>
      <c r="UN49" s="87">
        <v>569096.31999999995</v>
      </c>
      <c r="UO49" s="87">
        <v>559776.31999999995</v>
      </c>
      <c r="UP49" s="87">
        <v>558776.31999999995</v>
      </c>
      <c r="UQ49" s="87">
        <v>549476.76</v>
      </c>
      <c r="UR49" s="87">
        <v>549476.76</v>
      </c>
      <c r="US49" s="87">
        <v>546476.76</v>
      </c>
      <c r="UT49" s="87">
        <v>540366.62</v>
      </c>
      <c r="UU49" s="87">
        <v>1026496.83</v>
      </c>
      <c r="UV49" s="87">
        <v>837599.92</v>
      </c>
      <c r="UW49" s="87">
        <v>792893.46</v>
      </c>
      <c r="UX49" s="87">
        <v>781957.82</v>
      </c>
      <c r="UY49" s="87">
        <v>722247.29</v>
      </c>
      <c r="UZ49" s="87">
        <v>616039.84</v>
      </c>
      <c r="VA49" s="87">
        <v>612774.47</v>
      </c>
      <c r="VB49" s="87">
        <v>610269.54</v>
      </c>
      <c r="VC49" s="87">
        <v>598812.36</v>
      </c>
      <c r="VD49" s="87">
        <v>593962.23</v>
      </c>
      <c r="VE49" s="87">
        <v>593962.23</v>
      </c>
      <c r="VF49" s="87">
        <v>593962.23</v>
      </c>
      <c r="VG49" s="87">
        <v>536332.44999999995</v>
      </c>
      <c r="VH49" s="87">
        <v>529446.71</v>
      </c>
      <c r="VI49" s="87">
        <v>520772.63</v>
      </c>
      <c r="VJ49" s="87">
        <v>381679.58</v>
      </c>
      <c r="VK49" s="87">
        <v>577871.51</v>
      </c>
      <c r="VL49" s="87">
        <v>518313.49</v>
      </c>
      <c r="VM49" s="87">
        <v>444668.73</v>
      </c>
      <c r="VN49" s="87">
        <v>408876.73</v>
      </c>
      <c r="VO49" s="87">
        <v>393637.83</v>
      </c>
      <c r="VP49" s="87">
        <v>376183.45</v>
      </c>
      <c r="VQ49" s="87">
        <v>369594.38</v>
      </c>
      <c r="VR49" s="87">
        <v>353403.76</v>
      </c>
      <c r="VS49" s="87">
        <v>339018.63</v>
      </c>
      <c r="VT49" s="87">
        <v>330919.83</v>
      </c>
      <c r="VU49" s="87">
        <v>321599.83</v>
      </c>
      <c r="VV49" s="87">
        <v>312172.63</v>
      </c>
      <c r="VW49" s="87">
        <v>299083.65000000002</v>
      </c>
      <c r="VX49" s="87">
        <v>299083.65000000002</v>
      </c>
      <c r="VY49" s="87">
        <v>297983.65000000002</v>
      </c>
      <c r="VZ49" s="87">
        <v>885659.32</v>
      </c>
      <c r="WA49" s="87">
        <v>719632.53</v>
      </c>
      <c r="WB49" s="87">
        <v>622325.68000000005</v>
      </c>
      <c r="WC49" s="87">
        <v>522183.4</v>
      </c>
      <c r="WD49" s="87">
        <v>446372.15</v>
      </c>
      <c r="WE49" s="87">
        <v>443805.37</v>
      </c>
      <c r="WF49" s="87">
        <v>408621.75</v>
      </c>
      <c r="WG49" s="87">
        <v>388700.96</v>
      </c>
      <c r="WH49" s="87">
        <v>365949.18</v>
      </c>
      <c r="WI49" s="87">
        <v>361330.73</v>
      </c>
      <c r="WJ49" s="87">
        <v>356387.71</v>
      </c>
      <c r="WK49" s="87">
        <v>347844.44</v>
      </c>
      <c r="WL49" s="87">
        <v>346317.42</v>
      </c>
      <c r="WM49" s="87">
        <v>343952.44</v>
      </c>
      <c r="WN49" s="87">
        <v>343952.44</v>
      </c>
      <c r="WO49" s="87">
        <v>744818.97</v>
      </c>
      <c r="WP49" s="87">
        <v>590986.48</v>
      </c>
      <c r="WQ49" s="87">
        <v>540032.41</v>
      </c>
      <c r="WR49" s="87">
        <v>521264.14</v>
      </c>
      <c r="WS49" s="87">
        <v>517502.34</v>
      </c>
      <c r="WT49" s="87">
        <v>510905.9</v>
      </c>
      <c r="WU49" s="87">
        <v>461336.61</v>
      </c>
      <c r="WV49" s="87">
        <v>412044.79</v>
      </c>
      <c r="WW49" s="87">
        <v>408410.34</v>
      </c>
      <c r="WX49" s="87">
        <v>408410.34</v>
      </c>
      <c r="WY49" s="87">
        <v>408410.34</v>
      </c>
      <c r="WZ49" s="87">
        <v>408410.34</v>
      </c>
      <c r="XA49" s="87">
        <v>403162.22</v>
      </c>
      <c r="XB49" s="87">
        <v>390858.69</v>
      </c>
      <c r="XC49" s="87">
        <v>381538.69</v>
      </c>
      <c r="XD49" s="87">
        <v>380254.11</v>
      </c>
      <c r="XE49" s="87">
        <v>1142117.92</v>
      </c>
      <c r="XF49" s="87">
        <v>1024539.24</v>
      </c>
      <c r="XG49" s="87">
        <v>920225</v>
      </c>
      <c r="XH49" s="87">
        <v>836338.78</v>
      </c>
      <c r="XI49" s="87">
        <v>770967.05</v>
      </c>
      <c r="XJ49" s="87">
        <v>700565.59</v>
      </c>
      <c r="XK49" s="87">
        <v>617700.99</v>
      </c>
      <c r="XL49" s="87">
        <v>577298.59</v>
      </c>
      <c r="XM49" s="87">
        <v>560598.25</v>
      </c>
      <c r="XN49" s="87">
        <v>558598.25</v>
      </c>
      <c r="XO49" s="87">
        <v>558598.25</v>
      </c>
      <c r="XP49" s="87">
        <v>534152.62</v>
      </c>
      <c r="XQ49" s="87">
        <v>467395.94</v>
      </c>
      <c r="XR49" s="87">
        <v>451998.56</v>
      </c>
      <c r="XS49" s="87">
        <v>1105455.92</v>
      </c>
      <c r="XT49" s="87">
        <v>801419.92</v>
      </c>
      <c r="XU49" s="87">
        <v>687026.25</v>
      </c>
      <c r="XV49" s="87">
        <v>611583.24</v>
      </c>
      <c r="XW49" s="87">
        <v>572129.63</v>
      </c>
      <c r="XX49" s="87">
        <v>558998.6</v>
      </c>
      <c r="XY49" s="87">
        <v>546899.42000000004</v>
      </c>
      <c r="XZ49" s="87">
        <v>518712.38</v>
      </c>
      <c r="YA49" s="87">
        <v>498723.42</v>
      </c>
      <c r="YB49" s="87">
        <v>492056.75</v>
      </c>
      <c r="YC49" s="189">
        <v>481779</v>
      </c>
      <c r="YD49" s="189">
        <v>481778.64</v>
      </c>
      <c r="YE49" s="189">
        <v>468364.88</v>
      </c>
      <c r="YF49" s="189">
        <v>441341.41</v>
      </c>
      <c r="YG49" s="189">
        <v>441341.41</v>
      </c>
      <c r="YH49" s="189">
        <v>441341.41</v>
      </c>
      <c r="YI49" s="189">
        <v>441341.41</v>
      </c>
      <c r="YJ49" s="189">
        <v>952031.06</v>
      </c>
      <c r="YK49" s="189">
        <v>801134.8</v>
      </c>
      <c r="YL49" s="189">
        <v>682088.02</v>
      </c>
      <c r="YM49" s="189">
        <v>643747.71</v>
      </c>
    </row>
    <row r="50" spans="1:663" ht="15.75" customHeight="1" x14ac:dyDescent="0.2">
      <c r="A50" s="86"/>
      <c r="B50" s="188" t="s">
        <v>113</v>
      </c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79"/>
      <c r="CY50" s="79"/>
      <c r="CZ50" s="79"/>
      <c r="DA50" s="79"/>
      <c r="DB50" s="79"/>
      <c r="DC50" s="79"/>
      <c r="DD50" s="79"/>
      <c r="DE50" s="79"/>
      <c r="DF50" s="79"/>
      <c r="DG50" s="79"/>
      <c r="DH50" s="79"/>
      <c r="DI50" s="79"/>
      <c r="DJ50" s="79"/>
      <c r="DK50" s="79"/>
      <c r="DL50" s="79"/>
      <c r="DM50" s="79"/>
      <c r="DN50" s="79"/>
      <c r="DO50" s="79"/>
      <c r="DP50" s="79"/>
      <c r="DQ50" s="79"/>
      <c r="DR50" s="79"/>
      <c r="DS50" s="79"/>
      <c r="DT50" s="79"/>
      <c r="DU50" s="79"/>
      <c r="DV50" s="79"/>
      <c r="DW50" s="79"/>
      <c r="DX50" s="79"/>
      <c r="DY50" s="79"/>
      <c r="DZ50" s="79"/>
      <c r="EA50" s="79"/>
      <c r="EB50" s="79"/>
      <c r="EC50" s="79"/>
      <c r="ED50" s="79"/>
      <c r="EE50" s="79"/>
      <c r="EF50" s="79"/>
      <c r="EG50" s="79"/>
      <c r="EH50" s="79"/>
      <c r="EI50" s="79"/>
      <c r="EJ50" s="79"/>
      <c r="EK50" s="79"/>
      <c r="EL50" s="79"/>
      <c r="EM50" s="79"/>
      <c r="EN50" s="79"/>
      <c r="EO50" s="79"/>
      <c r="EP50" s="79"/>
      <c r="EQ50" s="79"/>
      <c r="ER50" s="79"/>
      <c r="ES50" s="79"/>
      <c r="ET50" s="79"/>
      <c r="EU50" s="79"/>
      <c r="EV50" s="79"/>
      <c r="EW50" s="79"/>
      <c r="EX50" s="79"/>
      <c r="EY50" s="79"/>
      <c r="EZ50" s="79"/>
      <c r="FA50" s="79"/>
      <c r="FB50" s="79"/>
      <c r="FC50" s="79"/>
      <c r="FD50" s="79"/>
      <c r="FE50" s="79"/>
      <c r="FF50" s="79"/>
      <c r="FG50" s="79"/>
      <c r="FH50" s="79"/>
      <c r="FI50" s="79"/>
      <c r="FJ50" s="79"/>
      <c r="FK50" s="79"/>
      <c r="FL50" s="79"/>
      <c r="FM50" s="79"/>
      <c r="FN50" s="79"/>
      <c r="FO50" s="79"/>
      <c r="FP50" s="79"/>
      <c r="FQ50" s="79"/>
      <c r="FR50" s="79"/>
      <c r="FS50" s="79"/>
      <c r="FT50" s="79"/>
      <c r="FU50" s="79"/>
      <c r="FV50" s="79"/>
      <c r="FW50" s="79"/>
      <c r="FX50" s="79"/>
      <c r="FY50" s="79"/>
      <c r="FZ50" s="79"/>
      <c r="GA50" s="79"/>
      <c r="GB50" s="79"/>
      <c r="GC50" s="79"/>
      <c r="GD50" s="79"/>
      <c r="GE50" s="79"/>
      <c r="GF50" s="79"/>
      <c r="GG50" s="79"/>
      <c r="GH50" s="79"/>
      <c r="GI50" s="79"/>
      <c r="GJ50" s="79"/>
      <c r="GK50" s="79"/>
      <c r="GL50" s="79"/>
      <c r="GM50" s="79"/>
      <c r="GN50" s="79"/>
      <c r="GO50" s="79"/>
      <c r="GP50" s="79"/>
      <c r="GQ50" s="79"/>
      <c r="GR50" s="79"/>
      <c r="GS50" s="79"/>
      <c r="GT50" s="79"/>
      <c r="GU50" s="79"/>
      <c r="GV50" s="79"/>
      <c r="GW50" s="79"/>
      <c r="GX50" s="79"/>
      <c r="GY50" s="79"/>
      <c r="GZ50" s="79"/>
      <c r="HA50" s="79"/>
      <c r="HB50" s="79"/>
      <c r="HC50" s="79"/>
      <c r="HD50" s="79"/>
      <c r="HE50" s="79"/>
      <c r="HF50" s="79"/>
      <c r="HG50" s="79"/>
      <c r="HH50" s="79"/>
      <c r="HI50" s="79"/>
      <c r="HJ50" s="79"/>
      <c r="HK50" s="79"/>
      <c r="HL50" s="79"/>
      <c r="HM50" s="79"/>
      <c r="HN50" s="79"/>
      <c r="HO50" s="79"/>
      <c r="HP50" s="79"/>
      <c r="HQ50" s="79"/>
      <c r="HR50" s="79"/>
      <c r="HS50" s="79"/>
      <c r="HT50" s="79"/>
      <c r="HU50" s="79"/>
      <c r="HV50" s="79"/>
      <c r="HW50" s="79"/>
      <c r="HX50" s="79"/>
      <c r="HY50" s="79"/>
      <c r="HZ50" s="79"/>
      <c r="IA50" s="79"/>
      <c r="IB50" s="79"/>
      <c r="IC50" s="79"/>
      <c r="ID50" s="79"/>
      <c r="IE50" s="79"/>
      <c r="IF50" s="79"/>
      <c r="IG50" s="79"/>
      <c r="IH50" s="79"/>
      <c r="II50" s="79"/>
      <c r="IJ50" s="79"/>
      <c r="IK50" s="79"/>
      <c r="IL50" s="79"/>
      <c r="IM50" s="79"/>
      <c r="IN50" s="79"/>
      <c r="IO50" s="79"/>
      <c r="IP50" s="79"/>
      <c r="IQ50" s="79"/>
      <c r="IR50" s="79"/>
      <c r="IS50" s="79"/>
      <c r="IT50" s="79"/>
      <c r="IU50" s="79"/>
      <c r="IV50" s="79"/>
      <c r="IW50" s="79"/>
      <c r="IX50" s="79"/>
      <c r="IY50" s="79"/>
      <c r="IZ50" s="79"/>
      <c r="JA50" s="79"/>
      <c r="JB50" s="79"/>
      <c r="JC50" s="79"/>
      <c r="JD50" s="79"/>
      <c r="JE50" s="79"/>
      <c r="JF50" s="79"/>
      <c r="JG50" s="79"/>
      <c r="JH50" s="79"/>
      <c r="JI50" s="79"/>
      <c r="JJ50" s="79"/>
      <c r="JK50" s="79"/>
      <c r="JL50" s="79"/>
      <c r="JM50" s="79"/>
      <c r="JN50" s="79"/>
      <c r="JO50" s="79">
        <v>592244.36</v>
      </c>
      <c r="JP50" s="79">
        <v>592244.36</v>
      </c>
      <c r="JQ50" s="79">
        <v>498785.5</v>
      </c>
      <c r="JR50" s="79">
        <v>964026.19</v>
      </c>
      <c r="JS50" s="79">
        <v>964026.19</v>
      </c>
      <c r="JT50" s="79">
        <v>964026.19</v>
      </c>
      <c r="JU50" s="79">
        <v>964026.19</v>
      </c>
      <c r="JV50" s="79">
        <v>926516.28</v>
      </c>
      <c r="JW50" s="79">
        <v>1017368.14</v>
      </c>
      <c r="JX50" s="79">
        <v>1017368.14</v>
      </c>
      <c r="JY50" s="79">
        <v>1017368.14</v>
      </c>
      <c r="JZ50" s="79">
        <v>1017368.14</v>
      </c>
      <c r="KA50" s="79">
        <v>1017368.14</v>
      </c>
      <c r="KB50" s="79">
        <v>1017368.14</v>
      </c>
      <c r="KC50" s="79">
        <v>1016051.38</v>
      </c>
      <c r="KD50" s="79">
        <v>991426.26</v>
      </c>
      <c r="KE50" s="79">
        <v>991426.26</v>
      </c>
      <c r="KF50" s="79">
        <v>991426.26</v>
      </c>
      <c r="KG50" s="79">
        <v>700816.26</v>
      </c>
      <c r="KH50" s="79">
        <v>1400919.21</v>
      </c>
      <c r="KI50" s="79">
        <v>1400919.21</v>
      </c>
      <c r="KJ50" s="79"/>
      <c r="KK50" s="79">
        <v>1249629.3700000001</v>
      </c>
      <c r="KL50" s="79">
        <v>1297256.74</v>
      </c>
      <c r="KM50" s="79">
        <v>1297256.74</v>
      </c>
      <c r="KN50" s="79">
        <v>1297256.74</v>
      </c>
      <c r="KO50" s="79">
        <v>1297256.74</v>
      </c>
      <c r="KP50" s="79">
        <v>1297256.74</v>
      </c>
      <c r="KQ50" s="79">
        <v>1297256.74</v>
      </c>
      <c r="KR50" s="79">
        <v>1297256.74</v>
      </c>
      <c r="KS50" s="79">
        <v>1282996.4099999999</v>
      </c>
      <c r="KT50" s="79">
        <v>1282996.4099999999</v>
      </c>
      <c r="KU50" s="79">
        <v>1282996.4099999999</v>
      </c>
      <c r="KV50" s="79">
        <v>1016279.01</v>
      </c>
      <c r="KW50" s="79">
        <v>1039924.26</v>
      </c>
      <c r="KX50" s="79">
        <v>1039924.26</v>
      </c>
      <c r="KY50" s="79">
        <v>1037493.41</v>
      </c>
      <c r="KZ50" s="79">
        <v>1007493.41</v>
      </c>
      <c r="LA50" s="79">
        <v>1436299.1</v>
      </c>
      <c r="LB50" s="79">
        <v>1515271.6</v>
      </c>
      <c r="LC50" s="79">
        <v>1515271.6</v>
      </c>
      <c r="LD50" s="79">
        <v>1515271.6</v>
      </c>
      <c r="LE50" s="79">
        <v>1510271.6</v>
      </c>
      <c r="LF50" s="79">
        <v>1510271.6</v>
      </c>
      <c r="LG50" s="79">
        <v>1500772.24</v>
      </c>
      <c r="LH50" s="79">
        <v>1474084.74</v>
      </c>
      <c r="LI50" s="79">
        <v>1474084.74</v>
      </c>
      <c r="LJ50" s="79">
        <v>1463174.09</v>
      </c>
      <c r="LK50" s="79">
        <v>1463174.09</v>
      </c>
      <c r="LL50" s="79">
        <v>1677420.58</v>
      </c>
      <c r="LM50" s="79">
        <v>1943856.6</v>
      </c>
      <c r="LN50" s="79">
        <v>1943856.6</v>
      </c>
      <c r="LO50" s="79">
        <v>1943856.6</v>
      </c>
      <c r="LP50" s="79">
        <v>1947478.53</v>
      </c>
      <c r="LQ50" s="79">
        <v>1951263.16</v>
      </c>
      <c r="LR50" s="79">
        <v>1949070.35</v>
      </c>
      <c r="LS50" s="79">
        <v>1949070.35</v>
      </c>
      <c r="LT50" s="79">
        <v>1949070.35</v>
      </c>
      <c r="LU50" s="79">
        <v>1913189.29</v>
      </c>
      <c r="LV50" s="79">
        <v>1886114.9</v>
      </c>
      <c r="LW50" s="79">
        <v>1883624.9</v>
      </c>
      <c r="LX50" s="79">
        <v>1879959.78</v>
      </c>
      <c r="LY50" s="79">
        <v>1877974.78</v>
      </c>
      <c r="LZ50" s="79">
        <v>1681502.57</v>
      </c>
      <c r="MA50" s="79">
        <v>2602929.0099999998</v>
      </c>
      <c r="MB50" s="79">
        <v>2602929.0099999998</v>
      </c>
      <c r="MC50" s="79">
        <v>2602929.0099999998</v>
      </c>
      <c r="MD50" s="79">
        <v>2602929.0099999998</v>
      </c>
      <c r="ME50" s="79">
        <v>2061318.99</v>
      </c>
      <c r="MF50" s="79">
        <v>2496003.34</v>
      </c>
      <c r="MG50" s="79">
        <v>2496003.34</v>
      </c>
      <c r="MH50" s="79">
        <v>2494003.34</v>
      </c>
      <c r="MI50" s="79">
        <v>2494003.34</v>
      </c>
      <c r="MJ50" s="79">
        <v>2492003.34</v>
      </c>
      <c r="MK50" s="79">
        <v>2492003.34</v>
      </c>
      <c r="ML50" s="79">
        <v>2492003.34</v>
      </c>
      <c r="MM50" s="79">
        <v>2492003.34</v>
      </c>
      <c r="MN50" s="79">
        <v>2492003.34</v>
      </c>
      <c r="MO50" s="79">
        <v>2492003.34</v>
      </c>
      <c r="MP50" s="79">
        <v>1435819.2</v>
      </c>
      <c r="MQ50" s="79">
        <v>1435819.2</v>
      </c>
      <c r="MR50" s="79">
        <v>2743816.71</v>
      </c>
      <c r="MS50" s="79">
        <v>2743816.71</v>
      </c>
      <c r="MT50" s="79">
        <v>2680423.71</v>
      </c>
      <c r="MU50" s="79">
        <v>2710207.02</v>
      </c>
      <c r="MV50" s="79">
        <v>2809564.05</v>
      </c>
      <c r="MW50" s="79">
        <v>2809564.05</v>
      </c>
      <c r="MX50" s="79">
        <v>2809564.05</v>
      </c>
      <c r="MY50" s="79">
        <v>2804564.05</v>
      </c>
      <c r="MZ50" s="79">
        <v>2872500.35</v>
      </c>
      <c r="NA50" s="79">
        <v>2857662.42</v>
      </c>
      <c r="NB50" s="79">
        <v>2815060.67</v>
      </c>
      <c r="NC50" s="79">
        <v>2815060.67</v>
      </c>
      <c r="ND50" s="79">
        <v>2815060.67</v>
      </c>
      <c r="NE50" s="79">
        <v>2810276.67</v>
      </c>
      <c r="NF50" s="79">
        <v>3190675.33</v>
      </c>
      <c r="NG50" s="79">
        <v>3190675.33</v>
      </c>
      <c r="NH50" s="79">
        <v>3182010.2</v>
      </c>
      <c r="NI50" s="79">
        <v>3177010.2</v>
      </c>
      <c r="NJ50" s="79">
        <v>3177010.2</v>
      </c>
      <c r="NK50" s="79">
        <v>3304265.16</v>
      </c>
      <c r="NL50" s="79">
        <v>3288475.68</v>
      </c>
      <c r="NM50" s="79">
        <v>3387309.68</v>
      </c>
      <c r="NN50" s="79">
        <v>3387309.68</v>
      </c>
      <c r="NO50" s="79">
        <v>3387309.68</v>
      </c>
      <c r="NP50" s="79">
        <v>3387309.68</v>
      </c>
      <c r="NQ50" s="79">
        <v>3373671.49</v>
      </c>
      <c r="NR50" s="79">
        <v>3369342.29</v>
      </c>
      <c r="NS50" s="79">
        <v>3356742.29</v>
      </c>
      <c r="NT50" s="79">
        <v>3356342.29</v>
      </c>
      <c r="NU50" s="79">
        <v>3356342.29</v>
      </c>
      <c r="NV50" s="79">
        <v>3487380.85</v>
      </c>
      <c r="NW50" s="79">
        <v>3471642.81</v>
      </c>
      <c r="NX50" s="79">
        <v>3471642.81</v>
      </c>
      <c r="NY50" s="79">
        <v>3460533.45</v>
      </c>
      <c r="NZ50" s="79">
        <v>3460533.45</v>
      </c>
      <c r="OA50" s="79">
        <v>3460533.45</v>
      </c>
      <c r="OB50" s="79">
        <v>3460133.45</v>
      </c>
      <c r="OC50" s="79">
        <v>3460133.45</v>
      </c>
      <c r="OD50" s="79">
        <v>3460133.45</v>
      </c>
      <c r="OE50" s="79">
        <v>3457529.19</v>
      </c>
      <c r="OF50" s="79">
        <v>3457529.19</v>
      </c>
      <c r="OG50" s="79">
        <v>3433202.91</v>
      </c>
      <c r="OH50" s="79">
        <v>3407674.26</v>
      </c>
      <c r="OI50" s="79">
        <v>3407674.26</v>
      </c>
      <c r="OJ50" s="79">
        <v>2221835.23</v>
      </c>
      <c r="OK50" s="79">
        <v>3097063.99</v>
      </c>
      <c r="OL50" s="79">
        <v>3097063.99</v>
      </c>
      <c r="OM50" s="79">
        <v>3097063.99</v>
      </c>
      <c r="ON50" s="79">
        <v>3097063.99</v>
      </c>
      <c r="OO50" s="79">
        <v>2453795.34</v>
      </c>
      <c r="OP50" s="79">
        <v>2739108.1</v>
      </c>
      <c r="OQ50" s="79">
        <v>2739108.1</v>
      </c>
      <c r="OR50" s="79">
        <v>2739108.1</v>
      </c>
      <c r="OS50" s="79">
        <v>2739008.1</v>
      </c>
      <c r="OT50" s="79">
        <v>2739008.1</v>
      </c>
      <c r="OU50" s="79">
        <v>2618559.1800000002</v>
      </c>
      <c r="OV50" s="79">
        <v>2617245.9500000002</v>
      </c>
      <c r="OW50" s="79">
        <v>2577376.71</v>
      </c>
      <c r="OX50" s="79">
        <v>2577376.71</v>
      </c>
      <c r="OY50" s="79">
        <v>2577376.71</v>
      </c>
      <c r="OZ50" s="79">
        <v>1138760.6299999999</v>
      </c>
      <c r="PA50" s="79">
        <v>2520766.34</v>
      </c>
      <c r="PB50" s="79">
        <v>2520766.34</v>
      </c>
      <c r="PC50" s="79">
        <v>2516766.34</v>
      </c>
      <c r="PD50" s="79">
        <v>2368831.83</v>
      </c>
      <c r="PE50" s="79">
        <v>2350876.23</v>
      </c>
      <c r="PF50" s="79">
        <v>2350876.23</v>
      </c>
      <c r="PG50" s="79">
        <v>2342390.23</v>
      </c>
      <c r="PH50" s="79">
        <v>2329021.66</v>
      </c>
      <c r="PI50" s="79">
        <v>2302955.34</v>
      </c>
      <c r="PJ50" s="79">
        <v>2215107.63</v>
      </c>
      <c r="PK50" s="79">
        <v>2211607.63</v>
      </c>
      <c r="PL50" s="79">
        <v>2199307.44</v>
      </c>
      <c r="PM50" s="79">
        <v>2196822.73</v>
      </c>
      <c r="PN50" s="79">
        <v>2196822.73</v>
      </c>
      <c r="PO50" s="79">
        <v>1503706.34</v>
      </c>
      <c r="PP50" s="79">
        <v>2889771.19</v>
      </c>
      <c r="PQ50" s="79">
        <v>2836197.54</v>
      </c>
      <c r="PR50" s="79">
        <v>2836197.54</v>
      </c>
      <c r="PS50" s="79">
        <v>2836197.54</v>
      </c>
      <c r="PT50" s="79">
        <v>2417543.27</v>
      </c>
      <c r="PU50" s="79">
        <v>2417543.27</v>
      </c>
      <c r="PV50" s="79">
        <v>2417543.27</v>
      </c>
      <c r="PW50" s="79">
        <v>2368563.27</v>
      </c>
      <c r="PX50" s="79">
        <v>2347989.7599999998</v>
      </c>
      <c r="PY50" s="79">
        <v>2329815.1</v>
      </c>
      <c r="PZ50" s="79">
        <v>2325890.88</v>
      </c>
      <c r="QA50" s="79">
        <v>2323890.88</v>
      </c>
      <c r="QB50" s="79">
        <v>2323890.88</v>
      </c>
      <c r="QC50" s="79">
        <v>2340169.66</v>
      </c>
      <c r="QD50" s="79">
        <v>2340169.66</v>
      </c>
      <c r="QE50" s="79">
        <v>1279315.6000000001</v>
      </c>
      <c r="QF50" s="79">
        <v>2612440.54</v>
      </c>
      <c r="QG50" s="79">
        <v>2612440.54</v>
      </c>
      <c r="QH50" s="79">
        <v>2612440.54</v>
      </c>
      <c r="QI50" s="79">
        <v>2612440.54</v>
      </c>
      <c r="QJ50" s="79">
        <v>2612440.54</v>
      </c>
      <c r="QK50" s="79">
        <v>2609440.54</v>
      </c>
      <c r="QL50" s="79">
        <v>2600793.02</v>
      </c>
      <c r="QM50" s="79">
        <v>2592293.02</v>
      </c>
      <c r="QN50" s="79">
        <v>2478456.88</v>
      </c>
      <c r="QO50" s="79">
        <v>2478456.88</v>
      </c>
      <c r="QP50" s="79">
        <v>2476456.88</v>
      </c>
      <c r="QQ50" s="79">
        <v>2476456.88</v>
      </c>
      <c r="QR50" s="79">
        <v>3009986.52</v>
      </c>
      <c r="QS50" s="79">
        <v>3009986.52</v>
      </c>
      <c r="QT50" s="79">
        <v>1854055.58</v>
      </c>
      <c r="QU50" s="79">
        <v>1802752.9</v>
      </c>
      <c r="QV50" s="79">
        <v>1802752.9</v>
      </c>
      <c r="QW50" s="79">
        <v>1802752.9</v>
      </c>
      <c r="QX50" s="79">
        <v>1772752.9</v>
      </c>
      <c r="QY50" s="79">
        <v>1772752.9</v>
      </c>
      <c r="QZ50" s="79">
        <v>1772752.9</v>
      </c>
      <c r="RA50" s="79">
        <v>1772752.9</v>
      </c>
      <c r="RB50" s="79">
        <v>1621838.77</v>
      </c>
      <c r="RC50" s="79">
        <v>1621838.77</v>
      </c>
      <c r="RD50" s="79">
        <v>1597418.66</v>
      </c>
      <c r="RE50" s="79">
        <v>1597418.66</v>
      </c>
      <c r="RF50" s="79">
        <v>1597418.66</v>
      </c>
      <c r="RG50" s="79">
        <v>1597418.66</v>
      </c>
      <c r="RH50" s="79">
        <v>1901005.02</v>
      </c>
      <c r="RI50" s="79">
        <v>1780953.64</v>
      </c>
      <c r="RJ50" s="79">
        <v>731268.71</v>
      </c>
      <c r="RK50" s="79">
        <v>731268.71</v>
      </c>
      <c r="RL50" s="79">
        <v>731268.71</v>
      </c>
      <c r="RM50" s="79">
        <v>731268.71</v>
      </c>
      <c r="RN50" s="79">
        <v>731268.71</v>
      </c>
      <c r="RO50" s="79">
        <v>731268.71</v>
      </c>
      <c r="RP50" s="79">
        <v>731268.71</v>
      </c>
      <c r="RQ50" s="79">
        <v>731268.71</v>
      </c>
      <c r="RR50" s="79">
        <v>731268.71</v>
      </c>
      <c r="RS50" s="79">
        <v>709621.31</v>
      </c>
      <c r="RT50" s="79">
        <v>706121.31</v>
      </c>
      <c r="RU50" s="79">
        <v>706121.31</v>
      </c>
      <c r="RV50" s="79">
        <v>240619.53</v>
      </c>
      <c r="RW50" s="79">
        <v>900221.86</v>
      </c>
      <c r="RX50" s="79">
        <v>897221.86</v>
      </c>
      <c r="RY50" s="79">
        <v>897221.86</v>
      </c>
      <c r="RZ50" s="79">
        <v>871237.42</v>
      </c>
      <c r="SA50" s="79">
        <v>845372.93</v>
      </c>
      <c r="SB50" s="79">
        <v>826499.93</v>
      </c>
      <c r="SC50" s="79">
        <v>826499.93</v>
      </c>
      <c r="SD50" s="79">
        <v>826499.93</v>
      </c>
      <c r="SE50" s="79">
        <v>807742.14</v>
      </c>
      <c r="SF50" s="79">
        <v>807742.14</v>
      </c>
      <c r="SG50" s="79">
        <v>787742.14</v>
      </c>
      <c r="SH50" s="79">
        <v>755649.39</v>
      </c>
      <c r="SI50" s="79">
        <v>749652.75</v>
      </c>
      <c r="SJ50" s="79">
        <v>749652.75</v>
      </c>
      <c r="SK50" s="79">
        <v>749652.75</v>
      </c>
      <c r="SL50" s="79">
        <v>560114.41</v>
      </c>
      <c r="SM50" s="79">
        <v>1917913.26</v>
      </c>
      <c r="SN50" s="79">
        <v>1917913.26</v>
      </c>
      <c r="SO50" s="79">
        <v>1821393.95</v>
      </c>
      <c r="SP50" s="79">
        <v>1821393.95</v>
      </c>
      <c r="SQ50" s="79">
        <v>1821393.95</v>
      </c>
      <c r="SR50" s="79">
        <v>1816444.56</v>
      </c>
      <c r="SS50" s="79">
        <v>1816429.56</v>
      </c>
      <c r="ST50" s="79">
        <v>1786430.17</v>
      </c>
      <c r="SU50" s="79">
        <v>1786430.17</v>
      </c>
      <c r="SV50" s="79">
        <v>1777186.5</v>
      </c>
      <c r="SW50" s="79">
        <v>1777186.5</v>
      </c>
      <c r="SX50" s="79">
        <v>1772861.5</v>
      </c>
      <c r="SY50" s="79">
        <v>1766861.5</v>
      </c>
      <c r="SZ50" s="79">
        <v>1766861.5</v>
      </c>
      <c r="TA50" s="79">
        <v>2279967.5099999998</v>
      </c>
      <c r="TB50" s="79">
        <v>2279967.5099999998</v>
      </c>
      <c r="TC50" s="79">
        <v>2263920.34</v>
      </c>
      <c r="TD50" s="79">
        <v>2263920.34</v>
      </c>
      <c r="TE50" s="79">
        <v>2213208.2000000002</v>
      </c>
      <c r="TF50" s="79">
        <v>2213208.2000000002</v>
      </c>
      <c r="TG50" s="79">
        <v>2213208.2000000002</v>
      </c>
      <c r="TH50" s="87">
        <v>2213208.2000000002</v>
      </c>
      <c r="TI50" s="87">
        <v>2176118.3199999998</v>
      </c>
      <c r="TJ50" s="87">
        <v>2176118.3199999998</v>
      </c>
      <c r="TK50" s="87">
        <v>2176118.3199999998</v>
      </c>
      <c r="TL50" s="87">
        <v>2176118.3199999998</v>
      </c>
      <c r="TM50" s="87">
        <v>2202884.81</v>
      </c>
      <c r="TN50" s="87">
        <v>2174347.7999999998</v>
      </c>
      <c r="TO50" s="87">
        <v>2173947.7999999998</v>
      </c>
      <c r="TP50" s="87">
        <v>2172147.7999999998</v>
      </c>
      <c r="TQ50" s="87">
        <v>2055012.46</v>
      </c>
      <c r="TR50" s="87">
        <v>2055012.46</v>
      </c>
      <c r="TS50" s="87">
        <v>2055012.46</v>
      </c>
      <c r="TT50" s="87">
        <v>2055012.46</v>
      </c>
      <c r="TU50" s="87">
        <v>2055012.46</v>
      </c>
      <c r="TV50" s="87">
        <v>2055012.46</v>
      </c>
      <c r="TW50" s="87">
        <v>2044532.55</v>
      </c>
      <c r="TX50" s="87">
        <v>2044532.55</v>
      </c>
      <c r="TY50" s="87">
        <v>2039490.71</v>
      </c>
      <c r="TZ50" s="87">
        <v>2039490.71</v>
      </c>
      <c r="UA50" s="87">
        <v>2039490.71</v>
      </c>
      <c r="UB50" s="87">
        <v>1996865.37</v>
      </c>
      <c r="UC50" s="87">
        <v>1981843.07</v>
      </c>
      <c r="UD50" s="87">
        <v>1981843.07</v>
      </c>
      <c r="UE50" s="87">
        <v>1132307.1000000001</v>
      </c>
      <c r="UF50" s="87">
        <v>1922507.72</v>
      </c>
      <c r="UG50" s="87">
        <v>1922507.72</v>
      </c>
      <c r="UH50" s="87">
        <v>1887627.72</v>
      </c>
      <c r="UI50" s="87">
        <v>1825519.52</v>
      </c>
      <c r="UJ50" s="87">
        <v>1825519.52</v>
      </c>
      <c r="UK50" s="87">
        <v>582273.76</v>
      </c>
      <c r="UL50" s="87">
        <v>1786712.4</v>
      </c>
      <c r="UM50" s="87">
        <v>1786712.4</v>
      </c>
      <c r="UN50" s="87">
        <v>1786712.4</v>
      </c>
      <c r="UO50" s="87">
        <v>1750062.51</v>
      </c>
      <c r="UP50" s="87">
        <v>1739089.51</v>
      </c>
      <c r="UQ50" s="87">
        <v>1712991.19</v>
      </c>
      <c r="UR50" s="87">
        <v>1712991.19</v>
      </c>
      <c r="US50" s="87">
        <v>1710091.19</v>
      </c>
      <c r="UT50" s="87">
        <v>1710091.19</v>
      </c>
      <c r="UU50" s="87">
        <v>838745.16</v>
      </c>
      <c r="UV50" s="87">
        <v>914431.46</v>
      </c>
      <c r="UW50" s="87">
        <v>914431.46</v>
      </c>
      <c r="UX50" s="87">
        <v>914431.46</v>
      </c>
      <c r="UY50" s="87">
        <v>914431.46</v>
      </c>
      <c r="UZ50" s="87">
        <v>914431.46</v>
      </c>
      <c r="VA50" s="87">
        <v>914431.46</v>
      </c>
      <c r="VB50" s="87">
        <v>914431.46</v>
      </c>
      <c r="VC50" s="87">
        <v>914431.46</v>
      </c>
      <c r="VD50" s="87">
        <v>888493.88</v>
      </c>
      <c r="VE50" s="87">
        <v>888493.88</v>
      </c>
      <c r="VF50" s="87">
        <v>888493.88</v>
      </c>
      <c r="VG50" s="87">
        <v>876699.89</v>
      </c>
      <c r="VH50" s="87">
        <v>876699.89</v>
      </c>
      <c r="VI50" s="87">
        <v>883759.2</v>
      </c>
      <c r="VJ50" s="87">
        <v>1022852.25</v>
      </c>
      <c r="VK50" s="87">
        <v>574012.91</v>
      </c>
      <c r="VL50" s="87">
        <v>574012.91</v>
      </c>
      <c r="VM50" s="87">
        <v>574012.91</v>
      </c>
      <c r="VN50" s="87">
        <v>568804.89</v>
      </c>
      <c r="VO50" s="87">
        <v>568804.89</v>
      </c>
      <c r="VP50" s="87">
        <v>568804.89</v>
      </c>
      <c r="VQ50" s="87">
        <v>568804.89</v>
      </c>
      <c r="VR50" s="87">
        <v>568804.89</v>
      </c>
      <c r="VS50" s="87">
        <v>568804.89</v>
      </c>
      <c r="VT50" s="87">
        <v>568804.89</v>
      </c>
      <c r="VU50" s="87">
        <v>568804.89</v>
      </c>
      <c r="VV50" s="87">
        <v>561490.53</v>
      </c>
      <c r="VW50" s="87">
        <v>523798.31</v>
      </c>
      <c r="VX50" s="87">
        <v>521102.56</v>
      </c>
      <c r="VY50" s="87">
        <v>517257.55</v>
      </c>
      <c r="VZ50" s="87">
        <v>549148.27</v>
      </c>
      <c r="WA50" s="87">
        <v>503332.85</v>
      </c>
      <c r="WB50" s="87">
        <v>503332.85</v>
      </c>
      <c r="WC50" s="87">
        <v>499474.94</v>
      </c>
      <c r="WD50" s="87">
        <v>499474.94</v>
      </c>
      <c r="WE50" s="87">
        <v>499474.94</v>
      </c>
      <c r="WF50" s="87">
        <v>499474.94</v>
      </c>
      <c r="WG50" s="87">
        <v>499474.94</v>
      </c>
      <c r="WH50" s="87">
        <v>499474.94</v>
      </c>
      <c r="WI50" s="87">
        <v>499474.94</v>
      </c>
      <c r="WJ50" s="87">
        <v>499474.94</v>
      </c>
      <c r="WK50" s="87">
        <v>494474.94</v>
      </c>
      <c r="WL50" s="87">
        <v>481878.69</v>
      </c>
      <c r="WM50" s="87">
        <v>333636.5</v>
      </c>
      <c r="WN50" s="87">
        <v>182664.41</v>
      </c>
      <c r="WO50" s="87">
        <v>230245.79</v>
      </c>
      <c r="WP50" s="87">
        <v>230245.79</v>
      </c>
      <c r="WQ50" s="87">
        <v>230245.79</v>
      </c>
      <c r="WR50" s="87">
        <v>230245.79</v>
      </c>
      <c r="WS50" s="87">
        <v>230245.79</v>
      </c>
      <c r="WT50" s="87">
        <v>230245.79</v>
      </c>
      <c r="WU50" s="87">
        <v>230245.79</v>
      </c>
      <c r="WV50" s="87">
        <v>229217.39</v>
      </c>
      <c r="WW50" s="87">
        <v>229217.39</v>
      </c>
      <c r="WX50" s="87">
        <v>229217.39</v>
      </c>
      <c r="WY50" s="87">
        <v>229217.39</v>
      </c>
      <c r="WZ50" s="87">
        <v>229217.39</v>
      </c>
      <c r="XA50" s="87">
        <v>229217.39</v>
      </c>
      <c r="XB50" s="87">
        <v>229217.39</v>
      </c>
      <c r="XC50" s="87">
        <v>229217.39</v>
      </c>
      <c r="XD50" s="87">
        <v>113994.24000000001</v>
      </c>
      <c r="XE50" s="87">
        <v>321498.83</v>
      </c>
      <c r="XF50" s="87">
        <v>301498.84000000003</v>
      </c>
      <c r="XG50" s="87">
        <v>301498.84000000003</v>
      </c>
      <c r="XH50" s="87">
        <v>301498.84000000003</v>
      </c>
      <c r="XI50" s="87">
        <v>290959.78000000003</v>
      </c>
      <c r="XJ50" s="87">
        <v>290959.78000000003</v>
      </c>
      <c r="XK50" s="87">
        <v>290959.78000000003</v>
      </c>
      <c r="XL50" s="87">
        <v>290959.78000000003</v>
      </c>
      <c r="XM50" s="87">
        <v>290959.78000000003</v>
      </c>
      <c r="XN50" s="87">
        <v>277984.78000000003</v>
      </c>
      <c r="XO50" s="87">
        <v>277984.78000000003</v>
      </c>
      <c r="XP50" s="87">
        <v>270554.01</v>
      </c>
      <c r="XQ50" s="87">
        <v>334949.09000000003</v>
      </c>
      <c r="XR50" s="87">
        <v>334949.09000000003</v>
      </c>
      <c r="XS50" s="87">
        <v>295709.65000000002</v>
      </c>
      <c r="XT50" s="87">
        <v>499585.5</v>
      </c>
      <c r="XU50" s="87">
        <v>499585.5</v>
      </c>
      <c r="XV50" s="87">
        <v>499585.5</v>
      </c>
      <c r="XW50" s="87">
        <v>499585.5</v>
      </c>
      <c r="XX50" s="87">
        <v>499585.5</v>
      </c>
      <c r="XY50" s="87">
        <v>499585.5</v>
      </c>
      <c r="XZ50" s="87">
        <v>499585.5</v>
      </c>
      <c r="YA50" s="87">
        <v>499585.5</v>
      </c>
      <c r="YB50" s="87">
        <v>499585.5</v>
      </c>
      <c r="YC50" s="189">
        <v>499586</v>
      </c>
      <c r="YD50" s="189">
        <v>489585.5</v>
      </c>
      <c r="YE50" s="189">
        <v>488533.8</v>
      </c>
      <c r="YF50" s="189">
        <v>485434.75</v>
      </c>
      <c r="YG50" s="189">
        <v>485434.75</v>
      </c>
      <c r="YH50" s="189">
        <v>485434.75</v>
      </c>
      <c r="YI50" s="189">
        <v>301204.89</v>
      </c>
      <c r="YJ50" s="189">
        <v>711902.87</v>
      </c>
      <c r="YK50" s="189">
        <v>711902.87</v>
      </c>
      <c r="YL50" s="189">
        <v>711902.87</v>
      </c>
      <c r="YM50" s="189">
        <v>711902.87</v>
      </c>
    </row>
    <row r="51" spans="1:663" ht="15.75" customHeight="1" x14ac:dyDescent="0.2">
      <c r="A51" s="86"/>
      <c r="B51" s="188" t="s">
        <v>115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79"/>
      <c r="CY51" s="79"/>
      <c r="CZ51" s="79"/>
      <c r="DA51" s="79"/>
      <c r="DB51" s="79"/>
      <c r="DC51" s="79"/>
      <c r="DD51" s="79"/>
      <c r="DE51" s="79"/>
      <c r="DF51" s="79"/>
      <c r="DG51" s="79"/>
      <c r="DH51" s="79"/>
      <c r="DI51" s="79"/>
      <c r="DJ51" s="79"/>
      <c r="DK51" s="79"/>
      <c r="DL51" s="79"/>
      <c r="DM51" s="79"/>
      <c r="DN51" s="79"/>
      <c r="DO51" s="79"/>
      <c r="DP51" s="79"/>
      <c r="DQ51" s="79"/>
      <c r="DR51" s="79"/>
      <c r="DS51" s="79"/>
      <c r="DT51" s="79"/>
      <c r="DU51" s="79"/>
      <c r="DV51" s="79"/>
      <c r="DW51" s="79"/>
      <c r="DX51" s="79"/>
      <c r="DY51" s="79"/>
      <c r="DZ51" s="79"/>
      <c r="EA51" s="79"/>
      <c r="EB51" s="79"/>
      <c r="EC51" s="79"/>
      <c r="ED51" s="79"/>
      <c r="EE51" s="79"/>
      <c r="EF51" s="79"/>
      <c r="EG51" s="79"/>
      <c r="EH51" s="79"/>
      <c r="EI51" s="79"/>
      <c r="EJ51" s="79"/>
      <c r="EK51" s="79"/>
      <c r="EL51" s="79"/>
      <c r="EM51" s="79"/>
      <c r="EN51" s="79"/>
      <c r="EO51" s="79"/>
      <c r="EP51" s="79"/>
      <c r="EQ51" s="79"/>
      <c r="ER51" s="79"/>
      <c r="ES51" s="79"/>
      <c r="ET51" s="79"/>
      <c r="EU51" s="79"/>
      <c r="EV51" s="79"/>
      <c r="EW51" s="79"/>
      <c r="EX51" s="79"/>
      <c r="EY51" s="79"/>
      <c r="EZ51" s="79"/>
      <c r="FA51" s="79"/>
      <c r="FB51" s="79"/>
      <c r="FC51" s="79"/>
      <c r="FD51" s="79"/>
      <c r="FE51" s="79"/>
      <c r="FF51" s="79"/>
      <c r="FG51" s="79"/>
      <c r="FH51" s="79"/>
      <c r="FI51" s="79"/>
      <c r="FJ51" s="79"/>
      <c r="FK51" s="79"/>
      <c r="FL51" s="79"/>
      <c r="FM51" s="79"/>
      <c r="FN51" s="79"/>
      <c r="FO51" s="79"/>
      <c r="FP51" s="79"/>
      <c r="FQ51" s="79"/>
      <c r="FR51" s="79"/>
      <c r="FS51" s="79"/>
      <c r="FT51" s="79"/>
      <c r="FU51" s="79"/>
      <c r="FV51" s="79"/>
      <c r="FW51" s="79"/>
      <c r="FX51" s="79"/>
      <c r="FY51" s="79"/>
      <c r="FZ51" s="79"/>
      <c r="GA51" s="79"/>
      <c r="GB51" s="79"/>
      <c r="GC51" s="79"/>
      <c r="GD51" s="79"/>
      <c r="GE51" s="79"/>
      <c r="GF51" s="79"/>
      <c r="GG51" s="79"/>
      <c r="GH51" s="79"/>
      <c r="GI51" s="79"/>
      <c r="GJ51" s="79"/>
      <c r="GK51" s="79"/>
      <c r="GL51" s="79"/>
      <c r="GM51" s="79"/>
      <c r="GN51" s="79"/>
      <c r="GO51" s="79"/>
      <c r="GP51" s="79"/>
      <c r="GQ51" s="79"/>
      <c r="GR51" s="79"/>
      <c r="GS51" s="79"/>
      <c r="GT51" s="79"/>
      <c r="GU51" s="79"/>
      <c r="GV51" s="79"/>
      <c r="GW51" s="79"/>
      <c r="GX51" s="79"/>
      <c r="GY51" s="79"/>
      <c r="GZ51" s="79"/>
      <c r="HA51" s="79"/>
      <c r="HB51" s="79"/>
      <c r="HC51" s="79"/>
      <c r="HD51" s="79"/>
      <c r="HE51" s="79"/>
      <c r="HF51" s="79"/>
      <c r="HG51" s="79"/>
      <c r="HH51" s="79"/>
      <c r="HI51" s="79"/>
      <c r="HJ51" s="79"/>
      <c r="HK51" s="79"/>
      <c r="HL51" s="79"/>
      <c r="HM51" s="79"/>
      <c r="HN51" s="79"/>
      <c r="HO51" s="79"/>
      <c r="HP51" s="79"/>
      <c r="HQ51" s="79"/>
      <c r="HR51" s="79"/>
      <c r="HS51" s="79"/>
      <c r="HT51" s="79"/>
      <c r="HU51" s="79"/>
      <c r="HV51" s="79"/>
      <c r="HW51" s="79"/>
      <c r="HX51" s="79"/>
      <c r="HY51" s="79"/>
      <c r="HZ51" s="79"/>
      <c r="IA51" s="79"/>
      <c r="IB51" s="79"/>
      <c r="IC51" s="79"/>
      <c r="ID51" s="79"/>
      <c r="IE51" s="79"/>
      <c r="IF51" s="79"/>
      <c r="IG51" s="79"/>
      <c r="IH51" s="79"/>
      <c r="II51" s="79"/>
      <c r="IJ51" s="79"/>
      <c r="IK51" s="79"/>
      <c r="IL51" s="79"/>
      <c r="IM51" s="79"/>
      <c r="IN51" s="79"/>
      <c r="IO51" s="79"/>
      <c r="IP51" s="79"/>
      <c r="IQ51" s="79"/>
      <c r="IR51" s="79"/>
      <c r="IS51" s="79"/>
      <c r="IT51" s="79"/>
      <c r="IU51" s="79"/>
      <c r="IV51" s="79"/>
      <c r="IW51" s="79"/>
      <c r="IX51" s="79"/>
      <c r="IY51" s="79"/>
      <c r="IZ51" s="79"/>
      <c r="JA51" s="79"/>
      <c r="JB51" s="79"/>
      <c r="JC51" s="79"/>
      <c r="JD51" s="79"/>
      <c r="JE51" s="79"/>
      <c r="JF51" s="79"/>
      <c r="JG51" s="79"/>
      <c r="JH51" s="79"/>
      <c r="JI51" s="79"/>
      <c r="JJ51" s="79"/>
      <c r="JK51" s="79"/>
      <c r="JL51" s="79"/>
      <c r="JM51" s="79"/>
      <c r="JN51" s="79"/>
      <c r="JO51" s="79">
        <v>658035.01</v>
      </c>
      <c r="JP51" s="79">
        <v>658035.01</v>
      </c>
      <c r="JQ51" s="79">
        <v>749493.87</v>
      </c>
      <c r="JR51" s="79">
        <v>752993.87</v>
      </c>
      <c r="JS51" s="79">
        <v>752993.87</v>
      </c>
      <c r="JT51" s="79">
        <v>560258.56000000006</v>
      </c>
      <c r="JU51" s="79">
        <v>560258.56000000006</v>
      </c>
      <c r="JV51" s="79">
        <v>597768.47</v>
      </c>
      <c r="JW51" s="79">
        <v>600768.47</v>
      </c>
      <c r="JX51" s="79">
        <v>600768.47</v>
      </c>
      <c r="JY51" s="79">
        <v>600768.47</v>
      </c>
      <c r="JZ51" s="79">
        <v>600768.47</v>
      </c>
      <c r="KA51" s="79">
        <v>596645.47</v>
      </c>
      <c r="KB51" s="79">
        <v>596645.47</v>
      </c>
      <c r="KC51" s="79">
        <v>596645.47</v>
      </c>
      <c r="KD51" s="79">
        <v>596645.47</v>
      </c>
      <c r="KE51" s="79">
        <v>198053.89</v>
      </c>
      <c r="KF51" s="79">
        <v>198053.89</v>
      </c>
      <c r="KG51" s="79">
        <v>488663.89</v>
      </c>
      <c r="KH51" s="79">
        <v>499663.89</v>
      </c>
      <c r="KI51" s="79">
        <v>432955.77</v>
      </c>
      <c r="KJ51" s="79"/>
      <c r="KK51" s="79">
        <v>584245.61</v>
      </c>
      <c r="KL51" s="79">
        <v>588245.61</v>
      </c>
      <c r="KM51" s="79">
        <v>588245.61</v>
      </c>
      <c r="KN51" s="79">
        <v>588245.61</v>
      </c>
      <c r="KO51" s="79">
        <v>588245.61</v>
      </c>
      <c r="KP51" s="79">
        <v>588245.61</v>
      </c>
      <c r="KQ51" s="79">
        <v>588245.61</v>
      </c>
      <c r="KR51" s="79">
        <v>586391.24</v>
      </c>
      <c r="KS51" s="79">
        <v>580137.24</v>
      </c>
      <c r="KT51" s="79">
        <v>489301.38</v>
      </c>
      <c r="KU51" s="79">
        <v>489301.38</v>
      </c>
      <c r="KV51" s="79">
        <v>938330.55</v>
      </c>
      <c r="KW51" s="79">
        <v>942330.55</v>
      </c>
      <c r="KX51" s="79">
        <v>942330.55</v>
      </c>
      <c r="KY51" s="79">
        <v>896237.64</v>
      </c>
      <c r="KZ51" s="79">
        <v>896237.64</v>
      </c>
      <c r="LA51" s="79">
        <v>957089.5</v>
      </c>
      <c r="LB51" s="79">
        <v>959089.5</v>
      </c>
      <c r="LC51" s="79">
        <v>959089.5</v>
      </c>
      <c r="LD51" s="79">
        <v>959089.5</v>
      </c>
      <c r="LE51" s="79">
        <v>959089.5</v>
      </c>
      <c r="LF51" s="79">
        <v>959089.5</v>
      </c>
      <c r="LG51" s="79">
        <v>929784.27</v>
      </c>
      <c r="LH51" s="79">
        <v>929784.27</v>
      </c>
      <c r="LI51" s="79">
        <v>918899.81</v>
      </c>
      <c r="LJ51" s="79">
        <v>634065.56000000006</v>
      </c>
      <c r="LK51" s="79">
        <v>634065.56000000006</v>
      </c>
      <c r="LL51" s="79">
        <v>1293237.8600000001</v>
      </c>
      <c r="LM51" s="79">
        <v>1305237.8600000001</v>
      </c>
      <c r="LN51" s="79">
        <v>1158056.3899999999</v>
      </c>
      <c r="LO51" s="79">
        <v>1158056.3899999999</v>
      </c>
      <c r="LP51" s="79">
        <v>1205683.76</v>
      </c>
      <c r="LQ51" s="79">
        <v>1205683.76</v>
      </c>
      <c r="LR51" s="79">
        <v>1205683.76</v>
      </c>
      <c r="LS51" s="79">
        <v>1205683.76</v>
      </c>
      <c r="LT51" s="79">
        <v>1205683.76</v>
      </c>
      <c r="LU51" s="79">
        <v>1196520.82</v>
      </c>
      <c r="LV51" s="79">
        <v>1196520.82</v>
      </c>
      <c r="LW51" s="79">
        <v>1196520.82</v>
      </c>
      <c r="LX51" s="79">
        <v>1184214.8999999999</v>
      </c>
      <c r="LY51" s="79">
        <v>769828.06</v>
      </c>
      <c r="LZ51" s="79">
        <v>966300.27</v>
      </c>
      <c r="MA51" s="79">
        <v>970300.27</v>
      </c>
      <c r="MB51" s="79">
        <v>970300.27</v>
      </c>
      <c r="MC51" s="79">
        <v>970300.27</v>
      </c>
      <c r="MD51" s="79">
        <v>907448.41</v>
      </c>
      <c r="ME51" s="79">
        <v>1449058.43</v>
      </c>
      <c r="MF51" s="79">
        <v>1456058.43</v>
      </c>
      <c r="MG51" s="79">
        <v>1451058.43</v>
      </c>
      <c r="MH51" s="79">
        <v>1451058.43</v>
      </c>
      <c r="MI51" s="79">
        <v>1446058.43</v>
      </c>
      <c r="MJ51" s="79">
        <v>1439256.43</v>
      </c>
      <c r="MK51" s="79">
        <v>1439256.43</v>
      </c>
      <c r="ML51" s="79">
        <v>1439256.43</v>
      </c>
      <c r="MM51" s="79">
        <v>1439256.43</v>
      </c>
      <c r="MN51" s="79">
        <v>1427808.63</v>
      </c>
      <c r="MO51" s="79">
        <v>757473.8</v>
      </c>
      <c r="MP51" s="79">
        <v>1796657.94</v>
      </c>
      <c r="MQ51" s="79">
        <v>1804171.98</v>
      </c>
      <c r="MR51" s="79">
        <v>1804171.98</v>
      </c>
      <c r="MS51" s="79">
        <v>1762530.61</v>
      </c>
      <c r="MT51" s="79">
        <v>1817564.54</v>
      </c>
      <c r="MU51" s="79">
        <v>1786588.42</v>
      </c>
      <c r="MV51" s="79">
        <v>1786588.42</v>
      </c>
      <c r="MW51" s="79">
        <v>1786588.42</v>
      </c>
      <c r="MX51" s="79">
        <v>1786588.42</v>
      </c>
      <c r="MY51" s="79">
        <v>1786588.42</v>
      </c>
      <c r="MZ51" s="79">
        <v>1694263.38</v>
      </c>
      <c r="NA51" s="79">
        <v>1691154</v>
      </c>
      <c r="NB51" s="79">
        <v>1683823.75</v>
      </c>
      <c r="NC51" s="79">
        <v>1500280.11</v>
      </c>
      <c r="ND51" s="79">
        <v>1494280.11</v>
      </c>
      <c r="NE51" s="79">
        <v>1494280.11</v>
      </c>
      <c r="NF51" s="79">
        <v>2341146.4700000002</v>
      </c>
      <c r="NG51" s="79">
        <v>2341146.4700000002</v>
      </c>
      <c r="NH51" s="79">
        <v>1861429.14</v>
      </c>
      <c r="NI51" s="79">
        <v>1858766.73</v>
      </c>
      <c r="NJ51" s="79">
        <v>1846066.73</v>
      </c>
      <c r="NK51" s="79">
        <v>2380461.5699999998</v>
      </c>
      <c r="NL51" s="79">
        <v>2380461.5699999998</v>
      </c>
      <c r="NM51" s="79">
        <v>2263627.5699999998</v>
      </c>
      <c r="NN51" s="79">
        <v>2263627.5699999998</v>
      </c>
      <c r="NO51" s="79">
        <v>2269032.5699999998</v>
      </c>
      <c r="NP51" s="79">
        <v>2259132.5699999998</v>
      </c>
      <c r="NQ51" s="79">
        <v>2259132.5699999998</v>
      </c>
      <c r="NR51" s="79">
        <v>2259132.5699999998</v>
      </c>
      <c r="NS51" s="79">
        <v>1399284.2</v>
      </c>
      <c r="NT51" s="79">
        <v>1399284.2</v>
      </c>
      <c r="NU51" s="79">
        <v>1399284.2</v>
      </c>
      <c r="NV51" s="79">
        <v>2842773.86</v>
      </c>
      <c r="NW51" s="79">
        <v>2773380.86</v>
      </c>
      <c r="NX51" s="79">
        <v>2773380.86</v>
      </c>
      <c r="NY51" s="79">
        <v>2863176.23</v>
      </c>
      <c r="NZ51" s="79">
        <v>2867561.85</v>
      </c>
      <c r="OA51" s="79">
        <v>2867561.85</v>
      </c>
      <c r="OB51" s="79">
        <v>2867561.85</v>
      </c>
      <c r="OC51" s="79">
        <v>2867561.85</v>
      </c>
      <c r="OD51" s="79">
        <v>2849096.84</v>
      </c>
      <c r="OE51" s="79">
        <v>2868690.7</v>
      </c>
      <c r="OF51" s="79">
        <v>2860425.7</v>
      </c>
      <c r="OG51" s="79">
        <v>2824665.05</v>
      </c>
      <c r="OH51" s="79">
        <v>2824665.05</v>
      </c>
      <c r="OI51" s="79">
        <v>2014883.07</v>
      </c>
      <c r="OJ51" s="79">
        <v>3199722.1</v>
      </c>
      <c r="OK51" s="79">
        <v>3207722.1</v>
      </c>
      <c r="OL51" s="79">
        <v>3207722.1</v>
      </c>
      <c r="OM51" s="79">
        <v>3207722.1</v>
      </c>
      <c r="ON51" s="79">
        <v>2685492.26</v>
      </c>
      <c r="OO51" s="79">
        <v>3324086.54</v>
      </c>
      <c r="OP51" s="79">
        <v>3324086.54</v>
      </c>
      <c r="OQ51" s="79">
        <v>3314038.24</v>
      </c>
      <c r="OR51" s="79">
        <v>3314038.24</v>
      </c>
      <c r="OS51" s="79">
        <v>3337830.07</v>
      </c>
      <c r="OT51" s="79">
        <v>3337330.07</v>
      </c>
      <c r="OU51" s="79">
        <v>3323330.07</v>
      </c>
      <c r="OV51" s="79">
        <v>3302535.15</v>
      </c>
      <c r="OW51" s="79">
        <v>3300535.15</v>
      </c>
      <c r="OX51" s="79">
        <v>3300535.15</v>
      </c>
      <c r="OY51" s="79">
        <v>1889115.63</v>
      </c>
      <c r="OZ51" s="79">
        <v>3321583.71</v>
      </c>
      <c r="PA51" s="79">
        <v>3346583.71</v>
      </c>
      <c r="PB51" s="79">
        <v>3346583.71</v>
      </c>
      <c r="PC51" s="79">
        <v>3264350</v>
      </c>
      <c r="PD51" s="79">
        <v>3412284.51</v>
      </c>
      <c r="PE51" s="79">
        <v>3412284.51</v>
      </c>
      <c r="PF51" s="79">
        <v>3412284.51</v>
      </c>
      <c r="PG51" s="79">
        <v>3412284.51</v>
      </c>
      <c r="PH51" s="79">
        <v>3404839.51</v>
      </c>
      <c r="PI51" s="79">
        <v>3400087.34</v>
      </c>
      <c r="PJ51" s="79">
        <v>3401447.27</v>
      </c>
      <c r="PK51" s="79">
        <v>3401447.27</v>
      </c>
      <c r="PL51" s="79">
        <v>2235005.5</v>
      </c>
      <c r="PM51" s="79">
        <v>2226505.5</v>
      </c>
      <c r="PN51" s="79">
        <v>2226505.5</v>
      </c>
      <c r="PO51" s="79">
        <v>2919621.89</v>
      </c>
      <c r="PP51" s="79">
        <v>2919621.89</v>
      </c>
      <c r="PQ51" s="79">
        <v>2919621.89</v>
      </c>
      <c r="PR51" s="79">
        <v>2276513.91</v>
      </c>
      <c r="PS51" s="79">
        <v>2276513.91</v>
      </c>
      <c r="PT51" s="79">
        <v>2623642.38</v>
      </c>
      <c r="PU51" s="79">
        <v>2623642.38</v>
      </c>
      <c r="PV51" s="79">
        <v>2623642.38</v>
      </c>
      <c r="PW51" s="79">
        <v>2610450</v>
      </c>
      <c r="PX51" s="79">
        <v>2610450</v>
      </c>
      <c r="PY51" s="79">
        <v>2582793.17</v>
      </c>
      <c r="PZ51" s="79">
        <v>2579672.34</v>
      </c>
      <c r="QA51" s="79">
        <v>2579672.34</v>
      </c>
      <c r="QB51" s="79">
        <v>2579672.34</v>
      </c>
      <c r="QC51" s="79">
        <v>1164522.54</v>
      </c>
      <c r="QD51" s="79">
        <v>1164522.54</v>
      </c>
      <c r="QE51" s="79">
        <v>2221376.6</v>
      </c>
      <c r="QF51" s="79">
        <v>2221376.6</v>
      </c>
      <c r="QG51" s="79">
        <v>2073442.09</v>
      </c>
      <c r="QH51" s="79">
        <v>2073442.09</v>
      </c>
      <c r="QI51" s="79">
        <v>2070892.99</v>
      </c>
      <c r="QJ51" s="79">
        <v>2067392.99</v>
      </c>
      <c r="QK51" s="79">
        <v>2067392.99</v>
      </c>
      <c r="QL51" s="79">
        <v>2067392.99</v>
      </c>
      <c r="QM51" s="79">
        <v>2056290.17</v>
      </c>
      <c r="QN51" s="79">
        <v>2022932.36</v>
      </c>
      <c r="QO51" s="79">
        <v>2012679.59</v>
      </c>
      <c r="QP51" s="79">
        <v>2012679.59</v>
      </c>
      <c r="QQ51" s="79">
        <v>1986216.71</v>
      </c>
      <c r="QR51" s="79">
        <v>1333827.76</v>
      </c>
      <c r="QS51" s="79">
        <v>1333827.76</v>
      </c>
      <c r="QT51" s="79">
        <v>2489758.7000000002</v>
      </c>
      <c r="QU51" s="79">
        <v>2489758.7000000002</v>
      </c>
      <c r="QV51" s="79">
        <v>2489758.7000000002</v>
      </c>
      <c r="QW51" s="79">
        <v>2187566.94</v>
      </c>
      <c r="QX51" s="79">
        <v>2187566.94</v>
      </c>
      <c r="QY51" s="79">
        <v>2153850.9900000002</v>
      </c>
      <c r="QZ51" s="79">
        <v>2153850.9900000002</v>
      </c>
      <c r="RA51" s="79">
        <v>2087325.19</v>
      </c>
      <c r="RB51" s="79">
        <v>2087325.19</v>
      </c>
      <c r="RC51" s="79">
        <v>2109293.25</v>
      </c>
      <c r="RD51" s="79">
        <v>2064923.86</v>
      </c>
      <c r="RE51" s="79">
        <v>2064923.86</v>
      </c>
      <c r="RF51" s="79">
        <v>2064923.86</v>
      </c>
      <c r="RG51" s="79">
        <v>2064923.86</v>
      </c>
      <c r="RH51" s="79">
        <v>1094335.0900000001</v>
      </c>
      <c r="RI51" s="79">
        <v>1074335.0900000001</v>
      </c>
      <c r="RJ51" s="79">
        <v>2117179.15</v>
      </c>
      <c r="RK51" s="79">
        <v>2117179.15</v>
      </c>
      <c r="RL51" s="79">
        <v>2117179.15</v>
      </c>
      <c r="RM51" s="79">
        <v>2117179.15</v>
      </c>
      <c r="RN51" s="79">
        <v>2106563.27</v>
      </c>
      <c r="RO51" s="79">
        <v>2106563.27</v>
      </c>
      <c r="RP51" s="79">
        <v>2106563.27</v>
      </c>
      <c r="RQ51" s="79">
        <v>2106563.27</v>
      </c>
      <c r="RR51" s="79">
        <v>2106563.27</v>
      </c>
      <c r="RS51" s="79">
        <v>2085741.7</v>
      </c>
      <c r="RT51" s="79">
        <v>2072457.95</v>
      </c>
      <c r="RU51" s="79">
        <v>2072457.95</v>
      </c>
      <c r="RV51" s="79">
        <v>2580959.73</v>
      </c>
      <c r="RW51" s="79">
        <v>1431401.9</v>
      </c>
      <c r="RX51" s="79">
        <v>1431401.9</v>
      </c>
      <c r="RY51" s="79">
        <v>1431401.9</v>
      </c>
      <c r="RZ51" s="79">
        <v>1431401.9</v>
      </c>
      <c r="SA51" s="79">
        <v>1431401.9</v>
      </c>
      <c r="SB51" s="79">
        <v>1431401.9</v>
      </c>
      <c r="SC51" s="79">
        <v>1431401.9</v>
      </c>
      <c r="SD51" s="79">
        <v>1431401.9</v>
      </c>
      <c r="SE51" s="79">
        <v>1384808.14</v>
      </c>
      <c r="SF51" s="79">
        <v>1384808.14</v>
      </c>
      <c r="SG51" s="79">
        <v>1384808.14</v>
      </c>
      <c r="SH51" s="79">
        <v>1388319.8</v>
      </c>
      <c r="SI51" s="79">
        <v>1388319.8</v>
      </c>
      <c r="SJ51" s="79">
        <v>1388319.8</v>
      </c>
      <c r="SK51" s="79">
        <v>1393553.51</v>
      </c>
      <c r="SL51" s="79">
        <v>1622297.08</v>
      </c>
      <c r="SM51" s="79">
        <v>662531.81999999995</v>
      </c>
      <c r="SN51" s="79">
        <v>662531.81999999995</v>
      </c>
      <c r="SO51" s="79">
        <v>662531.81999999995</v>
      </c>
      <c r="SP51" s="79">
        <v>662531.81999999995</v>
      </c>
      <c r="SQ51" s="79">
        <v>662531.81999999995</v>
      </c>
      <c r="SR51" s="79">
        <v>662531.81999999995</v>
      </c>
      <c r="SS51" s="79">
        <v>662531.81999999995</v>
      </c>
      <c r="ST51" s="79">
        <v>662531.81999999995</v>
      </c>
      <c r="SU51" s="79">
        <v>662531.81999999995</v>
      </c>
      <c r="SV51" s="79">
        <v>662531.81999999995</v>
      </c>
      <c r="SW51" s="79">
        <v>662531.81999999995</v>
      </c>
      <c r="SX51" s="79">
        <v>662531.81999999995</v>
      </c>
      <c r="SY51" s="79">
        <v>314951.03000000003</v>
      </c>
      <c r="SZ51" s="79">
        <v>304669.21000000002</v>
      </c>
      <c r="TA51" s="79">
        <v>814122.61</v>
      </c>
      <c r="TB51" s="79">
        <v>814122.61</v>
      </c>
      <c r="TC51" s="79">
        <v>814122.61</v>
      </c>
      <c r="TD51" s="79">
        <v>814122.61</v>
      </c>
      <c r="TE51" s="79">
        <v>814122.61</v>
      </c>
      <c r="TF51" s="79">
        <v>814122.61</v>
      </c>
      <c r="TG51" s="79">
        <v>814122.61</v>
      </c>
      <c r="TH51" s="87">
        <v>814122.61</v>
      </c>
      <c r="TI51" s="87">
        <v>814122.61</v>
      </c>
      <c r="TJ51" s="87">
        <v>814122.61</v>
      </c>
      <c r="TK51" s="87">
        <v>814122.61</v>
      </c>
      <c r="TL51" s="87">
        <v>814122.61</v>
      </c>
      <c r="TM51" s="87">
        <v>780736.23</v>
      </c>
      <c r="TN51" s="87">
        <v>780736.23</v>
      </c>
      <c r="TO51" s="87">
        <v>605731.51</v>
      </c>
      <c r="TP51" s="87">
        <v>605731.51</v>
      </c>
      <c r="TQ51" s="87">
        <v>1724075.43</v>
      </c>
      <c r="TR51" s="87">
        <v>1724075.43</v>
      </c>
      <c r="TS51" s="87">
        <v>1724075.43</v>
      </c>
      <c r="TT51" s="87">
        <v>1724075.43</v>
      </c>
      <c r="TU51" s="87">
        <v>1724075.43</v>
      </c>
      <c r="TV51" s="87">
        <v>1724075.43</v>
      </c>
      <c r="TW51" s="87">
        <v>1724075.43</v>
      </c>
      <c r="TX51" s="87">
        <v>1724075.43</v>
      </c>
      <c r="TY51" s="87">
        <v>1724075.43</v>
      </c>
      <c r="TZ51" s="87">
        <v>1724075.43</v>
      </c>
      <c r="UA51" s="87">
        <v>1724075.43</v>
      </c>
      <c r="UB51" s="87">
        <v>1707617.13</v>
      </c>
      <c r="UC51" s="87">
        <v>1724604.98</v>
      </c>
      <c r="UD51" s="87">
        <v>1211870.58</v>
      </c>
      <c r="UE51" s="87">
        <v>2055987.52</v>
      </c>
      <c r="UF51" s="87">
        <v>2055987.52</v>
      </c>
      <c r="UG51" s="87">
        <v>2055987.52</v>
      </c>
      <c r="UH51" s="87">
        <v>2046407.79</v>
      </c>
      <c r="UI51" s="87">
        <v>2043737.79</v>
      </c>
      <c r="UJ51" s="87">
        <v>2038737.79</v>
      </c>
      <c r="UK51" s="87">
        <v>2038737.79</v>
      </c>
      <c r="UL51" s="87">
        <v>2038737.79</v>
      </c>
      <c r="UM51" s="87">
        <v>2038737.79</v>
      </c>
      <c r="UN51" s="87">
        <v>2038737.79</v>
      </c>
      <c r="UO51" s="87">
        <v>2064663.26</v>
      </c>
      <c r="UP51" s="87">
        <v>2072636.26</v>
      </c>
      <c r="UQ51" s="87">
        <v>2098734.58</v>
      </c>
      <c r="UR51" s="87">
        <v>2098734.58</v>
      </c>
      <c r="US51" s="87">
        <v>2095957.73</v>
      </c>
      <c r="UT51" s="87">
        <v>996374.88</v>
      </c>
      <c r="UU51" s="87">
        <v>1918506.69</v>
      </c>
      <c r="UV51" s="87">
        <v>1918506.69</v>
      </c>
      <c r="UW51" s="87">
        <v>1918506.69</v>
      </c>
      <c r="UX51" s="87">
        <v>1918506.69</v>
      </c>
      <c r="UY51" s="87">
        <v>1918506.69</v>
      </c>
      <c r="UZ51" s="87">
        <v>1918506.69</v>
      </c>
      <c r="VA51" s="87">
        <v>1918506.69</v>
      </c>
      <c r="VB51" s="87">
        <v>1918506.69</v>
      </c>
      <c r="VC51" s="87">
        <v>1918506.69</v>
      </c>
      <c r="VD51" s="87">
        <v>1944444.27</v>
      </c>
      <c r="VE51" s="87">
        <v>1944444.27</v>
      </c>
      <c r="VF51" s="87">
        <v>1944444.27</v>
      </c>
      <c r="VG51" s="87">
        <v>1931162.45</v>
      </c>
      <c r="VH51" s="87">
        <v>1914170.74</v>
      </c>
      <c r="VI51" s="87">
        <v>1095942.29</v>
      </c>
      <c r="VJ51" s="87">
        <v>1095942.29</v>
      </c>
      <c r="VK51" s="87">
        <v>1752660.62</v>
      </c>
      <c r="VL51" s="87">
        <v>1752660.62</v>
      </c>
      <c r="VM51" s="87">
        <v>1752660.62</v>
      </c>
      <c r="VN51" s="87">
        <v>1752660.62</v>
      </c>
      <c r="VO51" s="87">
        <v>1752574.48</v>
      </c>
      <c r="VP51" s="87">
        <v>1752574.48</v>
      </c>
      <c r="VQ51" s="87">
        <v>1752574.48</v>
      </c>
      <c r="VR51" s="87">
        <v>1721501.31</v>
      </c>
      <c r="VS51" s="87">
        <v>1686302.43</v>
      </c>
      <c r="VT51" s="87">
        <v>1660033.11</v>
      </c>
      <c r="VU51" s="87">
        <v>1660033.11</v>
      </c>
      <c r="VV51" s="87">
        <v>1659733.11</v>
      </c>
      <c r="VW51" s="87">
        <v>1690758.66</v>
      </c>
      <c r="VX51" s="87">
        <v>779512.02</v>
      </c>
      <c r="VY51" s="87">
        <v>779512.02</v>
      </c>
      <c r="VZ51" s="87">
        <v>931001.29</v>
      </c>
      <c r="WA51" s="87">
        <v>976816.71</v>
      </c>
      <c r="WB51" s="87">
        <v>976816.71</v>
      </c>
      <c r="WC51" s="87">
        <v>976816.71</v>
      </c>
      <c r="WD51" s="87">
        <v>976816.71</v>
      </c>
      <c r="WE51" s="87">
        <v>976816.71</v>
      </c>
      <c r="WF51" s="87">
        <v>976816.71</v>
      </c>
      <c r="WG51" s="87">
        <v>949801.32</v>
      </c>
      <c r="WH51" s="87">
        <v>949801.32</v>
      </c>
      <c r="WI51" s="87">
        <v>949801.32</v>
      </c>
      <c r="WJ51" s="87">
        <v>880146.02</v>
      </c>
      <c r="WK51" s="87">
        <v>880146.02</v>
      </c>
      <c r="WL51" s="87">
        <v>879460.45</v>
      </c>
      <c r="WM51" s="87">
        <v>436983.4</v>
      </c>
      <c r="WN51" s="87">
        <v>587955.49</v>
      </c>
      <c r="WO51" s="87">
        <v>661921.01</v>
      </c>
      <c r="WP51" s="87">
        <v>661921.01</v>
      </c>
      <c r="WQ51" s="87">
        <v>661921.01</v>
      </c>
      <c r="WR51" s="87">
        <v>661921.01</v>
      </c>
      <c r="WS51" s="87">
        <v>661921.01</v>
      </c>
      <c r="WT51" s="87">
        <v>661921.01</v>
      </c>
      <c r="WU51" s="87">
        <v>661921.01</v>
      </c>
      <c r="WV51" s="87">
        <v>661921.01</v>
      </c>
      <c r="WW51" s="87">
        <v>661921.01</v>
      </c>
      <c r="WX51" s="87">
        <v>661921.01</v>
      </c>
      <c r="WY51" s="87">
        <v>661921.01</v>
      </c>
      <c r="WZ51" s="87">
        <v>629799.28</v>
      </c>
      <c r="XA51" s="87">
        <v>629799.28</v>
      </c>
      <c r="XB51" s="87">
        <v>629799.28</v>
      </c>
      <c r="XC51" s="87">
        <v>478391.01</v>
      </c>
      <c r="XD51" s="87">
        <v>547798.74</v>
      </c>
      <c r="XE51" s="87">
        <v>609131.73</v>
      </c>
      <c r="XF51" s="87">
        <v>604354.04</v>
      </c>
      <c r="XG51" s="87">
        <v>604354.04</v>
      </c>
      <c r="XH51" s="87">
        <v>604354.04</v>
      </c>
      <c r="XI51" s="87">
        <v>604354.04</v>
      </c>
      <c r="XJ51" s="87">
        <v>604354.04</v>
      </c>
      <c r="XK51" s="87">
        <v>604354.04</v>
      </c>
      <c r="XL51" s="87">
        <v>604354.04</v>
      </c>
      <c r="XM51" s="87">
        <v>604354.04</v>
      </c>
      <c r="XN51" s="87">
        <v>617329.04</v>
      </c>
      <c r="XO51" s="87">
        <v>599483.92000000004</v>
      </c>
      <c r="XP51" s="87">
        <v>446438.78</v>
      </c>
      <c r="XQ51" s="87">
        <v>219942.45</v>
      </c>
      <c r="XR51" s="87">
        <v>219942.45</v>
      </c>
      <c r="XS51" s="87">
        <v>289021.21999999997</v>
      </c>
      <c r="XT51" s="87">
        <v>289021.21999999997</v>
      </c>
      <c r="XU51" s="87">
        <v>274793.09999999998</v>
      </c>
      <c r="XV51" s="87">
        <v>274793.09999999998</v>
      </c>
      <c r="XW51" s="87">
        <v>274793.09999999998</v>
      </c>
      <c r="XX51" s="87">
        <v>274793.09999999998</v>
      </c>
      <c r="XY51" s="87">
        <v>274793.09999999998</v>
      </c>
      <c r="XZ51" s="87">
        <v>274793.09999999998</v>
      </c>
      <c r="YA51" s="87">
        <v>274793.09999999998</v>
      </c>
      <c r="YB51" s="87">
        <v>274793.09999999998</v>
      </c>
      <c r="YC51" s="189">
        <v>274793</v>
      </c>
      <c r="YD51" s="189">
        <v>274793.09999999998</v>
      </c>
      <c r="YE51" s="189">
        <v>274793.09999999998</v>
      </c>
      <c r="YF51" s="189">
        <v>274793.09999999998</v>
      </c>
      <c r="YG51" s="189">
        <v>108336.42</v>
      </c>
      <c r="YH51" s="189">
        <v>108336.42</v>
      </c>
      <c r="YI51" s="189">
        <v>292566.28000000003</v>
      </c>
      <c r="YJ51" s="189">
        <v>384230.40000000002</v>
      </c>
      <c r="YK51" s="189">
        <v>384230.40000000002</v>
      </c>
      <c r="YL51" s="189">
        <v>384230.40000000002</v>
      </c>
      <c r="YM51" s="189">
        <v>384230.40000000002</v>
      </c>
    </row>
    <row r="52" spans="1:663" ht="15.75" customHeight="1" x14ac:dyDescent="0.2">
      <c r="A52" s="86"/>
      <c r="B52" s="188" t="s">
        <v>116</v>
      </c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79"/>
      <c r="CY52" s="79"/>
      <c r="CZ52" s="79"/>
      <c r="DA52" s="79"/>
      <c r="DB52" s="79"/>
      <c r="DC52" s="79"/>
      <c r="DD52" s="79"/>
      <c r="DE52" s="79"/>
      <c r="DF52" s="79"/>
      <c r="DG52" s="79"/>
      <c r="DH52" s="79"/>
      <c r="DI52" s="79"/>
      <c r="DJ52" s="79"/>
      <c r="DK52" s="79"/>
      <c r="DL52" s="79"/>
      <c r="DM52" s="79"/>
      <c r="DN52" s="79"/>
      <c r="DO52" s="79"/>
      <c r="DP52" s="79"/>
      <c r="DQ52" s="79"/>
      <c r="DR52" s="79"/>
      <c r="DS52" s="79"/>
      <c r="DT52" s="79"/>
      <c r="DU52" s="79"/>
      <c r="DV52" s="79"/>
      <c r="DW52" s="79"/>
      <c r="DX52" s="79"/>
      <c r="DY52" s="79"/>
      <c r="DZ52" s="79"/>
      <c r="EA52" s="79"/>
      <c r="EB52" s="79"/>
      <c r="EC52" s="79"/>
      <c r="ED52" s="79"/>
      <c r="EE52" s="79"/>
      <c r="EF52" s="79"/>
      <c r="EG52" s="79"/>
      <c r="EH52" s="79"/>
      <c r="EI52" s="79"/>
      <c r="EJ52" s="79"/>
      <c r="EK52" s="79"/>
      <c r="EL52" s="79"/>
      <c r="EM52" s="79"/>
      <c r="EN52" s="79"/>
      <c r="EO52" s="79"/>
      <c r="EP52" s="79"/>
      <c r="EQ52" s="79"/>
      <c r="ER52" s="79"/>
      <c r="ES52" s="79"/>
      <c r="ET52" s="79"/>
      <c r="EU52" s="79"/>
      <c r="EV52" s="79"/>
      <c r="EW52" s="79"/>
      <c r="EX52" s="79"/>
      <c r="EY52" s="79"/>
      <c r="EZ52" s="79"/>
      <c r="FA52" s="79"/>
      <c r="FB52" s="79"/>
      <c r="FC52" s="79"/>
      <c r="FD52" s="79"/>
      <c r="FE52" s="79"/>
      <c r="FF52" s="79"/>
      <c r="FG52" s="79"/>
      <c r="FH52" s="79"/>
      <c r="FI52" s="79"/>
      <c r="FJ52" s="79"/>
      <c r="FK52" s="79"/>
      <c r="FL52" s="79"/>
      <c r="FM52" s="79"/>
      <c r="FN52" s="79"/>
      <c r="FO52" s="79"/>
      <c r="FP52" s="79"/>
      <c r="FQ52" s="79"/>
      <c r="FR52" s="79"/>
      <c r="FS52" s="79"/>
      <c r="FT52" s="79"/>
      <c r="FU52" s="79"/>
      <c r="FV52" s="79"/>
      <c r="FW52" s="79"/>
      <c r="FX52" s="79"/>
      <c r="FY52" s="79"/>
      <c r="FZ52" s="79"/>
      <c r="GA52" s="79"/>
      <c r="GB52" s="79"/>
      <c r="GC52" s="79"/>
      <c r="GD52" s="79"/>
      <c r="GE52" s="79"/>
      <c r="GF52" s="79"/>
      <c r="GG52" s="79"/>
      <c r="GH52" s="79"/>
      <c r="GI52" s="79"/>
      <c r="GJ52" s="79"/>
      <c r="GK52" s="79"/>
      <c r="GL52" s="79"/>
      <c r="GM52" s="79"/>
      <c r="GN52" s="79"/>
      <c r="GO52" s="79"/>
      <c r="GP52" s="79"/>
      <c r="GQ52" s="79"/>
      <c r="GR52" s="79"/>
      <c r="GS52" s="79"/>
      <c r="GT52" s="79"/>
      <c r="GU52" s="79"/>
      <c r="GV52" s="79"/>
      <c r="GW52" s="79"/>
      <c r="GX52" s="79"/>
      <c r="GY52" s="79"/>
      <c r="GZ52" s="79"/>
      <c r="HA52" s="79"/>
      <c r="HB52" s="79"/>
      <c r="HC52" s="79"/>
      <c r="HD52" s="79"/>
      <c r="HE52" s="79"/>
      <c r="HF52" s="79"/>
      <c r="HG52" s="79"/>
      <c r="HH52" s="79"/>
      <c r="HI52" s="79"/>
      <c r="HJ52" s="79"/>
      <c r="HK52" s="79"/>
      <c r="HL52" s="79"/>
      <c r="HM52" s="79"/>
      <c r="HN52" s="79"/>
      <c r="HO52" s="79"/>
      <c r="HP52" s="79"/>
      <c r="HQ52" s="79"/>
      <c r="HR52" s="79"/>
      <c r="HS52" s="79"/>
      <c r="HT52" s="79"/>
      <c r="HU52" s="79"/>
      <c r="HV52" s="79"/>
      <c r="HW52" s="79"/>
      <c r="HX52" s="79"/>
      <c r="HY52" s="79"/>
      <c r="HZ52" s="79"/>
      <c r="IA52" s="79"/>
      <c r="IB52" s="79"/>
      <c r="IC52" s="79"/>
      <c r="ID52" s="79"/>
      <c r="IE52" s="79"/>
      <c r="IF52" s="79"/>
      <c r="IG52" s="79"/>
      <c r="IH52" s="79"/>
      <c r="II52" s="79"/>
      <c r="IJ52" s="79"/>
      <c r="IK52" s="79"/>
      <c r="IL52" s="79"/>
      <c r="IM52" s="79"/>
      <c r="IN52" s="79"/>
      <c r="IO52" s="79"/>
      <c r="IP52" s="79"/>
      <c r="IQ52" s="79"/>
      <c r="IR52" s="79"/>
      <c r="IS52" s="79"/>
      <c r="IT52" s="79"/>
      <c r="IU52" s="79"/>
      <c r="IV52" s="79"/>
      <c r="IW52" s="79"/>
      <c r="IX52" s="79"/>
      <c r="IY52" s="79"/>
      <c r="IZ52" s="79"/>
      <c r="JA52" s="79"/>
      <c r="JB52" s="79"/>
      <c r="JC52" s="79"/>
      <c r="JD52" s="79"/>
      <c r="JE52" s="79"/>
      <c r="JF52" s="79"/>
      <c r="JG52" s="79"/>
      <c r="JH52" s="79"/>
      <c r="JI52" s="79"/>
      <c r="JJ52" s="79"/>
      <c r="JK52" s="79"/>
      <c r="JL52" s="79"/>
      <c r="JM52" s="79"/>
      <c r="JN52" s="79"/>
      <c r="JO52" s="79">
        <v>595623.85</v>
      </c>
      <c r="JP52" s="79">
        <v>384377.57</v>
      </c>
      <c r="JQ52" s="79">
        <v>384377.57</v>
      </c>
      <c r="JR52" s="79">
        <v>398377.57</v>
      </c>
      <c r="JS52" s="79">
        <v>398377.57</v>
      </c>
      <c r="JT52" s="79">
        <v>591112.88</v>
      </c>
      <c r="JU52" s="79">
        <v>526233.30000000005</v>
      </c>
      <c r="JV52" s="79">
        <v>526233.30000000005</v>
      </c>
      <c r="JW52" s="79">
        <v>529233.30000000005</v>
      </c>
      <c r="JX52" s="79">
        <v>529233.30000000005</v>
      </c>
      <c r="JY52" s="79">
        <v>529233.30000000005</v>
      </c>
      <c r="JZ52" s="79">
        <v>529233.30000000005</v>
      </c>
      <c r="KA52" s="79">
        <v>529233.30000000005</v>
      </c>
      <c r="KB52" s="79">
        <v>529233.30000000005</v>
      </c>
      <c r="KC52" s="79">
        <v>526733.30000000005</v>
      </c>
      <c r="KD52" s="79">
        <v>523900.79</v>
      </c>
      <c r="KE52" s="79">
        <v>921492.37</v>
      </c>
      <c r="KF52" s="79">
        <v>667120.12</v>
      </c>
      <c r="KG52" s="79">
        <v>667120.12</v>
      </c>
      <c r="KH52" s="79">
        <v>673120.12</v>
      </c>
      <c r="KI52" s="79">
        <v>739828.24</v>
      </c>
      <c r="KJ52" s="79"/>
      <c r="KK52" s="79">
        <v>739828.24</v>
      </c>
      <c r="KL52" s="79">
        <v>750828.24</v>
      </c>
      <c r="KM52" s="79">
        <v>750828.24</v>
      </c>
      <c r="KN52" s="79">
        <v>750828.24</v>
      </c>
      <c r="KO52" s="79">
        <v>750828.24</v>
      </c>
      <c r="KP52" s="79">
        <v>750828.24</v>
      </c>
      <c r="KQ52" s="79">
        <v>750828.24</v>
      </c>
      <c r="KR52" s="79">
        <v>750828.24</v>
      </c>
      <c r="KS52" s="79">
        <v>738266.35</v>
      </c>
      <c r="KT52" s="79">
        <v>687235.16</v>
      </c>
      <c r="KU52" s="79">
        <v>687235.16</v>
      </c>
      <c r="KV52" s="79">
        <v>687235.16</v>
      </c>
      <c r="KW52" s="79">
        <v>691235.16</v>
      </c>
      <c r="KX52" s="79">
        <v>691235.16</v>
      </c>
      <c r="KY52" s="79">
        <v>605083.57999999996</v>
      </c>
      <c r="KZ52" s="79">
        <v>605083.57999999996</v>
      </c>
      <c r="LA52" s="79">
        <v>605083.57999999996</v>
      </c>
      <c r="LB52" s="79">
        <v>608083.57999999996</v>
      </c>
      <c r="LC52" s="79">
        <v>608083.57999999996</v>
      </c>
      <c r="LD52" s="79">
        <v>608083.57999999996</v>
      </c>
      <c r="LE52" s="79">
        <v>608083.57999999996</v>
      </c>
      <c r="LF52" s="79">
        <v>608083.57999999996</v>
      </c>
      <c r="LG52" s="79">
        <v>608083.57999999996</v>
      </c>
      <c r="LH52" s="79">
        <v>608083.57999999996</v>
      </c>
      <c r="LI52" s="79">
        <v>602467.57999999996</v>
      </c>
      <c r="LJ52" s="79">
        <v>495272.14</v>
      </c>
      <c r="LK52" s="79">
        <v>495272.14</v>
      </c>
      <c r="LL52" s="79">
        <v>495272.14</v>
      </c>
      <c r="LM52" s="79">
        <v>505272.14</v>
      </c>
      <c r="LN52" s="79">
        <v>574745.49</v>
      </c>
      <c r="LO52" s="79">
        <v>574745.49</v>
      </c>
      <c r="LP52" s="79">
        <v>574745.49</v>
      </c>
      <c r="LQ52" s="79">
        <v>575745.49</v>
      </c>
      <c r="LR52" s="79">
        <v>575745.49</v>
      </c>
      <c r="LS52" s="79">
        <v>557750.26</v>
      </c>
      <c r="LT52" s="79">
        <v>557750.26</v>
      </c>
      <c r="LU52" s="79">
        <v>557750.26</v>
      </c>
      <c r="LV52" s="79">
        <v>547596.26</v>
      </c>
      <c r="LW52" s="79">
        <v>547596.26</v>
      </c>
      <c r="LX52" s="79">
        <v>545741.89</v>
      </c>
      <c r="LY52" s="79">
        <v>888904.1</v>
      </c>
      <c r="LZ52" s="79">
        <v>888904.1</v>
      </c>
      <c r="MA52" s="79">
        <v>892904.1</v>
      </c>
      <c r="MB52" s="79">
        <v>892904.1</v>
      </c>
      <c r="MC52" s="79">
        <v>892904.1</v>
      </c>
      <c r="MD52" s="79">
        <v>912246.05</v>
      </c>
      <c r="ME52" s="79">
        <v>887331.23</v>
      </c>
      <c r="MF52" s="79">
        <v>889331.23</v>
      </c>
      <c r="MG52" s="79">
        <v>889331.23</v>
      </c>
      <c r="MH52" s="79">
        <v>889331.23</v>
      </c>
      <c r="MI52" s="79">
        <v>889331.23</v>
      </c>
      <c r="MJ52" s="79">
        <v>886694.23</v>
      </c>
      <c r="MK52" s="79">
        <v>886694.23</v>
      </c>
      <c r="ML52" s="79">
        <v>886694.23</v>
      </c>
      <c r="MM52" s="79">
        <v>886694.23</v>
      </c>
      <c r="MN52" s="79">
        <v>886694.23</v>
      </c>
      <c r="MO52" s="79">
        <v>1285109.6299999999</v>
      </c>
      <c r="MP52" s="79">
        <v>1278890.6299999999</v>
      </c>
      <c r="MQ52" s="79">
        <v>1276780.6499999999</v>
      </c>
      <c r="MR52" s="79">
        <v>1276780.6499999999</v>
      </c>
      <c r="MS52" s="79">
        <v>1179248.92</v>
      </c>
      <c r="MT52" s="79">
        <v>1179248.92</v>
      </c>
      <c r="MU52" s="79">
        <v>1182248.92</v>
      </c>
      <c r="MV52" s="79">
        <v>1182248.92</v>
      </c>
      <c r="MW52" s="79">
        <v>1175029.92</v>
      </c>
      <c r="MX52" s="79">
        <v>1175029.92</v>
      </c>
      <c r="MY52" s="79">
        <v>1175029.92</v>
      </c>
      <c r="MZ52" s="79">
        <v>1175029.92</v>
      </c>
      <c r="NA52" s="79">
        <v>1175029.92</v>
      </c>
      <c r="NB52" s="79">
        <v>1165384.53</v>
      </c>
      <c r="NC52" s="79">
        <v>1348928.17</v>
      </c>
      <c r="ND52" s="79">
        <v>953273.17</v>
      </c>
      <c r="NE52" s="79">
        <v>953273.17</v>
      </c>
      <c r="NF52" s="79">
        <v>956273.17</v>
      </c>
      <c r="NG52" s="79">
        <v>956273.17</v>
      </c>
      <c r="NH52" s="79">
        <v>1435990.5</v>
      </c>
      <c r="NI52" s="79">
        <v>1435990.5</v>
      </c>
      <c r="NJ52" s="79">
        <v>1371138.64</v>
      </c>
      <c r="NK52" s="79">
        <v>1371228.87</v>
      </c>
      <c r="NL52" s="79">
        <v>1371228.87</v>
      </c>
      <c r="NM52" s="79">
        <v>1371228.87</v>
      </c>
      <c r="NN52" s="79">
        <v>1371228.87</v>
      </c>
      <c r="NO52" s="79">
        <v>1364021.87</v>
      </c>
      <c r="NP52" s="79">
        <v>1364021.87</v>
      </c>
      <c r="NQ52" s="79">
        <v>1364021.87</v>
      </c>
      <c r="NR52" s="79">
        <v>1360409.5</v>
      </c>
      <c r="NS52" s="79">
        <v>2173382.87</v>
      </c>
      <c r="NT52" s="79">
        <v>1509821.45</v>
      </c>
      <c r="NU52" s="79">
        <v>1509821.45</v>
      </c>
      <c r="NV52" s="79">
        <v>1525821.45</v>
      </c>
      <c r="NW52" s="79">
        <v>1585214.45</v>
      </c>
      <c r="NX52" s="79">
        <v>1540573.08</v>
      </c>
      <c r="NY52" s="79">
        <v>1540573.08</v>
      </c>
      <c r="NZ52" s="79">
        <v>1533994.65</v>
      </c>
      <c r="OA52" s="79">
        <v>1533994.65</v>
      </c>
      <c r="OB52" s="79">
        <v>1533994.65</v>
      </c>
      <c r="OC52" s="79">
        <v>1533994.65</v>
      </c>
      <c r="OD52" s="79">
        <v>1522094.19</v>
      </c>
      <c r="OE52" s="79">
        <v>1494140.33</v>
      </c>
      <c r="OF52" s="79">
        <v>1494140.33</v>
      </c>
      <c r="OG52" s="79">
        <v>1454030.98</v>
      </c>
      <c r="OH52" s="79">
        <v>1283885.1399999999</v>
      </c>
      <c r="OI52" s="79">
        <v>2093667.12</v>
      </c>
      <c r="OJ52" s="79">
        <v>2093667.12</v>
      </c>
      <c r="OK52" s="79">
        <v>2105348.77</v>
      </c>
      <c r="OL52" s="79">
        <v>2098717.4</v>
      </c>
      <c r="OM52" s="79">
        <v>1648244.8</v>
      </c>
      <c r="ON52" s="79">
        <v>2170474.64</v>
      </c>
      <c r="OO52" s="79">
        <v>2170474.64</v>
      </c>
      <c r="OP52" s="79">
        <v>2170474.64</v>
      </c>
      <c r="OQ52" s="79">
        <v>2170474.64</v>
      </c>
      <c r="OR52" s="79">
        <v>2170474.64</v>
      </c>
      <c r="OS52" s="79">
        <v>2118368.63</v>
      </c>
      <c r="OT52" s="79">
        <v>2118368.63</v>
      </c>
      <c r="OU52" s="79">
        <v>2116566.63</v>
      </c>
      <c r="OV52" s="79">
        <v>2116566.63</v>
      </c>
      <c r="OW52" s="79">
        <v>2116566.63</v>
      </c>
      <c r="OX52" s="79">
        <v>1371878.46</v>
      </c>
      <c r="OY52" s="79">
        <v>2765821.6</v>
      </c>
      <c r="OZ52" s="79">
        <v>2765821.6</v>
      </c>
      <c r="PA52" s="79">
        <v>2784821.6</v>
      </c>
      <c r="PB52" s="79">
        <v>2712428.6</v>
      </c>
      <c r="PC52" s="79">
        <v>2794662.31</v>
      </c>
      <c r="PD52" s="79">
        <v>2794662.31</v>
      </c>
      <c r="PE52" s="79">
        <v>2794662.31</v>
      </c>
      <c r="PF52" s="79">
        <v>2794662.31</v>
      </c>
      <c r="PG52" s="79">
        <v>2788662.31</v>
      </c>
      <c r="PH52" s="79">
        <v>2786469.5</v>
      </c>
      <c r="PI52" s="79">
        <v>2774331.57</v>
      </c>
      <c r="PJ52" s="79">
        <v>2732397.16</v>
      </c>
      <c r="PK52" s="79">
        <v>2713932.15</v>
      </c>
      <c r="PL52" s="79">
        <v>3880373.92</v>
      </c>
      <c r="PM52" s="79">
        <v>3881373.92</v>
      </c>
      <c r="PN52" s="79">
        <v>3066905.1</v>
      </c>
      <c r="PO52" s="79">
        <v>3066905.1</v>
      </c>
      <c r="PP52" s="79">
        <v>3066905.1</v>
      </c>
      <c r="PQ52" s="79">
        <v>3066905.1</v>
      </c>
      <c r="PR52" s="79">
        <v>3710013.08</v>
      </c>
      <c r="PS52" s="79">
        <v>3220189.25</v>
      </c>
      <c r="PT52" s="79">
        <v>3216935.8</v>
      </c>
      <c r="PU52" s="79">
        <v>3216935.8</v>
      </c>
      <c r="PV52" s="79">
        <v>3216935.8</v>
      </c>
      <c r="PW52" s="79">
        <v>3214102.68</v>
      </c>
      <c r="PX52" s="79">
        <v>3214102.68</v>
      </c>
      <c r="PY52" s="79">
        <v>3185418.64</v>
      </c>
      <c r="PZ52" s="79">
        <v>3159859.47</v>
      </c>
      <c r="QA52" s="79">
        <v>3157200.3</v>
      </c>
      <c r="QB52" s="79">
        <v>3157200.3</v>
      </c>
      <c r="QC52" s="79">
        <v>4574850.0999999996</v>
      </c>
      <c r="QD52" s="79">
        <v>3238531.51</v>
      </c>
      <c r="QE52" s="79">
        <v>3238531.51</v>
      </c>
      <c r="QF52" s="79">
        <v>3238531.51</v>
      </c>
      <c r="QG52" s="79">
        <v>3385466.02</v>
      </c>
      <c r="QH52" s="79">
        <v>3312793.97</v>
      </c>
      <c r="QI52" s="79">
        <v>3312793.97</v>
      </c>
      <c r="QJ52" s="79">
        <v>3312793.97</v>
      </c>
      <c r="QK52" s="79">
        <v>3300806.97</v>
      </c>
      <c r="QL52" s="79">
        <v>3300606.97</v>
      </c>
      <c r="QM52" s="79">
        <v>3300606.97</v>
      </c>
      <c r="QN52" s="79">
        <v>3293859.8</v>
      </c>
      <c r="QO52" s="79">
        <v>3281034.81</v>
      </c>
      <c r="QP52" s="79">
        <v>3281034.81</v>
      </c>
      <c r="QQ52" s="79">
        <v>3278430.55</v>
      </c>
      <c r="QR52" s="79">
        <v>2798675.03</v>
      </c>
      <c r="QS52" s="79">
        <v>2798675.03</v>
      </c>
      <c r="QT52" s="79">
        <v>2798675.03</v>
      </c>
      <c r="QU52" s="79">
        <v>2798675.03</v>
      </c>
      <c r="QV52" s="79">
        <v>2798675.03</v>
      </c>
      <c r="QW52" s="79">
        <v>2511105.88</v>
      </c>
      <c r="QX52" s="79">
        <v>2511105.88</v>
      </c>
      <c r="QY52" s="79">
        <v>2531202.4700000002</v>
      </c>
      <c r="QZ52" s="79">
        <v>2531202.4700000002</v>
      </c>
      <c r="RA52" s="79">
        <v>2531202.4700000002</v>
      </c>
      <c r="RB52" s="79">
        <v>2531202.4700000002</v>
      </c>
      <c r="RC52" s="79">
        <v>2480452.6800000002</v>
      </c>
      <c r="RD52" s="79">
        <v>2444570.5099999998</v>
      </c>
      <c r="RE52" s="79">
        <v>2444570.5099999998</v>
      </c>
      <c r="RF52" s="79">
        <v>2444570.5099999998</v>
      </c>
      <c r="RG52" s="79">
        <v>2444570.5099999998</v>
      </c>
      <c r="RH52" s="79">
        <v>2075813.62</v>
      </c>
      <c r="RI52" s="79">
        <v>2075813.62</v>
      </c>
      <c r="RJ52" s="79">
        <v>2075813.62</v>
      </c>
      <c r="RK52" s="79">
        <v>2075813.62</v>
      </c>
      <c r="RL52" s="79">
        <v>1923879.11</v>
      </c>
      <c r="RM52" s="79">
        <v>1921219.96</v>
      </c>
      <c r="RN52" s="79">
        <v>1921219.96</v>
      </c>
      <c r="RO52" s="79">
        <v>1921219.96</v>
      </c>
      <c r="RP52" s="79">
        <v>1921219.96</v>
      </c>
      <c r="RQ52" s="79">
        <v>1912733.96</v>
      </c>
      <c r="RR52" s="79">
        <v>1910117.09</v>
      </c>
      <c r="RS52" s="79">
        <v>1885064.28</v>
      </c>
      <c r="RT52" s="79">
        <v>1885064.28</v>
      </c>
      <c r="RU52" s="79">
        <v>1885064.28</v>
      </c>
      <c r="RV52" s="79">
        <v>1904064.28</v>
      </c>
      <c r="RW52" s="79">
        <v>2337112.31</v>
      </c>
      <c r="RX52" s="79">
        <v>2337112.31</v>
      </c>
      <c r="RY52" s="79">
        <v>2336112.31</v>
      </c>
      <c r="RZ52" s="79">
        <v>2336112.31</v>
      </c>
      <c r="SA52" s="79">
        <v>2336112.31</v>
      </c>
      <c r="SB52" s="79">
        <v>2048875.92</v>
      </c>
      <c r="SC52" s="79">
        <v>2048875.92</v>
      </c>
      <c r="SD52" s="79">
        <v>2048875.92</v>
      </c>
      <c r="SE52" s="79">
        <v>2042977.09</v>
      </c>
      <c r="SF52" s="79">
        <v>2042977.09</v>
      </c>
      <c r="SG52" s="79">
        <v>2036977.09</v>
      </c>
      <c r="SH52" s="79">
        <v>2009348.52</v>
      </c>
      <c r="SI52" s="79">
        <v>2009348.52</v>
      </c>
      <c r="SJ52" s="79">
        <v>2009348.52</v>
      </c>
      <c r="SK52" s="79">
        <v>2001497.94</v>
      </c>
      <c r="SL52" s="79">
        <v>2015497.94</v>
      </c>
      <c r="SM52" s="79">
        <v>2011618.74</v>
      </c>
      <c r="SN52" s="79">
        <v>2011618.74</v>
      </c>
      <c r="SO52" s="79">
        <v>2005001.49</v>
      </c>
      <c r="SP52" s="79">
        <v>2005001.49</v>
      </c>
      <c r="SQ52" s="79">
        <v>2005001.49</v>
      </c>
      <c r="SR52" s="79">
        <v>1994385.61</v>
      </c>
      <c r="SS52" s="79">
        <v>1927859.82</v>
      </c>
      <c r="ST52" s="79">
        <v>1926859.82</v>
      </c>
      <c r="SU52" s="79">
        <v>1926859.82</v>
      </c>
      <c r="SV52" s="79">
        <v>1926409.82</v>
      </c>
      <c r="SW52" s="79">
        <v>1907725.21</v>
      </c>
      <c r="SX52" s="79">
        <v>1907725.21</v>
      </c>
      <c r="SY52" s="79">
        <v>2238366.83</v>
      </c>
      <c r="SZ52" s="79">
        <v>2238366.83</v>
      </c>
      <c r="TA52" s="79">
        <v>2270366.83</v>
      </c>
      <c r="TB52" s="79">
        <v>1378343.16</v>
      </c>
      <c r="TC52" s="79">
        <v>1378343.16</v>
      </c>
      <c r="TD52" s="79">
        <v>1378343.16</v>
      </c>
      <c r="TE52" s="79">
        <v>1378343.16</v>
      </c>
      <c r="TF52" s="79">
        <v>1378343.16</v>
      </c>
      <c r="TG52" s="79">
        <v>1378343.16</v>
      </c>
      <c r="TH52" s="87">
        <v>1377814.17</v>
      </c>
      <c r="TI52" s="87">
        <v>1377814.17</v>
      </c>
      <c r="TJ52" s="87">
        <v>1349079.13</v>
      </c>
      <c r="TK52" s="87">
        <v>1349079.13</v>
      </c>
      <c r="TL52" s="87">
        <v>1349079.13</v>
      </c>
      <c r="TM52" s="87">
        <v>1345764.13</v>
      </c>
      <c r="TN52" s="87">
        <v>1326619.98</v>
      </c>
      <c r="TO52" s="87">
        <v>1501624.7</v>
      </c>
      <c r="TP52" s="87">
        <v>1499007.83</v>
      </c>
      <c r="TQ52" s="87">
        <v>1501307.83</v>
      </c>
      <c r="TR52" s="87">
        <v>624733.39</v>
      </c>
      <c r="TS52" s="87">
        <v>624733.39</v>
      </c>
      <c r="TT52" s="87">
        <v>624733.39</v>
      </c>
      <c r="TU52" s="87">
        <v>615498.99</v>
      </c>
      <c r="TV52" s="87">
        <v>615498.99</v>
      </c>
      <c r="TW52" s="87">
        <v>615498.99</v>
      </c>
      <c r="TX52" s="87">
        <v>604883.11</v>
      </c>
      <c r="TY52" s="87">
        <v>604883.11</v>
      </c>
      <c r="TZ52" s="87">
        <v>602068.92000000004</v>
      </c>
      <c r="UA52" s="87">
        <v>592091.94999999995</v>
      </c>
      <c r="UB52" s="87">
        <v>589635.04</v>
      </c>
      <c r="UC52" s="87">
        <v>564647.18999999994</v>
      </c>
      <c r="UD52" s="87">
        <v>735739.97</v>
      </c>
      <c r="UE52" s="87">
        <v>743111.58</v>
      </c>
      <c r="UF52" s="87">
        <v>743111.58</v>
      </c>
      <c r="UG52" s="87">
        <v>743111.58</v>
      </c>
      <c r="UH52" s="87">
        <v>844592.05</v>
      </c>
      <c r="UI52" s="87">
        <v>844592.05</v>
      </c>
      <c r="UJ52" s="87">
        <v>844592.05</v>
      </c>
      <c r="UK52" s="87">
        <v>844592.05</v>
      </c>
      <c r="UL52" s="87">
        <v>844592.05</v>
      </c>
      <c r="UM52" s="87">
        <v>844592.05</v>
      </c>
      <c r="UN52" s="87">
        <v>844592.05</v>
      </c>
      <c r="UO52" s="87">
        <v>837114.59</v>
      </c>
      <c r="UP52" s="87">
        <v>837114.59</v>
      </c>
      <c r="UQ52" s="87">
        <v>823951.35999999999</v>
      </c>
      <c r="UR52" s="87">
        <v>823951.35999999999</v>
      </c>
      <c r="US52" s="87">
        <v>823951.35999999999</v>
      </c>
      <c r="UT52" s="87">
        <v>1641249.02</v>
      </c>
      <c r="UU52" s="87">
        <v>1667487.57</v>
      </c>
      <c r="UV52" s="87">
        <v>1667487.57</v>
      </c>
      <c r="UW52" s="87">
        <v>1667487.57</v>
      </c>
      <c r="UX52" s="87">
        <v>1667487.57</v>
      </c>
      <c r="UY52" s="87">
        <v>1667487.57</v>
      </c>
      <c r="UZ52" s="87">
        <v>1667487.57</v>
      </c>
      <c r="VA52" s="87">
        <v>1667487.57</v>
      </c>
      <c r="VB52" s="87">
        <v>1667487.57</v>
      </c>
      <c r="VC52" s="87">
        <v>1656871.69</v>
      </c>
      <c r="VD52" s="87">
        <v>1656871.69</v>
      </c>
      <c r="VE52" s="87">
        <v>1656871.69</v>
      </c>
      <c r="VF52" s="87">
        <v>1656871.69</v>
      </c>
      <c r="VG52" s="87">
        <v>1656871.69</v>
      </c>
      <c r="VH52" s="87">
        <v>1656871.69</v>
      </c>
      <c r="VI52" s="87">
        <v>2473100.14</v>
      </c>
      <c r="VJ52" s="87">
        <v>1947365.74</v>
      </c>
      <c r="VK52" s="87">
        <v>1969820.99</v>
      </c>
      <c r="VL52" s="87">
        <v>1969820.99</v>
      </c>
      <c r="VM52" s="87">
        <v>1969820.99</v>
      </c>
      <c r="VN52" s="87">
        <v>1959205.1</v>
      </c>
      <c r="VO52" s="87">
        <v>1959205.1</v>
      </c>
      <c r="VP52" s="87">
        <v>1959205.1</v>
      </c>
      <c r="VQ52" s="87">
        <v>1959205.1</v>
      </c>
      <c r="VR52" s="87">
        <v>1990278.27</v>
      </c>
      <c r="VS52" s="87">
        <v>2019272.04</v>
      </c>
      <c r="VT52" s="87">
        <v>2045541.36</v>
      </c>
      <c r="VU52" s="87">
        <v>2045541.36</v>
      </c>
      <c r="VV52" s="87">
        <v>2045541.36</v>
      </c>
      <c r="VW52" s="87">
        <v>2045541.36</v>
      </c>
      <c r="VX52" s="87">
        <v>2956788</v>
      </c>
      <c r="VY52" s="87">
        <v>1836266.6</v>
      </c>
      <c r="VZ52" s="87">
        <v>1892036.28</v>
      </c>
      <c r="WA52" s="87">
        <v>1892036.28</v>
      </c>
      <c r="WB52" s="87">
        <v>1838834.39</v>
      </c>
      <c r="WC52" s="87">
        <v>1838834.39</v>
      </c>
      <c r="WD52" s="87">
        <v>1838834.39</v>
      </c>
      <c r="WE52" s="87">
        <v>1838834.39</v>
      </c>
      <c r="WF52" s="87">
        <v>1838834.39</v>
      </c>
      <c r="WG52" s="87">
        <v>1865849.78</v>
      </c>
      <c r="WH52" s="87">
        <v>1865849.78</v>
      </c>
      <c r="WI52" s="87">
        <v>1865849.78</v>
      </c>
      <c r="WJ52" s="87">
        <v>1865849.78</v>
      </c>
      <c r="WK52" s="87">
        <v>1865849.78</v>
      </c>
      <c r="WL52" s="87">
        <v>1865849.78</v>
      </c>
      <c r="WM52" s="87">
        <v>1611561.35</v>
      </c>
      <c r="WN52" s="87">
        <v>1611561.35</v>
      </c>
      <c r="WO52" s="87">
        <v>1645797.11</v>
      </c>
      <c r="WP52" s="87">
        <v>1645797.11</v>
      </c>
      <c r="WQ52" s="87">
        <v>1645797.11</v>
      </c>
      <c r="WR52" s="87">
        <v>1645797.11</v>
      </c>
      <c r="WS52" s="87">
        <v>1645797.11</v>
      </c>
      <c r="WT52" s="87">
        <v>1645797.11</v>
      </c>
      <c r="WU52" s="87">
        <v>1645797.11</v>
      </c>
      <c r="WV52" s="87">
        <v>1645797.11</v>
      </c>
      <c r="WW52" s="87">
        <v>1613544.15</v>
      </c>
      <c r="WX52" s="87">
        <v>1582429.96</v>
      </c>
      <c r="WY52" s="87">
        <v>1582429.96</v>
      </c>
      <c r="WZ52" s="87">
        <v>1614551.69</v>
      </c>
      <c r="XA52" s="87">
        <v>1614551.69</v>
      </c>
      <c r="XB52" s="87">
        <v>1614551.69</v>
      </c>
      <c r="XC52" s="87">
        <v>828496.63</v>
      </c>
      <c r="XD52" s="87">
        <v>874312.05</v>
      </c>
      <c r="XE52" s="87">
        <v>924266.31</v>
      </c>
      <c r="XF52" s="87">
        <v>924266.31</v>
      </c>
      <c r="XG52" s="87">
        <v>924266.31</v>
      </c>
      <c r="XH52" s="87">
        <v>924266.31</v>
      </c>
      <c r="XI52" s="87">
        <v>924266.31</v>
      </c>
      <c r="XJ52" s="87">
        <v>924266.31</v>
      </c>
      <c r="XK52" s="87">
        <v>924266.31</v>
      </c>
      <c r="XL52" s="87">
        <v>896094.97</v>
      </c>
      <c r="XM52" s="87">
        <v>896094.97</v>
      </c>
      <c r="XN52" s="87">
        <v>896094.97</v>
      </c>
      <c r="XO52" s="87">
        <v>913940.09</v>
      </c>
      <c r="XP52" s="87">
        <v>1060885.23</v>
      </c>
      <c r="XQ52" s="87">
        <v>1280199.74</v>
      </c>
      <c r="XR52" s="87">
        <v>663404.44999999995</v>
      </c>
      <c r="XS52" s="87">
        <v>734281.42</v>
      </c>
      <c r="XT52" s="87">
        <v>734281.42</v>
      </c>
      <c r="XU52" s="87">
        <v>748509.54</v>
      </c>
      <c r="XV52" s="87">
        <v>748509.54</v>
      </c>
      <c r="XW52" s="87">
        <v>748509.54</v>
      </c>
      <c r="XX52" s="87">
        <v>748509.54</v>
      </c>
      <c r="XY52" s="87">
        <v>748509.54</v>
      </c>
      <c r="XZ52" s="87">
        <v>748509.54</v>
      </c>
      <c r="YA52" s="87">
        <v>748509.54</v>
      </c>
      <c r="YB52" s="87">
        <v>748509.54</v>
      </c>
      <c r="YC52" s="189">
        <v>748510</v>
      </c>
      <c r="YD52" s="189">
        <v>748509.54</v>
      </c>
      <c r="YE52" s="189">
        <v>715198.99</v>
      </c>
      <c r="YF52" s="189">
        <v>715198.99</v>
      </c>
      <c r="YG52" s="189">
        <v>881655.67</v>
      </c>
      <c r="YH52" s="189">
        <v>683254.25</v>
      </c>
      <c r="YI52" s="189">
        <v>634477.72</v>
      </c>
      <c r="YJ52" s="189">
        <v>692445.52</v>
      </c>
      <c r="YK52" s="189">
        <v>692445.52</v>
      </c>
      <c r="YL52" s="189">
        <v>692445.52</v>
      </c>
      <c r="YM52" s="189">
        <v>692445.52</v>
      </c>
    </row>
    <row r="53" spans="1:663" ht="15.75" customHeight="1" x14ac:dyDescent="0.2">
      <c r="A53" s="86"/>
      <c r="B53" s="188" t="s">
        <v>117</v>
      </c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79"/>
      <c r="DA53" s="79"/>
      <c r="DB53" s="79"/>
      <c r="DC53" s="79"/>
      <c r="DD53" s="79"/>
      <c r="DE53" s="79"/>
      <c r="DF53" s="79"/>
      <c r="DG53" s="79"/>
      <c r="DH53" s="79"/>
      <c r="DI53" s="79"/>
      <c r="DJ53" s="79"/>
      <c r="DK53" s="79"/>
      <c r="DL53" s="79"/>
      <c r="DM53" s="79"/>
      <c r="DN53" s="79"/>
      <c r="DO53" s="79"/>
      <c r="DP53" s="79"/>
      <c r="DQ53" s="79"/>
      <c r="DR53" s="79"/>
      <c r="DS53" s="79"/>
      <c r="DT53" s="79"/>
      <c r="DU53" s="79"/>
      <c r="DV53" s="79"/>
      <c r="DW53" s="79"/>
      <c r="DX53" s="79"/>
      <c r="DY53" s="79"/>
      <c r="DZ53" s="79"/>
      <c r="EA53" s="79"/>
      <c r="EB53" s="79"/>
      <c r="EC53" s="79"/>
      <c r="ED53" s="79"/>
      <c r="EE53" s="79"/>
      <c r="EF53" s="79"/>
      <c r="EG53" s="79"/>
      <c r="EH53" s="79"/>
      <c r="EI53" s="79"/>
      <c r="EJ53" s="79"/>
      <c r="EK53" s="79"/>
      <c r="EL53" s="79"/>
      <c r="EM53" s="79"/>
      <c r="EN53" s="79"/>
      <c r="EO53" s="79"/>
      <c r="EP53" s="79"/>
      <c r="EQ53" s="79"/>
      <c r="ER53" s="79"/>
      <c r="ES53" s="79"/>
      <c r="ET53" s="79"/>
      <c r="EU53" s="79"/>
      <c r="EV53" s="79"/>
      <c r="EW53" s="79"/>
      <c r="EX53" s="79"/>
      <c r="EY53" s="79"/>
      <c r="EZ53" s="79"/>
      <c r="FA53" s="79"/>
      <c r="FB53" s="79"/>
      <c r="FC53" s="79"/>
      <c r="FD53" s="79"/>
      <c r="FE53" s="79"/>
      <c r="FF53" s="79"/>
      <c r="FG53" s="79"/>
      <c r="FH53" s="79"/>
      <c r="FI53" s="79"/>
      <c r="FJ53" s="79"/>
      <c r="FK53" s="79"/>
      <c r="FL53" s="79"/>
      <c r="FM53" s="79"/>
      <c r="FN53" s="79"/>
      <c r="FO53" s="79"/>
      <c r="FP53" s="79"/>
      <c r="FQ53" s="79"/>
      <c r="FR53" s="79"/>
      <c r="FS53" s="79"/>
      <c r="FT53" s="79"/>
      <c r="FU53" s="79"/>
      <c r="FV53" s="79"/>
      <c r="FW53" s="79"/>
      <c r="FX53" s="79"/>
      <c r="FY53" s="79"/>
      <c r="FZ53" s="79"/>
      <c r="GA53" s="79"/>
      <c r="GB53" s="79"/>
      <c r="GC53" s="79"/>
      <c r="GD53" s="79"/>
      <c r="GE53" s="79"/>
      <c r="GF53" s="79"/>
      <c r="GG53" s="79"/>
      <c r="GH53" s="79"/>
      <c r="GI53" s="79"/>
      <c r="GJ53" s="79"/>
      <c r="GK53" s="79"/>
      <c r="GL53" s="79"/>
      <c r="GM53" s="79"/>
      <c r="GN53" s="79"/>
      <c r="GO53" s="79"/>
      <c r="GP53" s="79"/>
      <c r="GQ53" s="79"/>
      <c r="GR53" s="79"/>
      <c r="GS53" s="79"/>
      <c r="GT53" s="79"/>
      <c r="GU53" s="79"/>
      <c r="GV53" s="79"/>
      <c r="GW53" s="79"/>
      <c r="GX53" s="79"/>
      <c r="GY53" s="79"/>
      <c r="GZ53" s="79"/>
      <c r="HA53" s="79"/>
      <c r="HB53" s="79"/>
      <c r="HC53" s="79"/>
      <c r="HD53" s="79"/>
      <c r="HE53" s="79"/>
      <c r="HF53" s="79"/>
      <c r="HG53" s="79"/>
      <c r="HH53" s="79"/>
      <c r="HI53" s="79"/>
      <c r="HJ53" s="79"/>
      <c r="HK53" s="79"/>
      <c r="HL53" s="79"/>
      <c r="HM53" s="79"/>
      <c r="HN53" s="79"/>
      <c r="HO53" s="79"/>
      <c r="HP53" s="79"/>
      <c r="HQ53" s="79"/>
      <c r="HR53" s="79"/>
      <c r="HS53" s="79"/>
      <c r="HT53" s="79"/>
      <c r="HU53" s="79"/>
      <c r="HV53" s="79"/>
      <c r="HW53" s="79"/>
      <c r="HX53" s="79"/>
      <c r="HY53" s="79"/>
      <c r="HZ53" s="79"/>
      <c r="IA53" s="79"/>
      <c r="IB53" s="79"/>
      <c r="IC53" s="79"/>
      <c r="ID53" s="79"/>
      <c r="IE53" s="79"/>
      <c r="IF53" s="79"/>
      <c r="IG53" s="79"/>
      <c r="IH53" s="79"/>
      <c r="II53" s="79"/>
      <c r="IJ53" s="79"/>
      <c r="IK53" s="79"/>
      <c r="IL53" s="79"/>
      <c r="IM53" s="79"/>
      <c r="IN53" s="79"/>
      <c r="IO53" s="79"/>
      <c r="IP53" s="79"/>
      <c r="IQ53" s="79"/>
      <c r="IR53" s="79"/>
      <c r="IS53" s="79"/>
      <c r="IT53" s="79"/>
      <c r="IU53" s="79"/>
      <c r="IV53" s="79"/>
      <c r="IW53" s="79"/>
      <c r="IX53" s="79"/>
      <c r="IY53" s="79"/>
      <c r="IZ53" s="79"/>
      <c r="JA53" s="79"/>
      <c r="JB53" s="79"/>
      <c r="JC53" s="79"/>
      <c r="JD53" s="79"/>
      <c r="JE53" s="79"/>
      <c r="JF53" s="79"/>
      <c r="JG53" s="79"/>
      <c r="JH53" s="79"/>
      <c r="JI53" s="79"/>
      <c r="JJ53" s="79"/>
      <c r="JK53" s="79"/>
      <c r="JL53" s="79"/>
      <c r="JM53" s="79"/>
      <c r="JN53" s="79"/>
      <c r="JO53" s="79">
        <v>196375.63</v>
      </c>
      <c r="JP53" s="79">
        <v>407621.91</v>
      </c>
      <c r="JQ53" s="79">
        <v>407621.91</v>
      </c>
      <c r="JR53" s="79">
        <v>407621.91</v>
      </c>
      <c r="JS53" s="79">
        <v>407621.91</v>
      </c>
      <c r="JT53" s="79">
        <v>382622.64</v>
      </c>
      <c r="JU53" s="79">
        <v>447502.22</v>
      </c>
      <c r="JV53" s="79">
        <v>447502.22</v>
      </c>
      <c r="JW53" s="79">
        <v>447502.22</v>
      </c>
      <c r="JX53" s="79">
        <v>447502.22</v>
      </c>
      <c r="JY53" s="79">
        <v>447502.22</v>
      </c>
      <c r="JZ53" s="79">
        <v>447502.22</v>
      </c>
      <c r="KA53" s="79">
        <v>447502.22</v>
      </c>
      <c r="KB53" s="79">
        <v>447502.22</v>
      </c>
      <c r="KC53" s="79">
        <v>447502.22</v>
      </c>
      <c r="KD53" s="79">
        <v>447502.22</v>
      </c>
      <c r="KE53" s="79">
        <v>378958.07</v>
      </c>
      <c r="KF53" s="79">
        <v>565256.5</v>
      </c>
      <c r="KG53" s="79">
        <v>565256.5</v>
      </c>
      <c r="KH53" s="79">
        <v>565256.5</v>
      </c>
      <c r="KI53" s="79">
        <v>462424.29</v>
      </c>
      <c r="KJ53" s="79"/>
      <c r="KK53" s="79">
        <v>462424.29</v>
      </c>
      <c r="KL53" s="79">
        <v>462424.29</v>
      </c>
      <c r="KM53" s="79">
        <v>462424.29</v>
      </c>
      <c r="KN53" s="79">
        <v>462424.29</v>
      </c>
      <c r="KO53" s="79">
        <v>462424.29</v>
      </c>
      <c r="KP53" s="79">
        <v>462424.29</v>
      </c>
      <c r="KQ53" s="79">
        <v>462424.29</v>
      </c>
      <c r="KR53" s="79">
        <v>461174.29</v>
      </c>
      <c r="KS53" s="79">
        <v>451507.99</v>
      </c>
      <c r="KT53" s="79">
        <v>391795.06</v>
      </c>
      <c r="KU53" s="79">
        <v>391795.06</v>
      </c>
      <c r="KV53" s="79">
        <v>391795.06</v>
      </c>
      <c r="KW53" s="79">
        <v>396795.06</v>
      </c>
      <c r="KX53" s="79">
        <v>396795.06</v>
      </c>
      <c r="KY53" s="79">
        <v>458576.97</v>
      </c>
      <c r="KZ53" s="79">
        <v>458576.97</v>
      </c>
      <c r="LA53" s="79">
        <v>458576.97</v>
      </c>
      <c r="LB53" s="79">
        <v>461576.97</v>
      </c>
      <c r="LC53" s="79">
        <v>461576.97</v>
      </c>
      <c r="LD53" s="79">
        <v>461576.97</v>
      </c>
      <c r="LE53" s="79">
        <v>461576.97</v>
      </c>
      <c r="LF53" s="79">
        <v>461576.97</v>
      </c>
      <c r="LG53" s="79">
        <v>456576.97</v>
      </c>
      <c r="LH53" s="79">
        <v>452733.97</v>
      </c>
      <c r="LI53" s="79">
        <v>414041.1</v>
      </c>
      <c r="LJ53" s="79">
        <v>658382.72</v>
      </c>
      <c r="LK53" s="79">
        <v>658382.72</v>
      </c>
      <c r="LL53" s="79">
        <v>656382.71999999997</v>
      </c>
      <c r="LM53" s="79">
        <v>664382.71999999997</v>
      </c>
      <c r="LN53" s="79">
        <v>742090.84</v>
      </c>
      <c r="LO53" s="79">
        <v>742090.84</v>
      </c>
      <c r="LP53" s="79">
        <v>742090.84</v>
      </c>
      <c r="LQ53" s="79">
        <v>743090.84</v>
      </c>
      <c r="LR53" s="79">
        <v>743090.84</v>
      </c>
      <c r="LS53" s="79">
        <v>743090.84</v>
      </c>
      <c r="LT53" s="79">
        <v>743090.84</v>
      </c>
      <c r="LU53" s="79">
        <v>743090.84</v>
      </c>
      <c r="LV53" s="79">
        <v>743090.84</v>
      </c>
      <c r="LW53" s="79">
        <v>743090.84</v>
      </c>
      <c r="LX53" s="79">
        <v>600056.30000000005</v>
      </c>
      <c r="LY53" s="79">
        <v>671280.93</v>
      </c>
      <c r="LZ53" s="79">
        <v>671280.93</v>
      </c>
      <c r="MA53" s="79">
        <v>674280.93</v>
      </c>
      <c r="MB53" s="79">
        <v>674280.93</v>
      </c>
      <c r="MC53" s="79">
        <v>552962.43999999994</v>
      </c>
      <c r="MD53" s="79">
        <v>596472.35</v>
      </c>
      <c r="ME53" s="79">
        <v>596472.35</v>
      </c>
      <c r="MF53" s="79">
        <v>596472.35</v>
      </c>
      <c r="MG53" s="79">
        <v>596472.35</v>
      </c>
      <c r="MH53" s="79">
        <v>596472.35</v>
      </c>
      <c r="MI53" s="79">
        <v>596472.35</v>
      </c>
      <c r="MJ53" s="79">
        <v>596472.35</v>
      </c>
      <c r="MK53" s="79">
        <v>596472.35</v>
      </c>
      <c r="ML53" s="79">
        <v>590856.35</v>
      </c>
      <c r="MM53" s="79">
        <v>590856.35</v>
      </c>
      <c r="MN53" s="79">
        <v>590856.35</v>
      </c>
      <c r="MO53" s="79">
        <v>457746.09</v>
      </c>
      <c r="MP53" s="79">
        <v>457746.09</v>
      </c>
      <c r="MQ53" s="79">
        <v>466746.09</v>
      </c>
      <c r="MR53" s="79">
        <v>388037.97</v>
      </c>
      <c r="MS53" s="79">
        <v>525957.06999999995</v>
      </c>
      <c r="MT53" s="79">
        <v>525957.06999999995</v>
      </c>
      <c r="MU53" s="79">
        <v>530957.06999999995</v>
      </c>
      <c r="MV53" s="79">
        <v>530957.06999999995</v>
      </c>
      <c r="MW53" s="79">
        <v>530957.06999999995</v>
      </c>
      <c r="MX53" s="79">
        <v>530957.06999999995</v>
      </c>
      <c r="MY53" s="79">
        <v>530957.06999999995</v>
      </c>
      <c r="MZ53" s="79">
        <v>530957.06999999995</v>
      </c>
      <c r="NA53" s="79">
        <v>530957.06999999995</v>
      </c>
      <c r="NB53" s="79">
        <v>529102.06999999995</v>
      </c>
      <c r="NC53" s="79">
        <v>460493.44</v>
      </c>
      <c r="ND53" s="79">
        <v>856148.44</v>
      </c>
      <c r="NE53" s="79">
        <v>856148.44</v>
      </c>
      <c r="NF53" s="79">
        <v>861148.44</v>
      </c>
      <c r="NG53" s="79">
        <v>861148.44</v>
      </c>
      <c r="NH53" s="79">
        <v>817638.53</v>
      </c>
      <c r="NI53" s="79">
        <v>817638.53</v>
      </c>
      <c r="NJ53" s="79">
        <v>882490.39</v>
      </c>
      <c r="NK53" s="79">
        <v>884490.39</v>
      </c>
      <c r="NL53" s="79">
        <v>884490.39</v>
      </c>
      <c r="NM53" s="79">
        <v>884490.39</v>
      </c>
      <c r="NN53" s="79">
        <v>884490.39</v>
      </c>
      <c r="NO53" s="79">
        <v>884490.39</v>
      </c>
      <c r="NP53" s="79">
        <v>881853.39</v>
      </c>
      <c r="NQ53" s="79">
        <v>881853.39</v>
      </c>
      <c r="NR53" s="79">
        <v>876218.3</v>
      </c>
      <c r="NS53" s="79">
        <v>604617.19999999995</v>
      </c>
      <c r="NT53" s="79">
        <v>1261353.5</v>
      </c>
      <c r="NU53" s="79">
        <v>1261353.5</v>
      </c>
      <c r="NV53" s="79">
        <v>1273353.5</v>
      </c>
      <c r="NW53" s="79">
        <v>1132289.3999999999</v>
      </c>
      <c r="NX53" s="79">
        <v>1176930.77</v>
      </c>
      <c r="NY53" s="79">
        <v>1176930.77</v>
      </c>
      <c r="NZ53" s="79">
        <v>1176930.77</v>
      </c>
      <c r="OA53" s="79">
        <v>1176930.77</v>
      </c>
      <c r="OB53" s="79">
        <v>1176930.77</v>
      </c>
      <c r="OC53" s="79">
        <v>1176930.77</v>
      </c>
      <c r="OD53" s="79">
        <v>1176930.77</v>
      </c>
      <c r="OE53" s="79">
        <v>1176930.77</v>
      </c>
      <c r="OF53" s="79">
        <v>1176930.77</v>
      </c>
      <c r="OG53" s="79">
        <v>1177435.25</v>
      </c>
      <c r="OH53" s="79">
        <v>950879.85</v>
      </c>
      <c r="OI53" s="79">
        <v>950879.85</v>
      </c>
      <c r="OJ53" s="79">
        <v>950879.85</v>
      </c>
      <c r="OK53" s="79">
        <v>953267.48</v>
      </c>
      <c r="OL53" s="79">
        <v>946330.48</v>
      </c>
      <c r="OM53" s="79">
        <v>1329951.22</v>
      </c>
      <c r="ON53" s="79">
        <v>1329951.22</v>
      </c>
      <c r="OO53" s="79">
        <v>1329951.22</v>
      </c>
      <c r="OP53" s="79">
        <v>1329951.22</v>
      </c>
      <c r="OQ53" s="79">
        <v>1329951.22</v>
      </c>
      <c r="OR53" s="79">
        <v>1329951.22</v>
      </c>
      <c r="OS53" s="79">
        <v>1329951.22</v>
      </c>
      <c r="OT53" s="79">
        <v>1327951.22</v>
      </c>
      <c r="OU53" s="79">
        <v>1327951.22</v>
      </c>
      <c r="OV53" s="79">
        <v>1327951.22</v>
      </c>
      <c r="OW53" s="79">
        <v>1302727.3</v>
      </c>
      <c r="OX53" s="79">
        <v>1384291.05</v>
      </c>
      <c r="OY53" s="79">
        <v>1384291.05</v>
      </c>
      <c r="OZ53" s="79">
        <v>1384291.05</v>
      </c>
      <c r="PA53" s="79">
        <v>1374836.25</v>
      </c>
      <c r="PB53" s="79">
        <v>1397083.4</v>
      </c>
      <c r="PC53" s="79">
        <v>1397083.4</v>
      </c>
      <c r="PD53" s="79">
        <v>1397083.4</v>
      </c>
      <c r="PE53" s="79">
        <v>1392328.45</v>
      </c>
      <c r="PF53" s="79">
        <v>1392328.45</v>
      </c>
      <c r="PG53" s="79">
        <v>1392328.45</v>
      </c>
      <c r="PH53" s="79">
        <v>1392328.45</v>
      </c>
      <c r="PI53" s="79">
        <v>1392328.45</v>
      </c>
      <c r="PJ53" s="79">
        <v>1389219.07</v>
      </c>
      <c r="PK53" s="79">
        <v>1389219.07</v>
      </c>
      <c r="PL53" s="79">
        <v>1223297.97</v>
      </c>
      <c r="PM53" s="79">
        <v>1223297.97</v>
      </c>
      <c r="PN53" s="79">
        <v>2035104.38</v>
      </c>
      <c r="PO53" s="79">
        <v>2035104.38</v>
      </c>
      <c r="PP53" s="79">
        <v>2035104.38</v>
      </c>
      <c r="PQ53" s="79">
        <v>1608677.83</v>
      </c>
      <c r="PR53" s="79">
        <v>1608677.83</v>
      </c>
      <c r="PS53" s="79">
        <v>2098501.66</v>
      </c>
      <c r="PT53" s="79">
        <v>2089441.81</v>
      </c>
      <c r="PU53" s="79">
        <v>2072074.39</v>
      </c>
      <c r="PV53" s="79">
        <v>2065192.75</v>
      </c>
      <c r="PW53" s="79">
        <v>2065192.75</v>
      </c>
      <c r="PX53" s="79">
        <v>2065192.75</v>
      </c>
      <c r="PY53" s="79">
        <v>2065192.75</v>
      </c>
      <c r="PZ53" s="79">
        <v>2065192.75</v>
      </c>
      <c r="QA53" s="79">
        <v>2065192.75</v>
      </c>
      <c r="QB53" s="79">
        <v>2065192.75</v>
      </c>
      <c r="QC53" s="79">
        <v>1360744.16</v>
      </c>
      <c r="QD53" s="79">
        <v>2689617.75</v>
      </c>
      <c r="QE53" s="79">
        <v>2689617.75</v>
      </c>
      <c r="QF53" s="79">
        <v>2689617.75</v>
      </c>
      <c r="QG53" s="79">
        <v>2617224.75</v>
      </c>
      <c r="QH53" s="79">
        <v>2689896.8</v>
      </c>
      <c r="QI53" s="79">
        <v>2689896.8</v>
      </c>
      <c r="QJ53" s="79">
        <v>2689896.8</v>
      </c>
      <c r="QK53" s="79">
        <v>2687703.99</v>
      </c>
      <c r="QL53" s="79">
        <v>2687703.99</v>
      </c>
      <c r="QM53" s="79">
        <v>2643973.98</v>
      </c>
      <c r="QN53" s="79">
        <v>2634412.3199999998</v>
      </c>
      <c r="QO53" s="79">
        <v>2623253.9900000002</v>
      </c>
      <c r="QP53" s="79">
        <v>2623253.9900000002</v>
      </c>
      <c r="QQ53" s="79">
        <v>2623253.9900000002</v>
      </c>
      <c r="QR53" s="79">
        <v>2967022.45</v>
      </c>
      <c r="QS53" s="79">
        <v>2967022.45</v>
      </c>
      <c r="QT53" s="79">
        <v>2967022.45</v>
      </c>
      <c r="QU53" s="79">
        <v>2967022.45</v>
      </c>
      <c r="QV53" s="79">
        <v>2959746.59</v>
      </c>
      <c r="QW53" s="79">
        <v>3073677.78</v>
      </c>
      <c r="QX53" s="79">
        <v>3073677.78</v>
      </c>
      <c r="QY53" s="79">
        <v>3043532.89</v>
      </c>
      <c r="QZ53" s="79">
        <v>3043532.89</v>
      </c>
      <c r="RA53" s="79">
        <v>3043532.89</v>
      </c>
      <c r="RB53" s="79">
        <v>3043532.89</v>
      </c>
      <c r="RC53" s="79">
        <v>3042532.89</v>
      </c>
      <c r="RD53" s="79">
        <v>3019115.89</v>
      </c>
      <c r="RE53" s="79">
        <v>3009215.89</v>
      </c>
      <c r="RF53" s="79">
        <v>3009215.89</v>
      </c>
      <c r="RG53" s="79">
        <v>3009215.89</v>
      </c>
      <c r="RH53" s="79">
        <v>3165576.3</v>
      </c>
      <c r="RI53" s="79">
        <v>3165576.3</v>
      </c>
      <c r="RJ53" s="79">
        <v>3164576.3</v>
      </c>
      <c r="RK53" s="79">
        <v>3164576.3</v>
      </c>
      <c r="RL53" s="79">
        <v>3256411.28</v>
      </c>
      <c r="RM53" s="79">
        <v>3248966.28</v>
      </c>
      <c r="RN53" s="79">
        <v>3248966.28</v>
      </c>
      <c r="RO53" s="79">
        <v>3248966.28</v>
      </c>
      <c r="RP53" s="79">
        <v>3248966.28</v>
      </c>
      <c r="RQ53" s="79">
        <v>3248966.28</v>
      </c>
      <c r="RR53" s="79">
        <v>3254889.99</v>
      </c>
      <c r="RS53" s="79">
        <v>3244057.82</v>
      </c>
      <c r="RT53" s="79">
        <v>3239210.32</v>
      </c>
      <c r="RU53" s="79">
        <v>3239210.32</v>
      </c>
      <c r="RV53" s="79">
        <v>2129197.7400000002</v>
      </c>
      <c r="RW53" s="79">
        <v>2768707.54</v>
      </c>
      <c r="RX53" s="79">
        <v>2768707.54</v>
      </c>
      <c r="RY53" s="79">
        <v>2768707.54</v>
      </c>
      <c r="RZ53" s="79">
        <v>2768707.54</v>
      </c>
      <c r="SA53" s="79">
        <v>2199921.1800000002</v>
      </c>
      <c r="SB53" s="79">
        <v>2487157.5699999998</v>
      </c>
      <c r="SC53" s="79">
        <v>2477109.27</v>
      </c>
      <c r="SD53" s="79">
        <v>2477109.27</v>
      </c>
      <c r="SE53" s="79">
        <v>2472109.27</v>
      </c>
      <c r="SF53" s="79">
        <v>2472109.27</v>
      </c>
      <c r="SG53" s="79">
        <v>2462109.27</v>
      </c>
      <c r="SH53" s="79">
        <v>2430695.2799999998</v>
      </c>
      <c r="SI53" s="79">
        <v>2430695.2799999998</v>
      </c>
      <c r="SJ53" s="79">
        <v>2418835.08</v>
      </c>
      <c r="SK53" s="79">
        <v>2416415.08</v>
      </c>
      <c r="SL53" s="79">
        <v>1047474.3</v>
      </c>
      <c r="SM53" s="79">
        <v>2011118.76</v>
      </c>
      <c r="SN53" s="79">
        <v>2002632.81</v>
      </c>
      <c r="SO53" s="79">
        <v>1994147.09</v>
      </c>
      <c r="SP53" s="79">
        <v>1838212.58</v>
      </c>
      <c r="SQ53" s="79">
        <v>1838212.58</v>
      </c>
      <c r="SR53" s="79">
        <v>1838212.58</v>
      </c>
      <c r="SS53" s="79">
        <v>1838212.58</v>
      </c>
      <c r="ST53" s="79">
        <v>1820219.61</v>
      </c>
      <c r="SU53" s="79">
        <v>1820251.76</v>
      </c>
      <c r="SV53" s="79">
        <v>1820251.76</v>
      </c>
      <c r="SW53" s="79">
        <v>1809376.99</v>
      </c>
      <c r="SX53" s="79">
        <v>1809376.99</v>
      </c>
      <c r="SY53" s="79">
        <v>1814224.51</v>
      </c>
      <c r="SZ53" s="79">
        <v>1814224.51</v>
      </c>
      <c r="TA53" s="79">
        <v>1204730.21</v>
      </c>
      <c r="TB53" s="79">
        <v>2096753.88</v>
      </c>
      <c r="TC53" s="79">
        <v>2096753.88</v>
      </c>
      <c r="TD53" s="79">
        <v>2096753.88</v>
      </c>
      <c r="TE53" s="79">
        <v>2096753.88</v>
      </c>
      <c r="TF53" s="79">
        <v>1872352.33</v>
      </c>
      <c r="TG53" s="79">
        <v>1872352.33</v>
      </c>
      <c r="TH53" s="87">
        <v>1862304.04</v>
      </c>
      <c r="TI53" s="87">
        <v>1862304.04</v>
      </c>
      <c r="TJ53" s="87">
        <v>1862304.04</v>
      </c>
      <c r="TK53" s="87">
        <v>1852304.04</v>
      </c>
      <c r="TL53" s="87">
        <v>1852304.04</v>
      </c>
      <c r="TM53" s="87">
        <v>1836591.43</v>
      </c>
      <c r="TN53" s="87">
        <v>1836591.43</v>
      </c>
      <c r="TO53" s="87">
        <v>1836591.43</v>
      </c>
      <c r="TP53" s="87">
        <v>1836591.43</v>
      </c>
      <c r="TQ53" s="87">
        <v>1042612.86</v>
      </c>
      <c r="TR53" s="87">
        <v>1919187.3</v>
      </c>
      <c r="TS53" s="87">
        <v>1919187.3</v>
      </c>
      <c r="TT53" s="87">
        <v>1919187.3</v>
      </c>
      <c r="TU53" s="87">
        <v>1919187.3</v>
      </c>
      <c r="TV53" s="87">
        <v>1918187.3</v>
      </c>
      <c r="TW53" s="87">
        <v>1918187.3</v>
      </c>
      <c r="TX53" s="87">
        <v>1918187.3</v>
      </c>
      <c r="TY53" s="87">
        <v>1917987.3</v>
      </c>
      <c r="TZ53" s="87">
        <v>1917987.3</v>
      </c>
      <c r="UA53" s="87">
        <v>1927964.27</v>
      </c>
      <c r="UB53" s="87">
        <v>1913116.75</v>
      </c>
      <c r="UC53" s="87">
        <v>1913116.75</v>
      </c>
      <c r="UD53" s="87">
        <v>2254758.37</v>
      </c>
      <c r="UE53" s="87">
        <v>2287758.37</v>
      </c>
      <c r="UF53" s="87">
        <v>1394734.7</v>
      </c>
      <c r="UG53" s="87">
        <v>1394734.7</v>
      </c>
      <c r="UH53" s="87">
        <v>1233254.23</v>
      </c>
      <c r="UI53" s="87">
        <v>1233254.23</v>
      </c>
      <c r="UJ53" s="87">
        <v>1233254.23</v>
      </c>
      <c r="UK53" s="87">
        <v>1233254.23</v>
      </c>
      <c r="UL53" s="87">
        <v>1233254.23</v>
      </c>
      <c r="UM53" s="87">
        <v>1233254.23</v>
      </c>
      <c r="UN53" s="87">
        <v>1233254.23</v>
      </c>
      <c r="UO53" s="87">
        <v>1233254.23</v>
      </c>
      <c r="UP53" s="87">
        <v>1133331.3700000001</v>
      </c>
      <c r="UQ53" s="87">
        <v>1132570.3799999999</v>
      </c>
      <c r="UR53" s="87">
        <v>1132570.3799999999</v>
      </c>
      <c r="US53" s="87">
        <v>1132570.3799999999</v>
      </c>
      <c r="UT53" s="87">
        <v>1409555.57</v>
      </c>
      <c r="UU53" s="87">
        <v>1438883.81</v>
      </c>
      <c r="UV53" s="87">
        <v>613268.24</v>
      </c>
      <c r="UW53" s="87">
        <v>613268.24</v>
      </c>
      <c r="UX53" s="87">
        <v>600210.63</v>
      </c>
      <c r="UY53" s="87">
        <v>600210.63</v>
      </c>
      <c r="UZ53" s="87">
        <v>600210.63</v>
      </c>
      <c r="VA53" s="87">
        <v>600210.63</v>
      </c>
      <c r="VB53" s="87">
        <v>600210.63</v>
      </c>
      <c r="VC53" s="87">
        <v>600210.63</v>
      </c>
      <c r="VD53" s="87">
        <v>600210.63</v>
      </c>
      <c r="VE53" s="87">
        <v>590233.66</v>
      </c>
      <c r="VF53" s="87">
        <v>590233.66</v>
      </c>
      <c r="VG53" s="87">
        <v>590233.66</v>
      </c>
      <c r="VH53" s="87">
        <v>590233.66</v>
      </c>
      <c r="VI53" s="87">
        <v>237592.04</v>
      </c>
      <c r="VJ53" s="87">
        <v>763326.44</v>
      </c>
      <c r="VK53" s="87">
        <v>777903.65</v>
      </c>
      <c r="VL53" s="87">
        <v>777903.65</v>
      </c>
      <c r="VM53" s="87">
        <v>777903.65</v>
      </c>
      <c r="VN53" s="87">
        <v>777903.65</v>
      </c>
      <c r="VO53" s="87">
        <v>777903.65</v>
      </c>
      <c r="VP53" s="87">
        <v>777903.65</v>
      </c>
      <c r="VQ53" s="87">
        <v>777903.65</v>
      </c>
      <c r="VR53" s="87">
        <v>777903.65</v>
      </c>
      <c r="VS53" s="87">
        <v>777903.65</v>
      </c>
      <c r="VT53" s="87">
        <v>777903.65</v>
      </c>
      <c r="VU53" s="87">
        <v>763700.93</v>
      </c>
      <c r="VV53" s="87">
        <v>753700.93</v>
      </c>
      <c r="VW53" s="87">
        <v>749776.71</v>
      </c>
      <c r="VX53" s="87">
        <v>568281.98</v>
      </c>
      <c r="VY53" s="87">
        <v>1688803.38</v>
      </c>
      <c r="VZ53" s="87">
        <v>1718141.76</v>
      </c>
      <c r="WA53" s="87">
        <v>1718141.76</v>
      </c>
      <c r="WB53" s="87">
        <v>1718141.76</v>
      </c>
      <c r="WC53" s="87">
        <v>1718141.76</v>
      </c>
      <c r="WD53" s="87">
        <v>1718141.76</v>
      </c>
      <c r="WE53" s="87">
        <v>1718141.76</v>
      </c>
      <c r="WF53" s="87">
        <v>1718141.76</v>
      </c>
      <c r="WG53" s="87">
        <v>1718141.76</v>
      </c>
      <c r="WH53" s="87">
        <v>1718141.76</v>
      </c>
      <c r="WI53" s="87">
        <v>1718141.76</v>
      </c>
      <c r="WJ53" s="87">
        <v>1718141.76</v>
      </c>
      <c r="WK53" s="87">
        <v>1718141.76</v>
      </c>
      <c r="WL53" s="87">
        <v>1718141.76</v>
      </c>
      <c r="WM53" s="87">
        <v>2016513.85</v>
      </c>
      <c r="WN53" s="87">
        <v>2016513.85</v>
      </c>
      <c r="WO53" s="87">
        <v>2041391.98</v>
      </c>
      <c r="WP53" s="87">
        <v>2041391.98</v>
      </c>
      <c r="WQ53" s="87">
        <v>2041391.98</v>
      </c>
      <c r="WR53" s="87">
        <v>2025194.26</v>
      </c>
      <c r="WS53" s="87">
        <v>2025194.26</v>
      </c>
      <c r="WT53" s="87">
        <v>2025194.26</v>
      </c>
      <c r="WU53" s="87">
        <v>2025194.26</v>
      </c>
      <c r="WV53" s="87">
        <v>2025194.26</v>
      </c>
      <c r="WW53" s="87">
        <v>2061466.21</v>
      </c>
      <c r="WX53" s="87">
        <v>2092580.4</v>
      </c>
      <c r="WY53" s="87">
        <v>2092580.4</v>
      </c>
      <c r="WZ53" s="87">
        <v>2092080.4</v>
      </c>
      <c r="XA53" s="87">
        <v>2092080.4</v>
      </c>
      <c r="XB53" s="87">
        <v>2092080.4</v>
      </c>
      <c r="XC53" s="87">
        <v>1880183.95</v>
      </c>
      <c r="XD53" s="87">
        <v>1880183.95</v>
      </c>
      <c r="XE53" s="87">
        <v>1934270.26</v>
      </c>
      <c r="XF53" s="87">
        <v>1934270.26</v>
      </c>
      <c r="XG53" s="87">
        <v>1934270.26</v>
      </c>
      <c r="XH53" s="87">
        <v>1934270.26</v>
      </c>
      <c r="XI53" s="87">
        <v>1934270.26</v>
      </c>
      <c r="XJ53" s="87">
        <v>1934270.26</v>
      </c>
      <c r="XK53" s="87">
        <v>1934270.26</v>
      </c>
      <c r="XL53" s="87">
        <v>1962441.6</v>
      </c>
      <c r="XM53" s="87">
        <v>1962441.6</v>
      </c>
      <c r="XN53" s="87">
        <v>1962441.6</v>
      </c>
      <c r="XO53" s="87">
        <v>1955598.5</v>
      </c>
      <c r="XP53" s="87">
        <v>1955598.5</v>
      </c>
      <c r="XQ53" s="87">
        <v>1092036.67</v>
      </c>
      <c r="XR53" s="87">
        <v>1708831.96</v>
      </c>
      <c r="XS53" s="87">
        <v>1744068.56</v>
      </c>
      <c r="XT53" s="87">
        <v>1744068.56</v>
      </c>
      <c r="XU53" s="87">
        <v>1744068.56</v>
      </c>
      <c r="XV53" s="87">
        <v>1744068.56</v>
      </c>
      <c r="XW53" s="87">
        <v>1744068.56</v>
      </c>
      <c r="XX53" s="87">
        <v>1744068.56</v>
      </c>
      <c r="XY53" s="87">
        <v>1744068.56</v>
      </c>
      <c r="XZ53" s="87">
        <v>1744068.56</v>
      </c>
      <c r="YA53" s="87">
        <v>1710498.79</v>
      </c>
      <c r="YB53" s="87">
        <v>1677176.4</v>
      </c>
      <c r="YC53" s="189">
        <v>1677176</v>
      </c>
      <c r="YD53" s="189">
        <v>1677176.4</v>
      </c>
      <c r="YE53" s="189">
        <v>1710486.95</v>
      </c>
      <c r="YF53" s="189">
        <v>1710486.95</v>
      </c>
      <c r="YG53" s="189">
        <v>724209</v>
      </c>
      <c r="YH53" s="189">
        <v>922610.42</v>
      </c>
      <c r="YI53" s="189">
        <v>971386.95</v>
      </c>
      <c r="YJ53" s="189">
        <v>1019470.22</v>
      </c>
      <c r="YK53" s="189">
        <v>1019470.22</v>
      </c>
      <c r="YL53" s="189">
        <v>1019470.22</v>
      </c>
      <c r="YM53" s="189">
        <v>1019470.22</v>
      </c>
    </row>
    <row r="54" spans="1:663" ht="15.75" customHeight="1" x14ac:dyDescent="0.2">
      <c r="A54" s="86"/>
      <c r="B54" s="188" t="s">
        <v>118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79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79"/>
      <c r="CY54" s="79"/>
      <c r="CZ54" s="79"/>
      <c r="DA54" s="79"/>
      <c r="DB54" s="79"/>
      <c r="DC54" s="79"/>
      <c r="DD54" s="79"/>
      <c r="DE54" s="79"/>
      <c r="DF54" s="79"/>
      <c r="DG54" s="79"/>
      <c r="DH54" s="79"/>
      <c r="DI54" s="79"/>
      <c r="DJ54" s="79"/>
      <c r="DK54" s="79"/>
      <c r="DL54" s="79"/>
      <c r="DM54" s="79"/>
      <c r="DN54" s="79"/>
      <c r="DO54" s="79"/>
      <c r="DP54" s="79"/>
      <c r="DQ54" s="79"/>
      <c r="DR54" s="79"/>
      <c r="DS54" s="79"/>
      <c r="DT54" s="79"/>
      <c r="DU54" s="79"/>
      <c r="DV54" s="79"/>
      <c r="DW54" s="79"/>
      <c r="DX54" s="79"/>
      <c r="DY54" s="79"/>
      <c r="DZ54" s="79"/>
      <c r="EA54" s="79"/>
      <c r="EB54" s="79"/>
      <c r="EC54" s="79"/>
      <c r="ED54" s="79"/>
      <c r="EE54" s="79"/>
      <c r="EF54" s="79"/>
      <c r="EG54" s="79"/>
      <c r="EH54" s="79"/>
      <c r="EI54" s="79"/>
      <c r="EJ54" s="79"/>
      <c r="EK54" s="79"/>
      <c r="EL54" s="79"/>
      <c r="EM54" s="79"/>
      <c r="EN54" s="79"/>
      <c r="EO54" s="79"/>
      <c r="EP54" s="79"/>
      <c r="EQ54" s="79"/>
      <c r="ER54" s="79"/>
      <c r="ES54" s="79"/>
      <c r="ET54" s="79"/>
      <c r="EU54" s="79"/>
      <c r="EV54" s="79"/>
      <c r="EW54" s="79"/>
      <c r="EX54" s="79"/>
      <c r="EY54" s="79"/>
      <c r="EZ54" s="79"/>
      <c r="FA54" s="79"/>
      <c r="FB54" s="79"/>
      <c r="FC54" s="79"/>
      <c r="FD54" s="79"/>
      <c r="FE54" s="79"/>
      <c r="FF54" s="79"/>
      <c r="FG54" s="79"/>
      <c r="FH54" s="79"/>
      <c r="FI54" s="79"/>
      <c r="FJ54" s="79"/>
      <c r="FK54" s="79"/>
      <c r="FL54" s="79"/>
      <c r="FM54" s="79"/>
      <c r="FN54" s="79"/>
      <c r="FO54" s="79"/>
      <c r="FP54" s="79"/>
      <c r="FQ54" s="79"/>
      <c r="FR54" s="79"/>
      <c r="FS54" s="79"/>
      <c r="FT54" s="79"/>
      <c r="FU54" s="79"/>
      <c r="FV54" s="79"/>
      <c r="FW54" s="79"/>
      <c r="FX54" s="79"/>
      <c r="FY54" s="79"/>
      <c r="FZ54" s="79"/>
      <c r="GA54" s="79"/>
      <c r="GB54" s="79"/>
      <c r="GC54" s="79"/>
      <c r="GD54" s="79"/>
      <c r="GE54" s="79"/>
      <c r="GF54" s="79"/>
      <c r="GG54" s="79"/>
      <c r="GH54" s="79"/>
      <c r="GI54" s="79"/>
      <c r="GJ54" s="79"/>
      <c r="GK54" s="79"/>
      <c r="GL54" s="79"/>
      <c r="GM54" s="79"/>
      <c r="GN54" s="79"/>
      <c r="GO54" s="79"/>
      <c r="GP54" s="79"/>
      <c r="GQ54" s="79"/>
      <c r="GR54" s="79"/>
      <c r="GS54" s="79"/>
      <c r="GT54" s="79"/>
      <c r="GU54" s="79"/>
      <c r="GV54" s="79"/>
      <c r="GW54" s="79"/>
      <c r="GX54" s="79"/>
      <c r="GY54" s="79"/>
      <c r="GZ54" s="79"/>
      <c r="HA54" s="79"/>
      <c r="HB54" s="79"/>
      <c r="HC54" s="79"/>
      <c r="HD54" s="79"/>
      <c r="HE54" s="79"/>
      <c r="HF54" s="79"/>
      <c r="HG54" s="79"/>
      <c r="HH54" s="79"/>
      <c r="HI54" s="79"/>
      <c r="HJ54" s="79"/>
      <c r="HK54" s="79"/>
      <c r="HL54" s="79"/>
      <c r="HM54" s="79"/>
      <c r="HN54" s="79"/>
      <c r="HO54" s="79"/>
      <c r="HP54" s="79"/>
      <c r="HQ54" s="79"/>
      <c r="HR54" s="79"/>
      <c r="HS54" s="79"/>
      <c r="HT54" s="79"/>
      <c r="HU54" s="79"/>
      <c r="HV54" s="79"/>
      <c r="HW54" s="79"/>
      <c r="HX54" s="79"/>
      <c r="HY54" s="79"/>
      <c r="HZ54" s="79"/>
      <c r="IA54" s="79"/>
      <c r="IB54" s="79"/>
      <c r="IC54" s="79"/>
      <c r="ID54" s="79"/>
      <c r="IE54" s="79"/>
      <c r="IF54" s="79"/>
      <c r="IG54" s="79"/>
      <c r="IH54" s="79"/>
      <c r="II54" s="79"/>
      <c r="IJ54" s="79"/>
      <c r="IK54" s="79"/>
      <c r="IL54" s="79"/>
      <c r="IM54" s="79"/>
      <c r="IN54" s="79"/>
      <c r="IO54" s="79"/>
      <c r="IP54" s="79"/>
      <c r="IQ54" s="79"/>
      <c r="IR54" s="79"/>
      <c r="IS54" s="79"/>
      <c r="IT54" s="79"/>
      <c r="IU54" s="79"/>
      <c r="IV54" s="79"/>
      <c r="IW54" s="79"/>
      <c r="IX54" s="79"/>
      <c r="IY54" s="79"/>
      <c r="IZ54" s="79"/>
      <c r="JA54" s="79"/>
      <c r="JB54" s="79"/>
      <c r="JC54" s="79"/>
      <c r="JD54" s="79"/>
      <c r="JE54" s="79"/>
      <c r="JF54" s="79"/>
      <c r="JG54" s="79"/>
      <c r="JH54" s="79"/>
      <c r="JI54" s="79"/>
      <c r="JJ54" s="79"/>
      <c r="JK54" s="79"/>
      <c r="JL54" s="79"/>
      <c r="JM54" s="79"/>
      <c r="JN54" s="79"/>
      <c r="JO54" s="79">
        <v>231773.37</v>
      </c>
      <c r="JP54" s="79">
        <v>231773.37</v>
      </c>
      <c r="JQ54" s="79">
        <v>231773.37</v>
      </c>
      <c r="JR54" s="79">
        <v>231773.37</v>
      </c>
      <c r="JS54" s="79">
        <v>231773.37</v>
      </c>
      <c r="JT54" s="79">
        <v>256772.64</v>
      </c>
      <c r="JU54" s="79">
        <v>256772.64</v>
      </c>
      <c r="JV54" s="79">
        <v>256772.64</v>
      </c>
      <c r="JW54" s="79">
        <v>256772.64</v>
      </c>
      <c r="JX54" s="79">
        <v>256772.64</v>
      </c>
      <c r="JY54" s="79">
        <v>256772.64</v>
      </c>
      <c r="JZ54" s="79">
        <v>256772.64</v>
      </c>
      <c r="KA54" s="79">
        <v>256772.64</v>
      </c>
      <c r="KB54" s="79">
        <v>256772.64</v>
      </c>
      <c r="KC54" s="79">
        <v>256772.64</v>
      </c>
      <c r="KD54" s="79">
        <v>245243.37</v>
      </c>
      <c r="KE54" s="79">
        <v>289023.76</v>
      </c>
      <c r="KF54" s="79">
        <v>274023.76</v>
      </c>
      <c r="KG54" s="79">
        <v>274023.76</v>
      </c>
      <c r="KH54" s="79">
        <v>274023.76</v>
      </c>
      <c r="KI54" s="79">
        <v>301878.53999999998</v>
      </c>
      <c r="KJ54" s="79"/>
      <c r="KK54" s="79">
        <v>301878.53999999998</v>
      </c>
      <c r="KL54" s="79">
        <v>301878.53999999998</v>
      </c>
      <c r="KM54" s="79">
        <v>301878.53999999998</v>
      </c>
      <c r="KN54" s="79">
        <v>301878.53999999998</v>
      </c>
      <c r="KO54" s="79">
        <v>301878.53999999998</v>
      </c>
      <c r="KP54" s="79">
        <v>301878.53999999998</v>
      </c>
      <c r="KQ54" s="79">
        <v>301878.53999999998</v>
      </c>
      <c r="KR54" s="79">
        <v>301878.53999999998</v>
      </c>
      <c r="KS54" s="79">
        <v>196375.63</v>
      </c>
      <c r="KT54" s="79">
        <v>397955.61</v>
      </c>
      <c r="KU54" s="79">
        <v>397955.61</v>
      </c>
      <c r="KV54" s="79">
        <v>397955.61</v>
      </c>
      <c r="KW54" s="79">
        <v>400955.61</v>
      </c>
      <c r="KX54" s="79">
        <v>375956.34</v>
      </c>
      <c r="KY54" s="79">
        <v>440835.92</v>
      </c>
      <c r="KZ54" s="79">
        <v>440835.92</v>
      </c>
      <c r="LA54" s="79">
        <v>440835.92</v>
      </c>
      <c r="LB54" s="79">
        <v>441835.92</v>
      </c>
      <c r="LC54" s="79">
        <v>441835.92</v>
      </c>
      <c r="LD54" s="79">
        <v>441835.92</v>
      </c>
      <c r="LE54" s="79">
        <v>441835.92</v>
      </c>
      <c r="LF54" s="79">
        <v>441835.92</v>
      </c>
      <c r="LG54" s="79">
        <v>441835.92</v>
      </c>
      <c r="LH54" s="79">
        <v>441835.92</v>
      </c>
      <c r="LI54" s="79">
        <v>373291.77</v>
      </c>
      <c r="LJ54" s="79">
        <v>520979.84</v>
      </c>
      <c r="LK54" s="79">
        <v>520979.84</v>
      </c>
      <c r="LL54" s="79">
        <v>520979.84</v>
      </c>
      <c r="LM54" s="79">
        <v>438732.81</v>
      </c>
      <c r="LN54" s="79">
        <v>438732.81</v>
      </c>
      <c r="LO54" s="79">
        <v>438482.81</v>
      </c>
      <c r="LP54" s="79">
        <v>438482.81</v>
      </c>
      <c r="LQ54" s="79">
        <v>438482.81</v>
      </c>
      <c r="LR54" s="79">
        <v>438482.81</v>
      </c>
      <c r="LS54" s="79">
        <v>438482.81</v>
      </c>
      <c r="LT54" s="79">
        <v>438482.81</v>
      </c>
      <c r="LU54" s="79">
        <v>438482.81</v>
      </c>
      <c r="LV54" s="79">
        <v>437232.81</v>
      </c>
      <c r="LW54" s="79">
        <v>432066.53</v>
      </c>
      <c r="LX54" s="79">
        <v>375687.37</v>
      </c>
      <c r="LY54" s="79">
        <v>375687.37</v>
      </c>
      <c r="LZ54" s="79">
        <v>375687.37</v>
      </c>
      <c r="MA54" s="79">
        <v>379687.37</v>
      </c>
      <c r="MB54" s="79">
        <v>379687.37</v>
      </c>
      <c r="MC54" s="79">
        <v>435126.28</v>
      </c>
      <c r="MD54" s="79">
        <v>435126.28</v>
      </c>
      <c r="ME54" s="79">
        <v>435126.28</v>
      </c>
      <c r="MF54" s="79">
        <v>439126.28</v>
      </c>
      <c r="MG54" s="79">
        <v>439126.28</v>
      </c>
      <c r="MH54" s="79">
        <v>437626.28</v>
      </c>
      <c r="MI54" s="79">
        <v>437626.28</v>
      </c>
      <c r="MJ54" s="79">
        <v>436126.28</v>
      </c>
      <c r="MK54" s="79">
        <v>436126.28</v>
      </c>
      <c r="ML54" s="79">
        <v>435526.28</v>
      </c>
      <c r="MM54" s="79">
        <v>435526.28</v>
      </c>
      <c r="MN54" s="79">
        <v>435526.28</v>
      </c>
      <c r="MO54" s="79">
        <v>672382.72</v>
      </c>
      <c r="MP54" s="79">
        <v>672382.72</v>
      </c>
      <c r="MQ54" s="79">
        <v>682282.72</v>
      </c>
      <c r="MR54" s="79">
        <v>760990.84</v>
      </c>
      <c r="MS54" s="79">
        <v>760990.84</v>
      </c>
      <c r="MT54" s="79">
        <v>760990.84</v>
      </c>
      <c r="MU54" s="79">
        <v>771990.84</v>
      </c>
      <c r="MV54" s="79">
        <v>771990.84</v>
      </c>
      <c r="MW54" s="79">
        <v>771990.84</v>
      </c>
      <c r="MX54" s="79">
        <v>771990.84</v>
      </c>
      <c r="MY54" s="79">
        <v>771990.84</v>
      </c>
      <c r="MZ54" s="79">
        <v>769090.84</v>
      </c>
      <c r="NA54" s="79">
        <v>769080.84</v>
      </c>
      <c r="NB54" s="79">
        <v>622046.30000000005</v>
      </c>
      <c r="NC54" s="79">
        <v>690654.93</v>
      </c>
      <c r="ND54" s="79">
        <v>690654.93</v>
      </c>
      <c r="NE54" s="79">
        <v>690654.93</v>
      </c>
      <c r="NF54" s="79">
        <v>693654.93</v>
      </c>
      <c r="NG54" s="79">
        <v>568336.43999999994</v>
      </c>
      <c r="NH54" s="79">
        <v>611846.35</v>
      </c>
      <c r="NI54" s="79">
        <v>611846.35</v>
      </c>
      <c r="NJ54" s="79">
        <v>611846.35</v>
      </c>
      <c r="NK54" s="79">
        <v>614846.35</v>
      </c>
      <c r="NL54" s="79">
        <v>614846.35</v>
      </c>
      <c r="NM54" s="79">
        <v>614846.35</v>
      </c>
      <c r="NN54" s="79">
        <v>614846.35</v>
      </c>
      <c r="NO54" s="79">
        <v>609230.35</v>
      </c>
      <c r="NP54" s="79">
        <v>609230.35</v>
      </c>
      <c r="NQ54" s="79">
        <v>609230.35</v>
      </c>
      <c r="NR54" s="79">
        <v>210708.17</v>
      </c>
      <c r="NS54" s="79">
        <v>482309.27</v>
      </c>
      <c r="NT54" s="79">
        <v>482309.27</v>
      </c>
      <c r="NU54" s="79">
        <v>482309.27</v>
      </c>
      <c r="NV54" s="79">
        <v>398282.82</v>
      </c>
      <c r="NW54" s="79">
        <v>539346.92000000004</v>
      </c>
      <c r="NX54" s="79">
        <v>539346.92000000004</v>
      </c>
      <c r="NY54" s="79">
        <v>539346.92000000004</v>
      </c>
      <c r="NZ54" s="79">
        <v>539346.92000000004</v>
      </c>
      <c r="OA54" s="79">
        <v>539346.92000000004</v>
      </c>
      <c r="OB54" s="79">
        <v>539346.92000000004</v>
      </c>
      <c r="OC54" s="79">
        <v>539346.92000000004</v>
      </c>
      <c r="OD54" s="79">
        <v>539346.92000000004</v>
      </c>
      <c r="OE54" s="79">
        <v>539346.92000000004</v>
      </c>
      <c r="OF54" s="79">
        <v>539346.92000000004</v>
      </c>
      <c r="OG54" s="79">
        <v>460098.3</v>
      </c>
      <c r="OH54" s="79">
        <v>854944.54</v>
      </c>
      <c r="OI54" s="79">
        <v>854944.54</v>
      </c>
      <c r="OJ54" s="79">
        <v>849124.71</v>
      </c>
      <c r="OK54" s="79">
        <v>855808.54</v>
      </c>
      <c r="OL54" s="79">
        <v>809298.63</v>
      </c>
      <c r="OM54" s="79">
        <v>876150.49</v>
      </c>
      <c r="ON54" s="79">
        <v>876150.49</v>
      </c>
      <c r="OO54" s="79">
        <v>876150.49</v>
      </c>
      <c r="OP54" s="79">
        <v>876150.49</v>
      </c>
      <c r="OQ54" s="79">
        <v>876150.49</v>
      </c>
      <c r="OR54" s="79">
        <v>876150.49</v>
      </c>
      <c r="OS54" s="79">
        <v>876150.49</v>
      </c>
      <c r="OT54" s="79">
        <v>876150.49</v>
      </c>
      <c r="OU54" s="79">
        <v>873514.14</v>
      </c>
      <c r="OV54" s="79">
        <v>873514.14</v>
      </c>
      <c r="OW54" s="79">
        <v>600520.82999999996</v>
      </c>
      <c r="OX54" s="79">
        <v>1259320.1299999999</v>
      </c>
      <c r="OY54" s="79">
        <v>1259320.1299999999</v>
      </c>
      <c r="OZ54" s="79">
        <v>1259320.1299999999</v>
      </c>
      <c r="PA54" s="79">
        <v>1136868.51</v>
      </c>
      <c r="PB54" s="79">
        <v>1187014.3600000001</v>
      </c>
      <c r="PC54" s="79">
        <v>1187014.3600000001</v>
      </c>
      <c r="PD54" s="79">
        <v>1187014.3600000001</v>
      </c>
      <c r="PE54" s="79">
        <v>1187014.3600000001</v>
      </c>
      <c r="PF54" s="79">
        <v>1187014.3600000001</v>
      </c>
      <c r="PG54" s="79">
        <v>1187014.3600000001</v>
      </c>
      <c r="PH54" s="79">
        <v>1187014.3600000001</v>
      </c>
      <c r="PI54" s="79">
        <v>1179940.51</v>
      </c>
      <c r="PJ54" s="79">
        <v>1177306.78</v>
      </c>
      <c r="PK54" s="79">
        <v>1175976.52</v>
      </c>
      <c r="PL54" s="79">
        <v>954132.85</v>
      </c>
      <c r="PM54" s="79">
        <v>954132.85</v>
      </c>
      <c r="PN54" s="79">
        <v>954132.85</v>
      </c>
      <c r="PO54" s="79">
        <v>954132.85</v>
      </c>
      <c r="PP54" s="79">
        <v>954132.85</v>
      </c>
      <c r="PQ54" s="79">
        <v>1311707.54</v>
      </c>
      <c r="PR54" s="79">
        <v>1311707.54</v>
      </c>
      <c r="PS54" s="79">
        <v>1311707.54</v>
      </c>
      <c r="PT54" s="79">
        <v>1311707.54</v>
      </c>
      <c r="PU54" s="79">
        <v>1311707.54</v>
      </c>
      <c r="PV54" s="79">
        <v>1311707.54</v>
      </c>
      <c r="PW54" s="79">
        <v>1309095.2</v>
      </c>
      <c r="PX54" s="79">
        <v>1309095.2</v>
      </c>
      <c r="PY54" s="79">
        <v>1303460.1299999999</v>
      </c>
      <c r="PZ54" s="79">
        <v>1297460.1299999999</v>
      </c>
      <c r="QA54" s="79">
        <v>1297460.1299999999</v>
      </c>
      <c r="QB54" s="79">
        <v>1297460.1299999999</v>
      </c>
      <c r="QC54" s="79">
        <v>1337440.68</v>
      </c>
      <c r="QD54" s="79">
        <v>1337440.68</v>
      </c>
      <c r="QE54" s="79">
        <v>1337440.68</v>
      </c>
      <c r="QF54" s="79">
        <v>1337440.68</v>
      </c>
      <c r="QG54" s="79">
        <v>1360941.83</v>
      </c>
      <c r="QH54" s="79">
        <v>1360941.83</v>
      </c>
      <c r="QI54" s="79">
        <v>1357832.46</v>
      </c>
      <c r="QJ54" s="79">
        <v>1357832.46</v>
      </c>
      <c r="QK54" s="79">
        <v>1349876.26</v>
      </c>
      <c r="QL54" s="79">
        <v>1349876.26</v>
      </c>
      <c r="QM54" s="79">
        <v>1349876.26</v>
      </c>
      <c r="QN54" s="79">
        <v>1349876.26</v>
      </c>
      <c r="QO54" s="79">
        <v>1348876.26</v>
      </c>
      <c r="QP54" s="79">
        <v>1348876.26</v>
      </c>
      <c r="QQ54" s="79">
        <v>1186567.5</v>
      </c>
      <c r="QR54" s="79">
        <v>2012843.51</v>
      </c>
      <c r="QS54" s="79">
        <v>2012843.51</v>
      </c>
      <c r="QT54" s="79">
        <v>2012843.51</v>
      </c>
      <c r="QU54" s="79">
        <v>2010181.1</v>
      </c>
      <c r="QV54" s="79">
        <v>1592498.99</v>
      </c>
      <c r="QW54" s="79">
        <v>2066381.33</v>
      </c>
      <c r="QX54" s="79">
        <v>2066381.33</v>
      </c>
      <c r="QY54" s="79">
        <v>2066381.33</v>
      </c>
      <c r="QZ54" s="79">
        <v>2066381.33</v>
      </c>
      <c r="RA54" s="79">
        <v>2066381.33</v>
      </c>
      <c r="RB54" s="79">
        <v>2053911.82</v>
      </c>
      <c r="RC54" s="79">
        <v>2053911.82</v>
      </c>
      <c r="RD54" s="79">
        <v>2053911.82</v>
      </c>
      <c r="RE54" s="79">
        <v>2053911.82</v>
      </c>
      <c r="RF54" s="79">
        <v>2053911.82</v>
      </c>
      <c r="RG54" s="79">
        <v>1352125.64</v>
      </c>
      <c r="RH54" s="79">
        <v>2671110.89</v>
      </c>
      <c r="RI54" s="79">
        <v>2671110.89</v>
      </c>
      <c r="RJ54" s="79">
        <v>2671110.89</v>
      </c>
      <c r="RK54" s="79">
        <v>2617143.6</v>
      </c>
      <c r="RL54" s="79">
        <v>2674978.13</v>
      </c>
      <c r="RM54" s="79">
        <v>2674978.13</v>
      </c>
      <c r="RN54" s="79">
        <v>2674978.13</v>
      </c>
      <c r="RO54" s="79">
        <v>2674978.13</v>
      </c>
      <c r="RP54" s="79">
        <v>2674978.13</v>
      </c>
      <c r="RQ54" s="79">
        <v>2674978.13</v>
      </c>
      <c r="RR54" s="79">
        <v>2663130.69</v>
      </c>
      <c r="RS54" s="79">
        <v>2592092.02</v>
      </c>
      <c r="RT54" s="79">
        <v>2574933.69</v>
      </c>
      <c r="RU54" s="79">
        <v>2574933.69</v>
      </c>
      <c r="RV54" s="79">
        <v>2888871.26</v>
      </c>
      <c r="RW54" s="79">
        <v>2888871.26</v>
      </c>
      <c r="RX54" s="79">
        <v>2888871.26</v>
      </c>
      <c r="RY54" s="79">
        <v>2888871.26</v>
      </c>
      <c r="RZ54" s="79">
        <v>2888871.26</v>
      </c>
      <c r="SA54" s="79">
        <v>2971775.28</v>
      </c>
      <c r="SB54" s="79">
        <v>2971775.28</v>
      </c>
      <c r="SC54" s="79">
        <v>2971775.28</v>
      </c>
      <c r="SD54" s="79">
        <v>2971775.28</v>
      </c>
      <c r="SE54" s="79">
        <v>2970775.28</v>
      </c>
      <c r="SF54" s="79">
        <v>2970775.28</v>
      </c>
      <c r="SG54" s="79">
        <v>2970775.28</v>
      </c>
      <c r="SH54" s="79">
        <v>2953182.27</v>
      </c>
      <c r="SI54" s="79">
        <v>2908182.27</v>
      </c>
      <c r="SJ54" s="79">
        <v>2908182.27</v>
      </c>
      <c r="SK54" s="79">
        <v>2908182.27</v>
      </c>
      <c r="SL54" s="79">
        <v>3091133.8</v>
      </c>
      <c r="SM54" s="79">
        <v>3086603.95</v>
      </c>
      <c r="SN54" s="79">
        <v>3085603.95</v>
      </c>
      <c r="SO54" s="79">
        <v>3085603.95</v>
      </c>
      <c r="SP54" s="79">
        <v>3193551.37</v>
      </c>
      <c r="SQ54" s="79">
        <v>3193551.37</v>
      </c>
      <c r="SR54" s="79">
        <v>3185051.37</v>
      </c>
      <c r="SS54" s="79">
        <v>3185051.37</v>
      </c>
      <c r="ST54" s="79">
        <v>3185051.37</v>
      </c>
      <c r="SU54" s="79">
        <v>3166055.22</v>
      </c>
      <c r="SV54" s="79">
        <v>3158611.23</v>
      </c>
      <c r="SW54" s="79">
        <v>3156884.14</v>
      </c>
      <c r="SX54" s="79">
        <v>3156884.14</v>
      </c>
      <c r="SY54" s="79">
        <v>3158341.47</v>
      </c>
      <c r="SZ54" s="79">
        <v>2122082.44</v>
      </c>
      <c r="TA54" s="79">
        <v>2746576.74</v>
      </c>
      <c r="TB54" s="79">
        <v>2746576.74</v>
      </c>
      <c r="TC54" s="79">
        <v>2746576.74</v>
      </c>
      <c r="TD54" s="79">
        <v>2746576.74</v>
      </c>
      <c r="TE54" s="79">
        <v>2288582.63</v>
      </c>
      <c r="TF54" s="79">
        <v>2512984.1800000002</v>
      </c>
      <c r="TG54" s="79">
        <v>2512984.1800000002</v>
      </c>
      <c r="TH54" s="87">
        <v>2512984.1800000002</v>
      </c>
      <c r="TI54" s="87">
        <v>2512984.1800000002</v>
      </c>
      <c r="TJ54" s="87">
        <v>2512984.1800000002</v>
      </c>
      <c r="TK54" s="87">
        <v>2477097.1800000002</v>
      </c>
      <c r="TL54" s="87">
        <v>2477097.1800000002</v>
      </c>
      <c r="TM54" s="87">
        <v>2399408.64</v>
      </c>
      <c r="TN54" s="87">
        <v>2399408.64</v>
      </c>
      <c r="TO54" s="87">
        <v>2399408.64</v>
      </c>
      <c r="TP54" s="87">
        <v>1134673.19</v>
      </c>
      <c r="TQ54" s="87">
        <v>1931351.76</v>
      </c>
      <c r="TR54" s="87">
        <v>1931351.76</v>
      </c>
      <c r="TS54" s="87">
        <v>1931351.76</v>
      </c>
      <c r="TT54" s="87">
        <v>1771417.25</v>
      </c>
      <c r="TU54" s="87">
        <v>1771417.25</v>
      </c>
      <c r="TV54" s="87">
        <v>1771417.25</v>
      </c>
      <c r="TW54" s="87">
        <v>1771417.25</v>
      </c>
      <c r="TX54" s="87">
        <v>1771417.25</v>
      </c>
      <c r="TY54" s="87">
        <v>1771417.25</v>
      </c>
      <c r="TZ54" s="87">
        <v>1771417.25</v>
      </c>
      <c r="UA54" s="87">
        <v>1771417.25</v>
      </c>
      <c r="UB54" s="87">
        <v>1771417.25</v>
      </c>
      <c r="UC54" s="87">
        <v>1771417.25</v>
      </c>
      <c r="UD54" s="87">
        <v>1771417.25</v>
      </c>
      <c r="UE54" s="87">
        <v>1150922.95</v>
      </c>
      <c r="UF54" s="87">
        <v>2043946.62</v>
      </c>
      <c r="UG54" s="87">
        <v>2043946.62</v>
      </c>
      <c r="UH54" s="87">
        <v>2043946.62</v>
      </c>
      <c r="UI54" s="87">
        <v>2035211.2</v>
      </c>
      <c r="UJ54" s="87">
        <v>1809909.65</v>
      </c>
      <c r="UK54" s="87">
        <v>1809909.65</v>
      </c>
      <c r="UL54" s="87">
        <v>1809909.65</v>
      </c>
      <c r="UM54" s="87">
        <v>1809909.65</v>
      </c>
      <c r="UN54" s="87">
        <v>1801411.26</v>
      </c>
      <c r="UO54" s="87">
        <v>1801411.26</v>
      </c>
      <c r="UP54" s="87">
        <v>1901334.12</v>
      </c>
      <c r="UQ54" s="87">
        <v>1894141.74</v>
      </c>
      <c r="UR54" s="87">
        <v>1894141.74</v>
      </c>
      <c r="US54" s="87">
        <v>1894141.74</v>
      </c>
      <c r="UT54" s="87">
        <v>1894141.74</v>
      </c>
      <c r="UU54" s="87">
        <v>1099762.94</v>
      </c>
      <c r="UV54" s="87">
        <v>1835378.51</v>
      </c>
      <c r="UW54" s="87">
        <v>1835378.51</v>
      </c>
      <c r="UX54" s="87">
        <v>1835378.51</v>
      </c>
      <c r="UY54" s="87">
        <v>1835378.51</v>
      </c>
      <c r="UZ54" s="87">
        <v>1834841.27</v>
      </c>
      <c r="VA54" s="87">
        <v>1834841.27</v>
      </c>
      <c r="VB54" s="87">
        <v>1834841.27</v>
      </c>
      <c r="VC54" s="87">
        <v>1834841.27</v>
      </c>
      <c r="VD54" s="87">
        <v>1833641.27</v>
      </c>
      <c r="VE54" s="87">
        <v>1843618.24</v>
      </c>
      <c r="VF54" s="87">
        <v>1843618.24</v>
      </c>
      <c r="VG54" s="87">
        <v>1843618.24</v>
      </c>
      <c r="VH54" s="87">
        <v>1843618.24</v>
      </c>
      <c r="VI54" s="87">
        <v>2196259.86</v>
      </c>
      <c r="VJ54" s="87">
        <v>2196259.86</v>
      </c>
      <c r="VK54" s="87">
        <v>1357892.71</v>
      </c>
      <c r="VL54" s="87">
        <v>1357892.71</v>
      </c>
      <c r="VM54" s="87">
        <v>1357892.71</v>
      </c>
      <c r="VN54" s="87">
        <v>1357892.71</v>
      </c>
      <c r="VO54" s="87">
        <v>1357892.71</v>
      </c>
      <c r="VP54" s="87">
        <v>1357892.71</v>
      </c>
      <c r="VQ54" s="87">
        <v>1357892.71</v>
      </c>
      <c r="VR54" s="87">
        <v>1357892.71</v>
      </c>
      <c r="VS54" s="87">
        <v>1277913.1599999999</v>
      </c>
      <c r="VT54" s="87">
        <v>1165538.18</v>
      </c>
      <c r="VU54" s="87">
        <v>1178740.8999999999</v>
      </c>
      <c r="VV54" s="87">
        <v>1171548.52</v>
      </c>
      <c r="VW54" s="87">
        <v>1170847.52</v>
      </c>
      <c r="VX54" s="87">
        <v>1352342.25</v>
      </c>
      <c r="VY54" s="87">
        <v>1352342.25</v>
      </c>
      <c r="VZ54" s="87">
        <v>633545.85</v>
      </c>
      <c r="WA54" s="87">
        <v>633545.85</v>
      </c>
      <c r="WB54" s="87">
        <v>633545.85</v>
      </c>
      <c r="WC54" s="87">
        <v>633545.85</v>
      </c>
      <c r="WD54" s="87">
        <v>633545.85</v>
      </c>
      <c r="WE54" s="87">
        <v>633545.85</v>
      </c>
      <c r="WF54" s="87">
        <v>633545.85</v>
      </c>
      <c r="WG54" s="87">
        <v>633545.85</v>
      </c>
      <c r="WH54" s="87">
        <v>633545.85</v>
      </c>
      <c r="WI54" s="87">
        <v>622538.94999999995</v>
      </c>
      <c r="WJ54" s="87">
        <v>622538.94999999995</v>
      </c>
      <c r="WK54" s="87">
        <v>622538.94999999995</v>
      </c>
      <c r="WL54" s="87">
        <v>257839.41</v>
      </c>
      <c r="WM54" s="87">
        <v>798151.02</v>
      </c>
      <c r="WN54" s="87">
        <v>789572.69</v>
      </c>
      <c r="WO54" s="87">
        <v>805843.44</v>
      </c>
      <c r="WP54" s="87">
        <v>805843.44</v>
      </c>
      <c r="WQ54" s="87">
        <v>805843.44</v>
      </c>
      <c r="WR54" s="87">
        <v>805843.44</v>
      </c>
      <c r="WS54" s="87">
        <v>805843.44</v>
      </c>
      <c r="WT54" s="87">
        <v>805843.44</v>
      </c>
      <c r="WU54" s="87">
        <v>805843.44</v>
      </c>
      <c r="WV54" s="87">
        <v>805843.44</v>
      </c>
      <c r="WW54" s="87">
        <v>800024.45</v>
      </c>
      <c r="WX54" s="87">
        <v>792832.09</v>
      </c>
      <c r="WY54" s="87">
        <v>777548.7</v>
      </c>
      <c r="WZ54" s="87">
        <v>777548.7</v>
      </c>
      <c r="XA54" s="87">
        <v>777548.7</v>
      </c>
      <c r="XB54" s="87">
        <v>589572.69999999995</v>
      </c>
      <c r="XC54" s="87">
        <v>1738932.48</v>
      </c>
      <c r="XD54" s="87">
        <v>1735932.48</v>
      </c>
      <c r="XE54" s="87">
        <v>1768234.25</v>
      </c>
      <c r="XF54" s="87">
        <v>1768234.25</v>
      </c>
      <c r="XG54" s="87">
        <v>1768234.25</v>
      </c>
      <c r="XH54" s="87">
        <v>1768234.25</v>
      </c>
      <c r="XI54" s="87">
        <v>1768234.25</v>
      </c>
      <c r="XJ54" s="87">
        <v>1768234.25</v>
      </c>
      <c r="XK54" s="87">
        <v>1768234.25</v>
      </c>
      <c r="XL54" s="87">
        <v>1768234.25</v>
      </c>
      <c r="XM54" s="87">
        <v>1768234.25</v>
      </c>
      <c r="XN54" s="87">
        <v>1768234.25</v>
      </c>
      <c r="XO54" s="87">
        <v>1768234.25</v>
      </c>
      <c r="XP54" s="87">
        <v>1768234.25</v>
      </c>
      <c r="XQ54" s="87">
        <v>2075346.02</v>
      </c>
      <c r="XR54" s="87">
        <v>2075346.02</v>
      </c>
      <c r="XS54" s="87">
        <v>2102668.5499999998</v>
      </c>
      <c r="XT54" s="87">
        <v>2102668.5499999998</v>
      </c>
      <c r="XU54" s="87">
        <v>2102668.5499999998</v>
      </c>
      <c r="XV54" s="87">
        <v>2102668.5499999998</v>
      </c>
      <c r="XW54" s="87">
        <v>2102668.5499999998</v>
      </c>
      <c r="XX54" s="87">
        <v>2102668.5499999998</v>
      </c>
      <c r="XY54" s="87">
        <v>2102668.5499999998</v>
      </c>
      <c r="XZ54" s="87">
        <v>2102668.5499999998</v>
      </c>
      <c r="YA54" s="87">
        <v>2136188.3199999998</v>
      </c>
      <c r="YB54" s="87">
        <v>2169510.71</v>
      </c>
      <c r="YC54" s="189">
        <v>2169511</v>
      </c>
      <c r="YD54" s="189">
        <v>2169510.71</v>
      </c>
      <c r="YE54" s="189">
        <v>2169510.71</v>
      </c>
      <c r="YF54" s="189">
        <v>2169510.71</v>
      </c>
      <c r="YG54" s="189">
        <v>1977127.11</v>
      </c>
      <c r="YH54" s="189">
        <v>1977127.11</v>
      </c>
      <c r="YI54" s="189">
        <v>1977127.11</v>
      </c>
      <c r="YJ54" s="189">
        <v>2031674.42</v>
      </c>
      <c r="YK54" s="189">
        <v>2031674.42</v>
      </c>
      <c r="YL54" s="189">
        <v>2031674.42</v>
      </c>
      <c r="YM54" s="189">
        <v>2031674.42</v>
      </c>
    </row>
    <row r="55" spans="1:663" ht="15.75" customHeight="1" x14ac:dyDescent="0.2">
      <c r="A55" s="86"/>
      <c r="B55" s="188" t="s">
        <v>119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79"/>
      <c r="CY55" s="79"/>
      <c r="CZ55" s="79"/>
      <c r="DA55" s="79"/>
      <c r="DB55" s="79"/>
      <c r="DC55" s="79"/>
      <c r="DD55" s="79"/>
      <c r="DE55" s="79"/>
      <c r="DF55" s="79"/>
      <c r="DG55" s="79"/>
      <c r="DH55" s="79"/>
      <c r="DI55" s="79"/>
      <c r="DJ55" s="79"/>
      <c r="DK55" s="79"/>
      <c r="DL55" s="79"/>
      <c r="DM55" s="79"/>
      <c r="DN55" s="79"/>
      <c r="DO55" s="79"/>
      <c r="DP55" s="79"/>
      <c r="DQ55" s="79"/>
      <c r="DR55" s="79"/>
      <c r="DS55" s="79"/>
      <c r="DT55" s="79"/>
      <c r="DU55" s="79"/>
      <c r="DV55" s="79"/>
      <c r="DW55" s="79"/>
      <c r="DX55" s="79"/>
      <c r="DY55" s="79"/>
      <c r="DZ55" s="79"/>
      <c r="EA55" s="79"/>
      <c r="EB55" s="79"/>
      <c r="EC55" s="79"/>
      <c r="ED55" s="79"/>
      <c r="EE55" s="79"/>
      <c r="EF55" s="79"/>
      <c r="EG55" s="79"/>
      <c r="EH55" s="79"/>
      <c r="EI55" s="79"/>
      <c r="EJ55" s="79"/>
      <c r="EK55" s="79"/>
      <c r="EL55" s="79"/>
      <c r="EM55" s="79"/>
      <c r="EN55" s="79"/>
      <c r="EO55" s="79"/>
      <c r="EP55" s="79"/>
      <c r="EQ55" s="79"/>
      <c r="ER55" s="79"/>
      <c r="ES55" s="79"/>
      <c r="ET55" s="79"/>
      <c r="EU55" s="79"/>
      <c r="EV55" s="79"/>
      <c r="EW55" s="79"/>
      <c r="EX55" s="79"/>
      <c r="EY55" s="79"/>
      <c r="EZ55" s="79"/>
      <c r="FA55" s="79"/>
      <c r="FB55" s="79"/>
      <c r="FC55" s="79"/>
      <c r="FD55" s="79"/>
      <c r="FE55" s="79"/>
      <c r="FF55" s="79"/>
      <c r="FG55" s="79"/>
      <c r="FH55" s="79"/>
      <c r="FI55" s="79"/>
      <c r="FJ55" s="79"/>
      <c r="FK55" s="79"/>
      <c r="FL55" s="79"/>
      <c r="FM55" s="79"/>
      <c r="FN55" s="79"/>
      <c r="FO55" s="79"/>
      <c r="FP55" s="79"/>
      <c r="FQ55" s="79"/>
      <c r="FR55" s="79"/>
      <c r="FS55" s="79"/>
      <c r="FT55" s="79"/>
      <c r="FU55" s="79"/>
      <c r="FV55" s="79"/>
      <c r="FW55" s="79"/>
      <c r="FX55" s="79"/>
      <c r="FY55" s="79"/>
      <c r="FZ55" s="79"/>
      <c r="GA55" s="79"/>
      <c r="GB55" s="79"/>
      <c r="GC55" s="79"/>
      <c r="GD55" s="79"/>
      <c r="GE55" s="79"/>
      <c r="GF55" s="79"/>
      <c r="GG55" s="79"/>
      <c r="GH55" s="79"/>
      <c r="GI55" s="79"/>
      <c r="GJ55" s="79"/>
      <c r="GK55" s="79"/>
      <c r="GL55" s="79"/>
      <c r="GM55" s="79"/>
      <c r="GN55" s="79"/>
      <c r="GO55" s="79"/>
      <c r="GP55" s="79"/>
      <c r="GQ55" s="79"/>
      <c r="GR55" s="79"/>
      <c r="GS55" s="79"/>
      <c r="GT55" s="79"/>
      <c r="GU55" s="79"/>
      <c r="GV55" s="79"/>
      <c r="GW55" s="79"/>
      <c r="GX55" s="79"/>
      <c r="GY55" s="79"/>
      <c r="GZ55" s="79"/>
      <c r="HA55" s="79"/>
      <c r="HB55" s="79"/>
      <c r="HC55" s="79"/>
      <c r="HD55" s="79"/>
      <c r="HE55" s="79"/>
      <c r="HF55" s="79"/>
      <c r="HG55" s="79"/>
      <c r="HH55" s="79"/>
      <c r="HI55" s="79"/>
      <c r="HJ55" s="79"/>
      <c r="HK55" s="79"/>
      <c r="HL55" s="79"/>
      <c r="HM55" s="79"/>
      <c r="HN55" s="79"/>
      <c r="HO55" s="79"/>
      <c r="HP55" s="79"/>
      <c r="HQ55" s="79"/>
      <c r="HR55" s="79"/>
      <c r="HS55" s="79"/>
      <c r="HT55" s="79"/>
      <c r="HU55" s="79"/>
      <c r="HV55" s="79"/>
      <c r="HW55" s="79"/>
      <c r="HX55" s="79"/>
      <c r="HY55" s="79"/>
      <c r="HZ55" s="79"/>
      <c r="IA55" s="79"/>
      <c r="IB55" s="79"/>
      <c r="IC55" s="79"/>
      <c r="ID55" s="79"/>
      <c r="IE55" s="79"/>
      <c r="IF55" s="79"/>
      <c r="IG55" s="79"/>
      <c r="IH55" s="79"/>
      <c r="II55" s="79"/>
      <c r="IJ55" s="79"/>
      <c r="IK55" s="79"/>
      <c r="IL55" s="79"/>
      <c r="IM55" s="79"/>
      <c r="IN55" s="79"/>
      <c r="IO55" s="79"/>
      <c r="IP55" s="79"/>
      <c r="IQ55" s="79"/>
      <c r="IR55" s="79"/>
      <c r="IS55" s="79"/>
      <c r="IT55" s="79"/>
      <c r="IU55" s="79"/>
      <c r="IV55" s="79"/>
      <c r="IW55" s="79"/>
      <c r="IX55" s="79"/>
      <c r="IY55" s="79"/>
      <c r="IZ55" s="79"/>
      <c r="JA55" s="79"/>
      <c r="JB55" s="79"/>
      <c r="JC55" s="79"/>
      <c r="JD55" s="79"/>
      <c r="JE55" s="79"/>
      <c r="JF55" s="79"/>
      <c r="JG55" s="79"/>
      <c r="JH55" s="79"/>
      <c r="JI55" s="79"/>
      <c r="JJ55" s="79"/>
      <c r="JK55" s="79"/>
      <c r="JL55" s="79"/>
      <c r="JM55" s="79"/>
      <c r="JN55" s="79"/>
      <c r="JO55" s="79">
        <v>435026.54</v>
      </c>
      <c r="JP55" s="79">
        <v>435026.54</v>
      </c>
      <c r="JQ55" s="79">
        <v>435026.54</v>
      </c>
      <c r="JR55" s="79">
        <v>435026.54</v>
      </c>
      <c r="JS55" s="79">
        <v>435026.54</v>
      </c>
      <c r="JT55" s="79">
        <v>435026.54</v>
      </c>
      <c r="JU55" s="79">
        <v>435026.54</v>
      </c>
      <c r="JV55" s="79">
        <v>435026.54</v>
      </c>
      <c r="JW55" s="79">
        <v>430865.5</v>
      </c>
      <c r="JX55" s="79">
        <v>430865.5</v>
      </c>
      <c r="JY55" s="79">
        <v>430865.5</v>
      </c>
      <c r="JZ55" s="79">
        <v>430865.5</v>
      </c>
      <c r="KA55" s="79">
        <v>430865.5</v>
      </c>
      <c r="KB55" s="79">
        <v>430865.5</v>
      </c>
      <c r="KC55" s="79">
        <v>430865.5</v>
      </c>
      <c r="KD55" s="79">
        <v>430865.5</v>
      </c>
      <c r="KE55" s="79">
        <v>455629.26</v>
      </c>
      <c r="KF55" s="79">
        <v>470629.26</v>
      </c>
      <c r="KG55" s="79">
        <v>470629.26</v>
      </c>
      <c r="KH55" s="79">
        <v>471629.26</v>
      </c>
      <c r="KI55" s="79">
        <v>546606.68999999994</v>
      </c>
      <c r="KJ55" s="79"/>
      <c r="KK55" s="79">
        <v>546606.68999999994</v>
      </c>
      <c r="KL55" s="79">
        <v>546606.68999999994</v>
      </c>
      <c r="KM55" s="79">
        <v>546606.68999999994</v>
      </c>
      <c r="KN55" s="79">
        <v>546606.68999999994</v>
      </c>
      <c r="KO55" s="79">
        <v>546606.68999999994</v>
      </c>
      <c r="KP55" s="79">
        <v>546606.68999999994</v>
      </c>
      <c r="KQ55" s="79">
        <v>546606.68999999994</v>
      </c>
      <c r="KR55" s="79">
        <v>546606.68999999994</v>
      </c>
      <c r="KS55" s="79">
        <v>652109.6</v>
      </c>
      <c r="KT55" s="79">
        <v>652109.6</v>
      </c>
      <c r="KU55" s="79">
        <v>652109.6</v>
      </c>
      <c r="KV55" s="79">
        <v>652109.6</v>
      </c>
      <c r="KW55" s="79">
        <v>640657.6</v>
      </c>
      <c r="KX55" s="79">
        <v>665656.87</v>
      </c>
      <c r="KY55" s="79">
        <v>665656.87</v>
      </c>
      <c r="KZ55" s="79">
        <v>654127.61</v>
      </c>
      <c r="LA55" s="79">
        <v>654127.61</v>
      </c>
      <c r="LB55" s="79">
        <v>653127.61</v>
      </c>
      <c r="LC55" s="79">
        <v>653127.61</v>
      </c>
      <c r="LD55" s="79">
        <v>653127.61</v>
      </c>
      <c r="LE55" s="79">
        <v>653127.61</v>
      </c>
      <c r="LF55" s="79">
        <v>642574.98</v>
      </c>
      <c r="LG55" s="79">
        <v>642574.98</v>
      </c>
      <c r="LH55" s="79">
        <v>642574.98</v>
      </c>
      <c r="LI55" s="79">
        <v>706958.09</v>
      </c>
      <c r="LJ55" s="79">
        <v>706958.09</v>
      </c>
      <c r="LK55" s="79">
        <v>706958.09</v>
      </c>
      <c r="LL55" s="79">
        <v>706958.09</v>
      </c>
      <c r="LM55" s="79">
        <v>812790.3</v>
      </c>
      <c r="LN55" s="79">
        <v>812790.3</v>
      </c>
      <c r="LO55" s="79">
        <v>812790.3</v>
      </c>
      <c r="LP55" s="79">
        <v>812790.3</v>
      </c>
      <c r="LQ55" s="79">
        <v>812790.3</v>
      </c>
      <c r="LR55" s="79">
        <v>812790.3</v>
      </c>
      <c r="LS55" s="79">
        <v>812790.3</v>
      </c>
      <c r="LT55" s="79">
        <v>812790.3</v>
      </c>
      <c r="LU55" s="79">
        <v>792459.3</v>
      </c>
      <c r="LV55" s="79">
        <v>792459.3</v>
      </c>
      <c r="LW55" s="79">
        <v>792459.3</v>
      </c>
      <c r="LX55" s="79">
        <v>973071</v>
      </c>
      <c r="LY55" s="79">
        <v>962629.48</v>
      </c>
      <c r="LZ55" s="79">
        <v>962629.48</v>
      </c>
      <c r="MA55" s="79">
        <v>967629.48</v>
      </c>
      <c r="MB55" s="79">
        <v>967629.48</v>
      </c>
      <c r="MC55" s="79">
        <v>1033509.06</v>
      </c>
      <c r="MD55" s="79">
        <v>1033509.06</v>
      </c>
      <c r="ME55" s="79">
        <v>1033509.06</v>
      </c>
      <c r="MF55" s="79">
        <v>1036509.06</v>
      </c>
      <c r="MG55" s="79">
        <v>1036509.06</v>
      </c>
      <c r="MH55" s="79">
        <v>1036509.06</v>
      </c>
      <c r="MI55" s="79">
        <v>1036509.06</v>
      </c>
      <c r="MJ55" s="79">
        <v>1036509.06</v>
      </c>
      <c r="MK55" s="79">
        <v>1036509.06</v>
      </c>
      <c r="ML55" s="79">
        <v>1034731.28</v>
      </c>
      <c r="MM55" s="79">
        <v>1034731.28</v>
      </c>
      <c r="MN55" s="79">
        <v>1034731.28</v>
      </c>
      <c r="MO55" s="79">
        <v>1197904.53</v>
      </c>
      <c r="MP55" s="79">
        <v>1197904.53</v>
      </c>
      <c r="MQ55" s="79">
        <v>1201004.53</v>
      </c>
      <c r="MR55" s="79">
        <v>1201004.53</v>
      </c>
      <c r="MS55" s="79">
        <v>1201004.53</v>
      </c>
      <c r="MT55" s="79">
        <v>1201004.53</v>
      </c>
      <c r="MU55" s="79">
        <v>1207004.53</v>
      </c>
      <c r="MV55" s="79">
        <v>1207004.53</v>
      </c>
      <c r="MW55" s="79">
        <v>1207004.53</v>
      </c>
      <c r="MX55" s="79">
        <v>1207004.53</v>
      </c>
      <c r="MY55" s="79">
        <v>1207004.53</v>
      </c>
      <c r="MZ55" s="79">
        <v>1207004.53</v>
      </c>
      <c r="NA55" s="79">
        <v>1207004.53</v>
      </c>
      <c r="NB55" s="79">
        <v>1354039.07</v>
      </c>
      <c r="NC55" s="79">
        <v>1354039.07</v>
      </c>
      <c r="ND55" s="79">
        <v>1354039.07</v>
      </c>
      <c r="NE55" s="79">
        <v>1354039.07</v>
      </c>
      <c r="NF55" s="79">
        <v>1366039.07</v>
      </c>
      <c r="NG55" s="79">
        <v>1491357.56</v>
      </c>
      <c r="NH55" s="79">
        <v>1491357.56</v>
      </c>
      <c r="NI55" s="79">
        <v>1491357.56</v>
      </c>
      <c r="NJ55" s="79">
        <v>1491357.56</v>
      </c>
      <c r="NK55" s="79">
        <v>1499357.56</v>
      </c>
      <c r="NL55" s="79">
        <v>1499357.56</v>
      </c>
      <c r="NM55" s="79">
        <v>1499357.56</v>
      </c>
      <c r="NN55" s="79">
        <v>1499357.56</v>
      </c>
      <c r="NO55" s="79">
        <v>1499357.56</v>
      </c>
      <c r="NP55" s="79">
        <v>1499357.56</v>
      </c>
      <c r="NQ55" s="79">
        <v>1499357.56</v>
      </c>
      <c r="NR55" s="79">
        <v>1893269.45</v>
      </c>
      <c r="NS55" s="79">
        <v>1893269.45</v>
      </c>
      <c r="NT55" s="79">
        <v>1893269.45</v>
      </c>
      <c r="NU55" s="79">
        <v>1893269.45</v>
      </c>
      <c r="NV55" s="79">
        <v>1994816.53</v>
      </c>
      <c r="NW55" s="79">
        <v>1994816.53</v>
      </c>
      <c r="NX55" s="79">
        <v>1994816.53</v>
      </c>
      <c r="NY55" s="79">
        <v>1994816.53</v>
      </c>
      <c r="NZ55" s="79">
        <v>1990655.49</v>
      </c>
      <c r="OA55" s="79">
        <v>1990655.49</v>
      </c>
      <c r="OB55" s="79">
        <v>1990655.49</v>
      </c>
      <c r="OC55" s="79">
        <v>1990655.49</v>
      </c>
      <c r="OD55" s="79">
        <v>1980213.97</v>
      </c>
      <c r="OE55" s="79">
        <v>1980213.97</v>
      </c>
      <c r="OF55" s="79">
        <v>1980213.97</v>
      </c>
      <c r="OG55" s="79">
        <v>2050539.11</v>
      </c>
      <c r="OH55" s="79">
        <v>2050539.11</v>
      </c>
      <c r="OI55" s="79">
        <v>2050539.11</v>
      </c>
      <c r="OJ55" s="79">
        <v>2050539.11</v>
      </c>
      <c r="OK55" s="79">
        <v>2072707.6</v>
      </c>
      <c r="OL55" s="79">
        <v>2119217.5099999998</v>
      </c>
      <c r="OM55" s="79">
        <v>2119217.5099999998</v>
      </c>
      <c r="ON55" s="79">
        <v>2119217.5099999998</v>
      </c>
      <c r="OO55" s="79">
        <v>2119217.5099999998</v>
      </c>
      <c r="OP55" s="79">
        <v>2119217.5099999998</v>
      </c>
      <c r="OQ55" s="79">
        <v>2119217.5099999998</v>
      </c>
      <c r="OR55" s="79">
        <v>2119217.5099999998</v>
      </c>
      <c r="OS55" s="79">
        <v>2119217.5099999998</v>
      </c>
      <c r="OT55" s="79">
        <v>2117439.5099999998</v>
      </c>
      <c r="OU55" s="79">
        <v>2117439.5099999998</v>
      </c>
      <c r="OV55" s="79">
        <v>2113278.4700000002</v>
      </c>
      <c r="OW55" s="79">
        <v>2374903.56</v>
      </c>
      <c r="OX55" s="79">
        <v>2374893.56</v>
      </c>
      <c r="OY55" s="79">
        <v>2374893.56</v>
      </c>
      <c r="OZ55" s="79">
        <v>2374893.56</v>
      </c>
      <c r="PA55" s="79">
        <v>2553344.1800000002</v>
      </c>
      <c r="PB55" s="79">
        <v>2553344.1800000002</v>
      </c>
      <c r="PC55" s="79">
        <v>2553344.1800000002</v>
      </c>
      <c r="PD55" s="79">
        <v>2553344.1800000002</v>
      </c>
      <c r="PE55" s="79">
        <v>2553344.1800000002</v>
      </c>
      <c r="PF55" s="79">
        <v>2553344.1800000002</v>
      </c>
      <c r="PG55" s="79">
        <v>2541531.67</v>
      </c>
      <c r="PH55" s="79">
        <v>2541531.67</v>
      </c>
      <c r="PI55" s="79">
        <v>2531090.15</v>
      </c>
      <c r="PJ55" s="79">
        <v>2529235.15</v>
      </c>
      <c r="PK55" s="79">
        <v>2529235.15</v>
      </c>
      <c r="PL55" s="79">
        <v>2916147.42</v>
      </c>
      <c r="PM55" s="79">
        <v>2918147.42</v>
      </c>
      <c r="PN55" s="79">
        <v>2918147.42</v>
      </c>
      <c r="PO55" s="79">
        <v>2913986.38</v>
      </c>
      <c r="PP55" s="79">
        <v>2913986.38</v>
      </c>
      <c r="PQ55" s="79">
        <v>2982838.24</v>
      </c>
      <c r="PR55" s="79">
        <v>2982838.24</v>
      </c>
      <c r="PS55" s="79">
        <v>2982838.24</v>
      </c>
      <c r="PT55" s="79">
        <v>2982838.24</v>
      </c>
      <c r="PU55" s="79">
        <v>2978638.24</v>
      </c>
      <c r="PV55" s="79">
        <v>2976860.24</v>
      </c>
      <c r="PW55" s="79">
        <v>2976860.24</v>
      </c>
      <c r="PX55" s="79">
        <v>2976860.24</v>
      </c>
      <c r="PY55" s="79">
        <v>2976860.24</v>
      </c>
      <c r="PZ55" s="79">
        <v>2975541.7</v>
      </c>
      <c r="QA55" s="79">
        <v>2975541.7</v>
      </c>
      <c r="QB55" s="79">
        <v>2975541.7</v>
      </c>
      <c r="QC55" s="79">
        <v>3640009.74</v>
      </c>
      <c r="QD55" s="79">
        <v>3639989.74</v>
      </c>
      <c r="QE55" s="79">
        <v>3639989.74</v>
      </c>
      <c r="QF55" s="79">
        <v>3639989.74</v>
      </c>
      <c r="QG55" s="79">
        <v>3688881.59</v>
      </c>
      <c r="QH55" s="79">
        <v>3688881.59</v>
      </c>
      <c r="QI55" s="79">
        <v>3688881.59</v>
      </c>
      <c r="QJ55" s="190">
        <v>3688881.59</v>
      </c>
      <c r="QK55" s="190">
        <v>3688881.59</v>
      </c>
      <c r="QL55" s="190">
        <v>3688861.59</v>
      </c>
      <c r="QM55" s="190">
        <v>3688861.59</v>
      </c>
      <c r="QN55" s="190">
        <v>3677531.33</v>
      </c>
      <c r="QO55" s="190">
        <v>3675280.85</v>
      </c>
      <c r="QP55" s="190">
        <v>3675280.85</v>
      </c>
      <c r="QQ55" s="190">
        <v>3837569.61</v>
      </c>
      <c r="QR55" s="190">
        <v>3876569.61</v>
      </c>
      <c r="QS55" s="190">
        <v>3875127.76</v>
      </c>
      <c r="QT55" s="190">
        <v>3875127.76</v>
      </c>
      <c r="QU55" s="190">
        <v>3875107.76</v>
      </c>
      <c r="QV55" s="190">
        <v>4292789.87</v>
      </c>
      <c r="QW55" s="190">
        <v>4292789.87</v>
      </c>
      <c r="QX55" s="190">
        <v>4292789.87</v>
      </c>
      <c r="QY55" s="190">
        <v>4123345.17</v>
      </c>
      <c r="QZ55" s="190">
        <v>4123345.17</v>
      </c>
      <c r="RA55" s="190">
        <v>4123345.17</v>
      </c>
      <c r="RB55" s="190">
        <v>4123345.17</v>
      </c>
      <c r="RC55" s="190">
        <v>4121820.35</v>
      </c>
      <c r="RD55" s="190">
        <v>4110618.28</v>
      </c>
      <c r="RE55" s="190">
        <v>4110618.28</v>
      </c>
      <c r="RF55" s="190">
        <v>4110618.28</v>
      </c>
      <c r="RG55" s="190">
        <v>4812404.46</v>
      </c>
      <c r="RH55" s="190">
        <v>4962962.6100000003</v>
      </c>
      <c r="RI55" s="190">
        <v>4962962.6100000003</v>
      </c>
      <c r="RJ55" s="190">
        <v>4962962.6100000003</v>
      </c>
      <c r="RK55" s="190">
        <v>5016929.9000000004</v>
      </c>
      <c r="RL55" s="190">
        <v>5016929.9000000004</v>
      </c>
      <c r="RM55" s="190">
        <v>5016929.9000000004</v>
      </c>
      <c r="RN55" s="190">
        <v>5016929.9000000004</v>
      </c>
      <c r="RO55" s="190">
        <v>5016929.9000000004</v>
      </c>
      <c r="RP55" s="190">
        <v>5016929.9000000004</v>
      </c>
      <c r="RQ55" s="190">
        <v>5015151.9000000004</v>
      </c>
      <c r="RR55" s="190">
        <v>5015151.9000000004</v>
      </c>
      <c r="RS55" s="190">
        <v>5013821.6399999997</v>
      </c>
      <c r="RT55" s="190">
        <v>5013821.6399999997</v>
      </c>
      <c r="RU55" s="190">
        <v>5013821.6399999997</v>
      </c>
      <c r="RV55" s="190">
        <v>5943896.6500000004</v>
      </c>
      <c r="RW55" s="190">
        <v>5943896.6500000004</v>
      </c>
      <c r="RX55" s="190">
        <v>5912918.5999999996</v>
      </c>
      <c r="RY55" s="190">
        <v>5912918.5999999996</v>
      </c>
      <c r="RZ55" s="190">
        <v>5911476.75</v>
      </c>
      <c r="SA55" s="190">
        <v>6397359.0899999999</v>
      </c>
      <c r="SB55" s="190">
        <v>6397359.0899999999</v>
      </c>
      <c r="SC55" s="190">
        <v>6397359.0899999999</v>
      </c>
      <c r="SD55" s="190">
        <v>6397359.0899999999</v>
      </c>
      <c r="SE55" s="190">
        <v>6397359.0899999999</v>
      </c>
      <c r="SF55" s="190">
        <v>6397359.0899999999</v>
      </c>
      <c r="SG55" s="190">
        <v>6392614.4900000002</v>
      </c>
      <c r="SH55" s="190">
        <v>6376379.4199999999</v>
      </c>
      <c r="SI55" s="190">
        <v>6376379.4199999999</v>
      </c>
      <c r="SJ55" s="190">
        <v>6376379.4199999999</v>
      </c>
      <c r="SK55" s="190">
        <v>6376379.4199999999</v>
      </c>
      <c r="SL55" s="190">
        <v>7687358.6699999999</v>
      </c>
      <c r="SM55" s="190">
        <v>7687358.6699999999</v>
      </c>
      <c r="SN55" s="190">
        <v>7687358.6699999999</v>
      </c>
      <c r="SO55" s="190">
        <v>7687358.6699999999</v>
      </c>
      <c r="SP55" s="190">
        <v>7735345.7599999998</v>
      </c>
      <c r="SQ55" s="190">
        <v>7735345.7599999998</v>
      </c>
      <c r="SR55" s="190">
        <v>7735345.7599999998</v>
      </c>
      <c r="SS55" s="190">
        <v>7735345.7599999998</v>
      </c>
      <c r="ST55" s="190">
        <v>7735345.7599999998</v>
      </c>
      <c r="SU55" s="190">
        <v>7735345.7599999998</v>
      </c>
      <c r="SV55" s="190">
        <v>7735345.7599999998</v>
      </c>
      <c r="SW55" s="190">
        <v>7735345.7599999998</v>
      </c>
      <c r="SX55" s="190">
        <v>7734015.5</v>
      </c>
      <c r="SY55" s="190">
        <v>7711704.8200000003</v>
      </c>
      <c r="SZ55" s="190">
        <v>8745561.8499999996</v>
      </c>
      <c r="TA55" s="190">
        <v>8781561.8499999996</v>
      </c>
      <c r="TB55" s="190">
        <v>8781561.8499999996</v>
      </c>
      <c r="TC55" s="190">
        <v>8781561.8499999996</v>
      </c>
      <c r="TD55" s="190">
        <v>8781561.8499999996</v>
      </c>
      <c r="TE55" s="190">
        <v>9239555.9600000009</v>
      </c>
      <c r="TF55" s="190">
        <v>9239555.9600000009</v>
      </c>
      <c r="TG55" s="190">
        <v>9239555.9600000009</v>
      </c>
      <c r="TH55" s="191">
        <v>9238113.9600000009</v>
      </c>
      <c r="TI55" s="191">
        <v>9232113.9600000009</v>
      </c>
      <c r="TJ55" s="191">
        <v>9232113.9600000009</v>
      </c>
      <c r="TK55" s="191">
        <v>9232113.9600000009</v>
      </c>
      <c r="TL55" s="191">
        <v>9230336.1799999997</v>
      </c>
      <c r="TM55" s="191">
        <v>9217609.2899999991</v>
      </c>
      <c r="TN55" s="191">
        <v>9217609.2899999991</v>
      </c>
      <c r="TO55" s="191">
        <v>9217609.2899999991</v>
      </c>
      <c r="TP55" s="191">
        <v>10473844.74</v>
      </c>
      <c r="TQ55" s="191">
        <v>10484203.18</v>
      </c>
      <c r="TR55" s="191">
        <v>10484203.18</v>
      </c>
      <c r="TS55" s="191">
        <v>10484203.18</v>
      </c>
      <c r="TT55" s="191">
        <v>10644137.689999999</v>
      </c>
      <c r="TU55" s="191">
        <v>10644137.689999999</v>
      </c>
      <c r="TV55" s="191">
        <v>10644137.689999999</v>
      </c>
      <c r="TW55" s="191">
        <v>10638137.689999999</v>
      </c>
      <c r="TX55" s="191">
        <v>10638137.689999999</v>
      </c>
      <c r="TY55" s="191">
        <v>10638137.689999999</v>
      </c>
      <c r="TZ55" s="191">
        <v>10638137.689999999</v>
      </c>
      <c r="UA55" s="191">
        <v>10638137.689999999</v>
      </c>
      <c r="UB55" s="191">
        <v>10636807.43</v>
      </c>
      <c r="UC55" s="191">
        <v>10636807.43</v>
      </c>
      <c r="UD55" s="191">
        <v>10636807.43</v>
      </c>
      <c r="UE55" s="191">
        <v>11338971.470000001</v>
      </c>
      <c r="UF55" s="191">
        <v>11338971.470000001</v>
      </c>
      <c r="UG55" s="191">
        <v>11338971.470000001</v>
      </c>
      <c r="UH55" s="191">
        <v>11338971.470000001</v>
      </c>
      <c r="UI55" s="191">
        <v>11347706.890000001</v>
      </c>
      <c r="UJ55" s="191">
        <v>11573008.439999999</v>
      </c>
      <c r="UK55" s="191">
        <v>11573008.439999999</v>
      </c>
      <c r="UL55" s="191">
        <v>11572008.439999999</v>
      </c>
      <c r="UM55" s="191">
        <v>11572008.439999999</v>
      </c>
      <c r="UN55" s="191">
        <v>11572008.439999999</v>
      </c>
      <c r="UO55" s="191">
        <v>11572008.439999999</v>
      </c>
      <c r="UP55" s="191">
        <v>11564663.66</v>
      </c>
      <c r="UQ55" s="191">
        <v>11563138.84</v>
      </c>
      <c r="UR55" s="191">
        <v>11563138.84</v>
      </c>
      <c r="US55" s="191">
        <v>11563138.84</v>
      </c>
      <c r="UT55" s="191">
        <v>11563138.84</v>
      </c>
      <c r="UU55" s="191">
        <v>12549664.859999999</v>
      </c>
      <c r="UV55" s="191">
        <v>12549664.859999999</v>
      </c>
      <c r="UW55" s="191">
        <v>12549664.859999999</v>
      </c>
      <c r="UX55" s="191">
        <v>12549664.859999999</v>
      </c>
      <c r="UY55" s="191">
        <v>12549664.859999999</v>
      </c>
      <c r="UZ55" s="87">
        <v>12548664.859999999</v>
      </c>
      <c r="VA55" s="87">
        <v>12548664.859999999</v>
      </c>
      <c r="VB55" s="87">
        <v>12548664.859999999</v>
      </c>
      <c r="VC55" s="87">
        <v>12548664.859999999</v>
      </c>
      <c r="VD55" s="87">
        <v>12548664.859999999</v>
      </c>
      <c r="VE55" s="87">
        <v>12548664.859999999</v>
      </c>
      <c r="VF55" s="87">
        <v>12548664.859999999</v>
      </c>
      <c r="VG55" s="87">
        <v>12548664.859999999</v>
      </c>
      <c r="VH55" s="87">
        <v>12548664.859999999</v>
      </c>
      <c r="VI55" s="87">
        <v>12548664.859999999</v>
      </c>
      <c r="VJ55" s="87">
        <v>12548664.859999999</v>
      </c>
      <c r="VK55" s="87">
        <v>13512912.35</v>
      </c>
      <c r="VL55" s="87">
        <v>13512912.35</v>
      </c>
      <c r="VM55" s="87">
        <v>13511912.35</v>
      </c>
      <c r="VN55" s="87">
        <v>13511912.35</v>
      </c>
      <c r="VO55" s="87">
        <v>13511912.35</v>
      </c>
      <c r="VP55" s="87">
        <v>13511912.35</v>
      </c>
      <c r="VQ55" s="87">
        <v>13511912.35</v>
      </c>
      <c r="VR55" s="87">
        <v>13511912.35</v>
      </c>
      <c r="VS55" s="87">
        <v>13591891.9</v>
      </c>
      <c r="VT55" s="87">
        <v>13704266.880000001</v>
      </c>
      <c r="VU55" s="87">
        <v>13702489.779999999</v>
      </c>
      <c r="VV55" s="87">
        <v>13699359.98</v>
      </c>
      <c r="VW55" s="87">
        <v>13692268.16</v>
      </c>
      <c r="VX55" s="87">
        <v>13692268.16</v>
      </c>
      <c r="VY55" s="87">
        <v>13692268.16</v>
      </c>
      <c r="VZ55" s="87">
        <v>14657652.189999999</v>
      </c>
      <c r="WA55" s="87">
        <v>14657652.189999999</v>
      </c>
      <c r="WB55" s="87">
        <v>14645465.27</v>
      </c>
      <c r="WC55" s="87">
        <v>14645465.27</v>
      </c>
      <c r="WD55" s="87">
        <v>14645365.27</v>
      </c>
      <c r="WE55" s="87">
        <v>14645265.27</v>
      </c>
      <c r="WF55" s="87">
        <v>14645115.27</v>
      </c>
      <c r="WG55" s="87">
        <v>14644965.27</v>
      </c>
      <c r="WH55" s="87">
        <v>14644815.27</v>
      </c>
      <c r="WI55" s="87">
        <v>14655672.17</v>
      </c>
      <c r="WJ55" s="87">
        <v>14655522.17</v>
      </c>
      <c r="WK55" s="87">
        <v>14655372.17</v>
      </c>
      <c r="WL55" s="87">
        <v>15020071.710000001</v>
      </c>
      <c r="WM55" s="87">
        <v>15020071.710000001</v>
      </c>
      <c r="WN55" s="87">
        <v>15020071.710000001</v>
      </c>
      <c r="WO55" s="87">
        <v>15158638.529999999</v>
      </c>
      <c r="WP55" s="87">
        <v>15158638.529999999</v>
      </c>
      <c r="WQ55" s="87">
        <v>15158638.529999999</v>
      </c>
      <c r="WR55" s="87">
        <v>15158638.529999999</v>
      </c>
      <c r="WS55" s="87">
        <v>15158638.529999999</v>
      </c>
      <c r="WT55" s="87">
        <v>15158488.529999999</v>
      </c>
      <c r="WU55" s="87">
        <v>15158488.529999999</v>
      </c>
      <c r="WV55" s="87">
        <v>15157867.529999999</v>
      </c>
      <c r="WW55" s="87">
        <v>15156867.529999999</v>
      </c>
      <c r="WX55" s="87">
        <v>15156867.529999999</v>
      </c>
      <c r="WY55" s="87">
        <v>15172000.92</v>
      </c>
      <c r="WZ55" s="87">
        <v>15171850.92</v>
      </c>
      <c r="XA55" s="87">
        <v>15171700.92</v>
      </c>
      <c r="XB55" s="87">
        <v>15353959.92</v>
      </c>
      <c r="XC55" s="87">
        <v>15352435.1</v>
      </c>
      <c r="XD55" s="87">
        <v>15352285.1</v>
      </c>
      <c r="XE55" s="87">
        <v>15620892.029999999</v>
      </c>
      <c r="XF55" s="87">
        <v>15620892.029999999</v>
      </c>
      <c r="XG55" s="87">
        <v>15620592.029999999</v>
      </c>
      <c r="XH55" s="87">
        <v>15620592.029999999</v>
      </c>
      <c r="XI55" s="87">
        <v>15620442.029999999</v>
      </c>
      <c r="XJ55" s="87">
        <v>15620442.029999999</v>
      </c>
      <c r="XK55" s="87">
        <v>15620442.029999999</v>
      </c>
      <c r="XL55" s="87">
        <v>15618318.26</v>
      </c>
      <c r="XM55" s="87">
        <v>15618318.26</v>
      </c>
      <c r="XN55" s="87">
        <v>15618318.26</v>
      </c>
      <c r="XO55" s="87">
        <v>15617818.26</v>
      </c>
      <c r="XP55" s="87">
        <v>15617818.26</v>
      </c>
      <c r="XQ55" s="87">
        <v>16174268.32</v>
      </c>
      <c r="XR55" s="87">
        <v>16165101.449999999</v>
      </c>
      <c r="XS55" s="87">
        <v>16350838.869999999</v>
      </c>
      <c r="XT55" s="87">
        <v>16350838.869999999</v>
      </c>
      <c r="XU55" s="87">
        <v>16350838.869999999</v>
      </c>
      <c r="XV55" s="87">
        <v>16350838.869999999</v>
      </c>
      <c r="XW55" s="87">
        <v>16350838.869999999</v>
      </c>
      <c r="XX55" s="87">
        <v>16350838.869999999</v>
      </c>
      <c r="XY55" s="87">
        <v>16350838.869999999</v>
      </c>
      <c r="XZ55" s="87">
        <v>16350838.869999999</v>
      </c>
      <c r="YA55" s="87">
        <v>16350838.869999999</v>
      </c>
      <c r="YB55" s="87">
        <v>16350838.869999999</v>
      </c>
      <c r="YC55" s="189">
        <v>16350839</v>
      </c>
      <c r="YD55" s="189">
        <v>16350838.869999999</v>
      </c>
      <c r="YE55" s="189">
        <v>16345838.869999999</v>
      </c>
      <c r="YF55" s="189">
        <v>16331247.050000001</v>
      </c>
      <c r="YG55" s="189">
        <v>17509908.600000001</v>
      </c>
      <c r="YH55" s="189">
        <v>17509908.600000001</v>
      </c>
      <c r="YI55" s="189">
        <v>17509908.600000001</v>
      </c>
      <c r="YJ55" s="189">
        <v>17834452.09</v>
      </c>
      <c r="YK55" s="189">
        <v>17834452.09</v>
      </c>
      <c r="YL55" s="189">
        <v>17834452.09</v>
      </c>
      <c r="YM55" s="189">
        <v>17834452.09</v>
      </c>
    </row>
    <row r="56" spans="1:663" ht="15.75" customHeight="1" x14ac:dyDescent="0.2">
      <c r="A56" s="86"/>
      <c r="B56" s="188" t="s">
        <v>120</v>
      </c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79"/>
      <c r="CY56" s="79"/>
      <c r="CZ56" s="79"/>
      <c r="DA56" s="79"/>
      <c r="DB56" s="79"/>
      <c r="DC56" s="79"/>
      <c r="DD56" s="79"/>
      <c r="DE56" s="79"/>
      <c r="DF56" s="79"/>
      <c r="DG56" s="79"/>
      <c r="DH56" s="79"/>
      <c r="DI56" s="79"/>
      <c r="DJ56" s="79"/>
      <c r="DK56" s="79"/>
      <c r="DL56" s="79"/>
      <c r="DM56" s="79"/>
      <c r="DN56" s="79"/>
      <c r="DO56" s="79"/>
      <c r="DP56" s="79"/>
      <c r="DQ56" s="79"/>
      <c r="DR56" s="79"/>
      <c r="DS56" s="79"/>
      <c r="DT56" s="79"/>
      <c r="DU56" s="79"/>
      <c r="DV56" s="79"/>
      <c r="DW56" s="79"/>
      <c r="DX56" s="79"/>
      <c r="DY56" s="79"/>
      <c r="DZ56" s="79"/>
      <c r="EA56" s="79"/>
      <c r="EB56" s="79"/>
      <c r="EC56" s="79"/>
      <c r="ED56" s="79"/>
      <c r="EE56" s="79"/>
      <c r="EF56" s="79"/>
      <c r="EG56" s="79"/>
      <c r="EH56" s="79"/>
      <c r="EI56" s="79"/>
      <c r="EJ56" s="79"/>
      <c r="EK56" s="79"/>
      <c r="EL56" s="79"/>
      <c r="EM56" s="79"/>
      <c r="EN56" s="79"/>
      <c r="EO56" s="79"/>
      <c r="EP56" s="79"/>
      <c r="EQ56" s="79"/>
      <c r="ER56" s="79"/>
      <c r="ES56" s="79"/>
      <c r="ET56" s="79"/>
      <c r="EU56" s="79"/>
      <c r="EV56" s="79"/>
      <c r="EW56" s="79"/>
      <c r="EX56" s="79"/>
      <c r="EY56" s="79"/>
      <c r="EZ56" s="79"/>
      <c r="FA56" s="79"/>
      <c r="FB56" s="79"/>
      <c r="FC56" s="79"/>
      <c r="FD56" s="79"/>
      <c r="FE56" s="79"/>
      <c r="FF56" s="79"/>
      <c r="FG56" s="79"/>
      <c r="FH56" s="79"/>
      <c r="FI56" s="79"/>
      <c r="FJ56" s="79"/>
      <c r="FK56" s="79"/>
      <c r="FL56" s="79"/>
      <c r="FM56" s="79"/>
      <c r="FN56" s="79"/>
      <c r="FO56" s="79"/>
      <c r="FP56" s="79"/>
      <c r="FQ56" s="79"/>
      <c r="FR56" s="79"/>
      <c r="FS56" s="79"/>
      <c r="FT56" s="79"/>
      <c r="FU56" s="79"/>
      <c r="FV56" s="79"/>
      <c r="FW56" s="79"/>
      <c r="FX56" s="79"/>
      <c r="FY56" s="79"/>
      <c r="FZ56" s="79"/>
      <c r="GA56" s="79"/>
      <c r="GB56" s="79"/>
      <c r="GC56" s="79"/>
      <c r="GD56" s="79"/>
      <c r="GE56" s="79"/>
      <c r="GF56" s="79"/>
      <c r="GG56" s="79"/>
      <c r="GH56" s="79"/>
      <c r="GI56" s="79"/>
      <c r="GJ56" s="79"/>
      <c r="GK56" s="79"/>
      <c r="GL56" s="79"/>
      <c r="GM56" s="79"/>
      <c r="GN56" s="79"/>
      <c r="GO56" s="79"/>
      <c r="GP56" s="79"/>
      <c r="GQ56" s="79"/>
      <c r="GR56" s="79"/>
      <c r="GS56" s="79"/>
      <c r="GT56" s="79"/>
      <c r="GU56" s="79"/>
      <c r="GV56" s="79"/>
      <c r="GW56" s="79"/>
      <c r="GX56" s="79"/>
      <c r="GY56" s="79"/>
      <c r="GZ56" s="79"/>
      <c r="HA56" s="79"/>
      <c r="HB56" s="79"/>
      <c r="HC56" s="79"/>
      <c r="HD56" s="79"/>
      <c r="HE56" s="79"/>
      <c r="HF56" s="79"/>
      <c r="HG56" s="79"/>
      <c r="HH56" s="79"/>
      <c r="HI56" s="79"/>
      <c r="HJ56" s="79"/>
      <c r="HK56" s="79"/>
      <c r="HL56" s="79"/>
      <c r="HM56" s="79"/>
      <c r="HN56" s="79"/>
      <c r="HO56" s="79"/>
      <c r="HP56" s="79"/>
      <c r="HQ56" s="79"/>
      <c r="HR56" s="79"/>
      <c r="HS56" s="79"/>
      <c r="HT56" s="79"/>
      <c r="HU56" s="79"/>
      <c r="HV56" s="79"/>
      <c r="HW56" s="79"/>
      <c r="HX56" s="79"/>
      <c r="HY56" s="79"/>
      <c r="HZ56" s="79"/>
      <c r="IA56" s="79"/>
      <c r="IB56" s="79"/>
      <c r="IC56" s="79"/>
      <c r="ID56" s="79"/>
      <c r="IE56" s="79"/>
      <c r="IF56" s="79"/>
      <c r="IG56" s="79"/>
      <c r="IH56" s="79"/>
      <c r="II56" s="79"/>
      <c r="IJ56" s="79"/>
      <c r="IK56" s="79"/>
      <c r="IL56" s="79"/>
      <c r="IM56" s="79"/>
      <c r="IN56" s="79"/>
      <c r="IO56" s="79"/>
      <c r="IP56" s="79"/>
      <c r="IQ56" s="79"/>
      <c r="IR56" s="79"/>
      <c r="IS56" s="79"/>
      <c r="IT56" s="79"/>
      <c r="IU56" s="79"/>
      <c r="IV56" s="79"/>
      <c r="IW56" s="79"/>
      <c r="IX56" s="79"/>
      <c r="IY56" s="79"/>
      <c r="IZ56" s="79"/>
      <c r="JA56" s="79"/>
      <c r="JB56" s="79"/>
      <c r="JC56" s="79"/>
      <c r="JD56" s="79"/>
      <c r="JE56" s="79"/>
      <c r="JF56" s="79"/>
      <c r="JG56" s="79"/>
      <c r="JH56" s="79"/>
      <c r="JI56" s="79"/>
      <c r="JJ56" s="79"/>
      <c r="JK56" s="79"/>
      <c r="JL56" s="79"/>
      <c r="JM56" s="79"/>
      <c r="JN56" s="79"/>
      <c r="JO56" s="79">
        <v>0</v>
      </c>
      <c r="JP56" s="79">
        <v>0</v>
      </c>
      <c r="JQ56" s="79">
        <v>0</v>
      </c>
      <c r="JR56" s="79">
        <v>0</v>
      </c>
      <c r="JS56" s="79">
        <v>0</v>
      </c>
      <c r="JT56" s="79">
        <v>0</v>
      </c>
      <c r="JU56" s="79">
        <v>0</v>
      </c>
      <c r="JV56" s="79">
        <v>0</v>
      </c>
      <c r="JW56" s="79">
        <v>0</v>
      </c>
      <c r="JX56" s="79">
        <v>0</v>
      </c>
      <c r="JY56" s="79">
        <v>0</v>
      </c>
      <c r="JZ56" s="79">
        <v>0</v>
      </c>
      <c r="KA56" s="79">
        <v>0</v>
      </c>
      <c r="KB56" s="79">
        <v>0</v>
      </c>
      <c r="KC56" s="79">
        <v>0</v>
      </c>
      <c r="KD56" s="79">
        <v>0</v>
      </c>
      <c r="KE56" s="79">
        <v>0</v>
      </c>
      <c r="KF56" s="79">
        <v>0</v>
      </c>
      <c r="KG56" s="79">
        <v>0</v>
      </c>
      <c r="KH56" s="79">
        <v>0</v>
      </c>
      <c r="KI56" s="79">
        <v>0</v>
      </c>
      <c r="KJ56" s="79">
        <v>0</v>
      </c>
      <c r="KK56" s="79">
        <v>0</v>
      </c>
      <c r="KL56" s="79">
        <v>0</v>
      </c>
      <c r="KM56" s="79">
        <v>0</v>
      </c>
      <c r="KN56" s="79">
        <v>0</v>
      </c>
      <c r="KO56" s="79">
        <v>0</v>
      </c>
      <c r="KP56" s="79">
        <v>0</v>
      </c>
      <c r="KQ56" s="79">
        <v>0</v>
      </c>
      <c r="KR56" s="79">
        <v>0</v>
      </c>
      <c r="KS56" s="79">
        <v>0</v>
      </c>
      <c r="KT56" s="79">
        <v>0</v>
      </c>
      <c r="KU56" s="79">
        <v>0</v>
      </c>
      <c r="KV56" s="79">
        <v>0</v>
      </c>
      <c r="KW56" s="79">
        <v>0</v>
      </c>
      <c r="KX56" s="79">
        <v>0</v>
      </c>
      <c r="KY56" s="79">
        <v>0</v>
      </c>
      <c r="KZ56" s="79">
        <v>0</v>
      </c>
      <c r="LA56" s="79">
        <v>0</v>
      </c>
      <c r="LB56" s="79">
        <v>0</v>
      </c>
      <c r="LC56" s="79">
        <v>0</v>
      </c>
      <c r="LD56" s="79">
        <v>0</v>
      </c>
      <c r="LE56" s="79">
        <v>0</v>
      </c>
      <c r="LF56" s="79">
        <v>0</v>
      </c>
      <c r="LG56" s="79">
        <v>0</v>
      </c>
      <c r="LH56" s="79">
        <v>0</v>
      </c>
      <c r="LI56" s="79">
        <v>0</v>
      </c>
      <c r="LJ56" s="79">
        <v>0</v>
      </c>
      <c r="LK56" s="79">
        <v>0</v>
      </c>
      <c r="LL56" s="79">
        <v>0</v>
      </c>
      <c r="LM56" s="79">
        <v>0</v>
      </c>
      <c r="LN56" s="79">
        <v>0</v>
      </c>
      <c r="LO56" s="79">
        <v>0</v>
      </c>
      <c r="LP56" s="79">
        <v>0</v>
      </c>
      <c r="LQ56" s="79">
        <v>0</v>
      </c>
      <c r="LR56" s="79">
        <v>0</v>
      </c>
      <c r="LS56" s="79">
        <v>0</v>
      </c>
      <c r="LT56" s="79">
        <v>0</v>
      </c>
      <c r="LU56" s="79">
        <v>0</v>
      </c>
      <c r="LV56" s="79">
        <v>0</v>
      </c>
      <c r="LW56" s="79">
        <v>0</v>
      </c>
      <c r="LX56" s="79">
        <v>0</v>
      </c>
      <c r="LY56" s="79">
        <v>0</v>
      </c>
      <c r="LZ56" s="79">
        <v>0</v>
      </c>
      <c r="MA56" s="79">
        <v>0</v>
      </c>
      <c r="MB56" s="79">
        <v>0</v>
      </c>
      <c r="MC56" s="79">
        <v>0</v>
      </c>
      <c r="MD56" s="79">
        <v>0</v>
      </c>
      <c r="ME56" s="79">
        <v>0</v>
      </c>
      <c r="MF56" s="79">
        <v>0</v>
      </c>
      <c r="MG56" s="79">
        <v>0</v>
      </c>
      <c r="MH56" s="79">
        <v>0</v>
      </c>
      <c r="MI56" s="79">
        <v>0</v>
      </c>
      <c r="MJ56" s="79">
        <v>0</v>
      </c>
      <c r="MK56" s="79">
        <v>0</v>
      </c>
      <c r="ML56" s="79">
        <v>0</v>
      </c>
      <c r="MM56" s="79">
        <v>0</v>
      </c>
      <c r="MN56" s="79">
        <v>0</v>
      </c>
      <c r="MO56" s="79">
        <v>0</v>
      </c>
      <c r="MP56" s="79">
        <v>0</v>
      </c>
      <c r="MQ56" s="79">
        <v>0</v>
      </c>
      <c r="MR56" s="79">
        <v>0</v>
      </c>
      <c r="MS56" s="79">
        <v>0</v>
      </c>
      <c r="MT56" s="79">
        <v>0</v>
      </c>
      <c r="MU56" s="79">
        <v>0</v>
      </c>
      <c r="MV56" s="79">
        <v>0</v>
      </c>
      <c r="MW56" s="79">
        <v>0</v>
      </c>
      <c r="MX56" s="79">
        <v>0</v>
      </c>
      <c r="MY56" s="79">
        <v>0</v>
      </c>
      <c r="MZ56" s="79">
        <v>0</v>
      </c>
      <c r="NA56" s="79">
        <v>0</v>
      </c>
      <c r="NB56" s="79">
        <v>0</v>
      </c>
      <c r="NC56" s="79">
        <v>0</v>
      </c>
      <c r="ND56" s="79">
        <v>0</v>
      </c>
      <c r="NE56" s="79">
        <v>0</v>
      </c>
      <c r="NF56" s="79">
        <v>0</v>
      </c>
      <c r="NG56" s="79">
        <v>0</v>
      </c>
      <c r="NH56" s="79">
        <v>0</v>
      </c>
      <c r="NI56" s="79">
        <v>0</v>
      </c>
      <c r="NJ56" s="79">
        <v>0</v>
      </c>
      <c r="NK56" s="79">
        <v>0</v>
      </c>
      <c r="NL56" s="79">
        <v>0</v>
      </c>
      <c r="NM56" s="79">
        <v>0</v>
      </c>
      <c r="NN56" s="79">
        <v>0</v>
      </c>
      <c r="NO56" s="79">
        <v>0</v>
      </c>
      <c r="NP56" s="79">
        <v>0</v>
      </c>
      <c r="NQ56" s="79">
        <v>0</v>
      </c>
      <c r="NR56" s="79">
        <v>0</v>
      </c>
      <c r="NS56" s="79">
        <v>0</v>
      </c>
      <c r="NT56" s="79">
        <v>0</v>
      </c>
      <c r="NU56" s="79">
        <v>0</v>
      </c>
      <c r="NV56" s="79">
        <v>0</v>
      </c>
      <c r="NW56" s="79">
        <v>0</v>
      </c>
      <c r="NX56" s="79">
        <v>0</v>
      </c>
      <c r="NY56" s="79">
        <v>0</v>
      </c>
      <c r="NZ56" s="79">
        <v>0</v>
      </c>
      <c r="OA56" s="79">
        <v>0</v>
      </c>
      <c r="OB56" s="79">
        <v>0</v>
      </c>
      <c r="OC56" s="79">
        <v>0</v>
      </c>
      <c r="OD56" s="79">
        <v>0</v>
      </c>
      <c r="OE56" s="79">
        <v>0</v>
      </c>
      <c r="OF56" s="79">
        <v>0</v>
      </c>
      <c r="OG56" s="79">
        <v>0</v>
      </c>
      <c r="OH56" s="79">
        <v>0</v>
      </c>
      <c r="OI56" s="79">
        <v>0</v>
      </c>
      <c r="OJ56" s="79">
        <v>0</v>
      </c>
      <c r="OK56" s="79">
        <v>0</v>
      </c>
      <c r="OL56" s="79">
        <v>0</v>
      </c>
      <c r="OM56" s="79">
        <v>0</v>
      </c>
      <c r="ON56" s="79">
        <v>0</v>
      </c>
      <c r="OO56" s="79">
        <v>0</v>
      </c>
      <c r="OP56" s="79">
        <v>0</v>
      </c>
      <c r="OQ56" s="79">
        <v>0</v>
      </c>
      <c r="OR56" s="79">
        <v>0</v>
      </c>
      <c r="OS56" s="79">
        <v>0</v>
      </c>
      <c r="OT56" s="79">
        <v>0</v>
      </c>
      <c r="OU56" s="79">
        <v>0</v>
      </c>
      <c r="OV56" s="79">
        <v>0</v>
      </c>
      <c r="OW56" s="79">
        <v>0</v>
      </c>
      <c r="OX56" s="79">
        <v>0</v>
      </c>
      <c r="OY56" s="79">
        <v>0</v>
      </c>
      <c r="OZ56" s="79">
        <v>0</v>
      </c>
      <c r="PA56" s="79">
        <v>0</v>
      </c>
      <c r="PB56" s="79">
        <v>0</v>
      </c>
      <c r="PC56" s="79">
        <v>0</v>
      </c>
      <c r="PD56" s="79">
        <v>0</v>
      </c>
      <c r="PE56" s="79">
        <v>0</v>
      </c>
      <c r="PF56" s="79">
        <v>0</v>
      </c>
      <c r="PG56" s="79">
        <v>0</v>
      </c>
      <c r="PH56" s="79">
        <v>0</v>
      </c>
      <c r="PI56" s="79">
        <v>0</v>
      </c>
      <c r="PJ56" s="79">
        <v>0</v>
      </c>
      <c r="PK56" s="79">
        <v>0</v>
      </c>
      <c r="PL56" s="79">
        <v>0</v>
      </c>
      <c r="PM56" s="79">
        <v>0</v>
      </c>
      <c r="PN56" s="79">
        <v>0</v>
      </c>
      <c r="PO56" s="79">
        <v>0</v>
      </c>
      <c r="PP56" s="79">
        <v>0</v>
      </c>
      <c r="PQ56" s="79">
        <v>0</v>
      </c>
      <c r="PR56" s="79">
        <v>0</v>
      </c>
      <c r="PS56" s="79">
        <v>0</v>
      </c>
      <c r="PT56" s="79">
        <v>0</v>
      </c>
      <c r="PU56" s="79">
        <v>0</v>
      </c>
      <c r="PV56" s="79">
        <v>0</v>
      </c>
      <c r="PW56" s="79">
        <v>0</v>
      </c>
      <c r="PX56" s="79">
        <v>0</v>
      </c>
      <c r="PY56" s="79">
        <v>0</v>
      </c>
      <c r="PZ56" s="79">
        <v>0</v>
      </c>
      <c r="QA56" s="79">
        <v>0</v>
      </c>
      <c r="QB56" s="79">
        <v>0</v>
      </c>
      <c r="QC56" s="79">
        <v>0</v>
      </c>
      <c r="QD56" s="79">
        <v>0</v>
      </c>
      <c r="QE56" s="79">
        <v>0</v>
      </c>
      <c r="QF56" s="79">
        <v>0</v>
      </c>
      <c r="QG56" s="79">
        <v>0</v>
      </c>
      <c r="QH56" s="79">
        <v>0</v>
      </c>
      <c r="QI56" s="79">
        <v>0</v>
      </c>
      <c r="QJ56" s="79">
        <v>0</v>
      </c>
      <c r="QK56" s="79">
        <v>0</v>
      </c>
      <c r="QL56" s="79">
        <v>0</v>
      </c>
      <c r="QM56" s="79">
        <v>0</v>
      </c>
      <c r="QN56" s="79">
        <v>0</v>
      </c>
      <c r="QO56" s="79">
        <v>0</v>
      </c>
      <c r="QP56" s="79">
        <v>0</v>
      </c>
      <c r="QQ56" s="79">
        <v>0</v>
      </c>
      <c r="QR56" s="79">
        <v>0</v>
      </c>
      <c r="QS56" s="79">
        <v>0</v>
      </c>
      <c r="QT56" s="79">
        <v>0</v>
      </c>
      <c r="QU56" s="79">
        <v>0</v>
      </c>
      <c r="QV56" s="79">
        <v>0</v>
      </c>
      <c r="QW56" s="79">
        <v>0</v>
      </c>
      <c r="QX56" s="79">
        <v>0</v>
      </c>
      <c r="QY56" s="79">
        <v>0</v>
      </c>
      <c r="QZ56" s="79">
        <v>0</v>
      </c>
      <c r="RA56" s="79">
        <v>0</v>
      </c>
      <c r="RB56" s="79">
        <v>0</v>
      </c>
      <c r="RC56" s="79">
        <v>0</v>
      </c>
      <c r="RD56" s="79">
        <v>0</v>
      </c>
      <c r="RE56" s="79">
        <v>0</v>
      </c>
      <c r="RF56" s="79"/>
      <c r="RG56" s="79"/>
      <c r="RH56" s="79"/>
      <c r="RI56" s="79"/>
      <c r="RJ56" s="79"/>
      <c r="RK56" s="79"/>
      <c r="RL56" s="79"/>
      <c r="RM56" s="79"/>
      <c r="RN56" s="79"/>
      <c r="RO56" s="79"/>
      <c r="RP56" s="79"/>
      <c r="RQ56" s="79"/>
      <c r="RR56" s="79"/>
      <c r="RS56" s="79"/>
      <c r="RT56" s="79"/>
      <c r="RU56" s="79"/>
      <c r="RV56" s="79"/>
      <c r="RW56" s="79"/>
      <c r="RX56" s="79"/>
      <c r="RY56" s="79"/>
      <c r="RZ56" s="79"/>
      <c r="SA56" s="79"/>
      <c r="SB56" s="79"/>
      <c r="SC56" s="79"/>
      <c r="SD56" s="79"/>
      <c r="SE56" s="79"/>
      <c r="SF56" s="79"/>
      <c r="SG56" s="79"/>
      <c r="SH56" s="79"/>
      <c r="SI56" s="79"/>
      <c r="SJ56" s="79"/>
      <c r="SK56" s="79"/>
      <c r="SL56" s="79"/>
      <c r="SM56" s="79"/>
      <c r="SN56" s="79"/>
      <c r="SO56" s="79"/>
      <c r="SP56" s="79"/>
      <c r="SQ56" s="79"/>
      <c r="SR56" s="79"/>
      <c r="SS56" s="79"/>
      <c r="ST56" s="79"/>
      <c r="SU56" s="79"/>
      <c r="SV56" s="79"/>
      <c r="SW56" s="79"/>
      <c r="SX56" s="79"/>
      <c r="SY56" s="79"/>
      <c r="SZ56" s="79"/>
      <c r="TA56" s="79"/>
      <c r="TB56" s="79"/>
      <c r="TC56" s="79"/>
      <c r="TD56" s="79"/>
      <c r="TE56" s="79"/>
      <c r="TF56" s="79"/>
      <c r="TG56" s="79"/>
      <c r="TH56" s="79"/>
      <c r="TI56" s="79"/>
      <c r="TJ56" s="79"/>
      <c r="TK56" s="79"/>
      <c r="TL56" s="79"/>
      <c r="TM56" s="79"/>
      <c r="TN56" s="79"/>
      <c r="TO56" s="79"/>
      <c r="TP56" s="79"/>
      <c r="TQ56" s="79"/>
      <c r="TR56" s="79"/>
      <c r="TS56" s="79"/>
      <c r="TT56" s="79"/>
      <c r="TU56" s="79"/>
      <c r="TV56" s="79"/>
      <c r="TW56" s="79"/>
      <c r="TX56" s="79"/>
      <c r="TY56" s="79"/>
      <c r="TZ56" s="79"/>
      <c r="UA56" s="79"/>
      <c r="UB56" s="79"/>
      <c r="UC56" s="79"/>
      <c r="UD56" s="79"/>
      <c r="UE56" s="79"/>
      <c r="UF56" s="79"/>
      <c r="UG56" s="79"/>
      <c r="UH56" s="79"/>
      <c r="UI56" s="79"/>
      <c r="UJ56" s="79"/>
      <c r="UK56" s="79"/>
      <c r="UL56" s="79"/>
      <c r="UM56" s="79"/>
      <c r="UN56" s="111"/>
      <c r="UO56" s="79"/>
      <c r="UP56" s="79"/>
      <c r="UQ56" s="79"/>
      <c r="UR56" s="79"/>
      <c r="US56" s="79"/>
      <c r="UT56" s="79"/>
      <c r="UU56" s="79"/>
      <c r="UV56" s="79"/>
      <c r="UW56" s="79"/>
      <c r="UX56" s="79"/>
      <c r="UY56" s="79"/>
      <c r="UZ56" s="79"/>
      <c r="VA56" s="79"/>
      <c r="VB56" s="79"/>
      <c r="VC56" s="79"/>
      <c r="VD56" s="79"/>
      <c r="VE56" s="79"/>
      <c r="VF56" s="79"/>
      <c r="VG56" s="192"/>
      <c r="VH56" s="192"/>
      <c r="VI56" s="192"/>
      <c r="VJ56" s="192"/>
      <c r="VK56" s="192"/>
      <c r="VL56" s="192"/>
      <c r="VM56" s="192"/>
      <c r="VN56" s="192"/>
      <c r="VO56" s="192"/>
      <c r="VP56" s="192"/>
      <c r="VQ56" s="192"/>
      <c r="VR56" s="192"/>
      <c r="VS56" s="192"/>
      <c r="VT56" s="192"/>
      <c r="VU56" s="192"/>
      <c r="VV56" s="192"/>
      <c r="VW56" s="192"/>
      <c r="VX56" s="192"/>
      <c r="VY56" s="192"/>
      <c r="VZ56" s="192"/>
      <c r="WA56" s="192"/>
      <c r="WB56" s="192"/>
      <c r="WC56" s="192"/>
      <c r="WD56" s="192"/>
      <c r="WE56" s="192"/>
      <c r="WF56" s="192"/>
      <c r="WG56" s="192"/>
      <c r="WH56" s="192"/>
      <c r="WI56" s="192"/>
      <c r="WJ56" s="192"/>
      <c r="WK56" s="192"/>
      <c r="WL56" s="192"/>
      <c r="WM56" s="192"/>
      <c r="WN56" s="192"/>
      <c r="WO56" s="192"/>
      <c r="WP56" s="192"/>
      <c r="WQ56" s="192"/>
      <c r="WR56" s="192"/>
      <c r="WS56" s="192"/>
      <c r="WT56" s="192"/>
      <c r="WU56" s="192"/>
      <c r="WV56" s="192"/>
      <c r="WW56" s="192"/>
      <c r="WX56" s="192"/>
      <c r="WY56" s="192"/>
      <c r="WZ56" s="192"/>
      <c r="XA56" s="192"/>
      <c r="XB56" s="192"/>
      <c r="XC56" s="192"/>
      <c r="XD56" s="192"/>
      <c r="XE56" s="192"/>
      <c r="XF56" s="192"/>
      <c r="XG56" s="192"/>
      <c r="XH56" s="192"/>
      <c r="XI56" s="192"/>
      <c r="XJ56" s="192"/>
      <c r="XK56" s="192"/>
      <c r="XL56" s="192"/>
      <c r="XM56" s="192"/>
      <c r="XN56" s="192"/>
      <c r="XO56" s="192"/>
      <c r="XP56" s="192"/>
      <c r="XQ56" s="192"/>
      <c r="XR56" s="192"/>
      <c r="XS56" s="192"/>
      <c r="XT56" s="192"/>
      <c r="XU56" s="192"/>
      <c r="XV56" s="192"/>
      <c r="XW56" s="192"/>
      <c r="XX56" s="192"/>
      <c r="XY56" s="192"/>
      <c r="XZ56" s="192"/>
      <c r="YA56" s="192"/>
      <c r="YB56" s="192"/>
      <c r="YC56" s="193"/>
      <c r="YD56" s="193"/>
      <c r="YE56" s="193"/>
      <c r="YF56" s="193"/>
      <c r="YG56" s="193"/>
      <c r="YH56" s="193"/>
      <c r="YI56" s="193"/>
      <c r="YJ56" s="193"/>
      <c r="YK56" s="193"/>
      <c r="YL56" s="193"/>
      <c r="YM56" s="193"/>
    </row>
    <row r="57" spans="1:663" ht="15.75" customHeight="1" x14ac:dyDescent="0.2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30"/>
      <c r="GX57" s="30"/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30"/>
      <c r="HJ57" s="30"/>
      <c r="HK57" s="30"/>
      <c r="HL57" s="30"/>
      <c r="HM57" s="30"/>
      <c r="HN57" s="30"/>
      <c r="HO57" s="30"/>
      <c r="HP57" s="30"/>
      <c r="HQ57" s="30"/>
      <c r="HR57" s="30"/>
      <c r="HS57" s="30"/>
      <c r="HT57" s="30"/>
      <c r="HU57" s="30"/>
      <c r="HV57" s="30"/>
      <c r="HW57" s="30"/>
      <c r="HX57" s="30"/>
      <c r="HY57" s="30"/>
      <c r="HZ57" s="30"/>
      <c r="IA57" s="30"/>
      <c r="IB57" s="30"/>
      <c r="IC57" s="30"/>
      <c r="ID57" s="30"/>
      <c r="IE57" s="30"/>
      <c r="IF57" s="30"/>
      <c r="IG57" s="30"/>
      <c r="IH57" s="30"/>
      <c r="II57" s="30"/>
      <c r="IJ57" s="30"/>
      <c r="IK57" s="30"/>
      <c r="IL57" s="30"/>
      <c r="IM57" s="30"/>
      <c r="IN57" s="30"/>
      <c r="IO57" s="30"/>
      <c r="IP57" s="30"/>
      <c r="IQ57" s="30"/>
      <c r="IR57" s="30"/>
      <c r="IS57" s="30"/>
      <c r="IT57" s="30"/>
      <c r="IU57" s="30"/>
      <c r="IV57" s="30"/>
      <c r="IW57" s="30"/>
      <c r="IX57" s="30"/>
      <c r="IY57" s="30"/>
      <c r="IZ57" s="30"/>
      <c r="JA57" s="30"/>
      <c r="JB57" s="30"/>
      <c r="JC57" s="30"/>
      <c r="JD57" s="30"/>
      <c r="JE57" s="30"/>
      <c r="JF57" s="30"/>
      <c r="JG57" s="30"/>
      <c r="JH57" s="30"/>
      <c r="JI57" s="30"/>
      <c r="JJ57" s="30"/>
      <c r="JK57" s="30"/>
      <c r="JL57" s="30"/>
      <c r="JM57" s="30"/>
      <c r="JN57" s="30"/>
      <c r="JO57" s="30"/>
      <c r="JP57" s="30"/>
      <c r="JQ57" s="30"/>
      <c r="JR57" s="30"/>
      <c r="JS57" s="30"/>
      <c r="JT57" s="30"/>
      <c r="JU57" s="30"/>
      <c r="JV57" s="30"/>
      <c r="JW57" s="30"/>
      <c r="JX57" s="30"/>
      <c r="JY57" s="30"/>
      <c r="JZ57" s="30"/>
      <c r="KA57" s="30"/>
      <c r="KB57" s="30"/>
      <c r="KC57" s="30"/>
      <c r="KD57" s="30"/>
      <c r="KE57" s="30"/>
      <c r="KF57" s="30"/>
      <c r="KG57" s="30"/>
      <c r="KH57" s="30"/>
      <c r="KI57" s="30"/>
      <c r="KJ57" s="30"/>
      <c r="KK57" s="30"/>
      <c r="KL57" s="30"/>
      <c r="KM57" s="30"/>
      <c r="KN57" s="30"/>
      <c r="KO57" s="30"/>
      <c r="KP57" s="30"/>
      <c r="KQ57" s="30"/>
      <c r="KR57" s="30"/>
      <c r="KS57" s="30"/>
      <c r="KT57" s="30"/>
      <c r="KU57" s="30"/>
      <c r="KV57" s="30"/>
      <c r="KW57" s="30"/>
      <c r="KX57" s="30"/>
      <c r="KY57" s="30"/>
      <c r="KZ57" s="30"/>
      <c r="LA57" s="30"/>
      <c r="LB57" s="30"/>
      <c r="LC57" s="30"/>
      <c r="LD57" s="30"/>
      <c r="LE57" s="30"/>
      <c r="LF57" s="30"/>
      <c r="LG57" s="30"/>
      <c r="LH57" s="30"/>
      <c r="LI57" s="30"/>
      <c r="LJ57" s="30"/>
      <c r="LK57" s="30"/>
      <c r="LL57" s="30"/>
      <c r="LM57" s="30"/>
      <c r="LN57" s="30"/>
      <c r="LO57" s="30"/>
      <c r="LP57" s="30"/>
      <c r="LQ57" s="30"/>
      <c r="LR57" s="30"/>
      <c r="LS57" s="30"/>
      <c r="LT57" s="30"/>
      <c r="LU57" s="30"/>
      <c r="LV57" s="30"/>
      <c r="LW57" s="30"/>
      <c r="LX57" s="30"/>
      <c r="LY57" s="30"/>
      <c r="LZ57" s="30"/>
      <c r="MA57" s="30"/>
      <c r="MB57" s="30"/>
      <c r="MC57" s="30"/>
      <c r="MD57" s="30"/>
      <c r="ME57" s="30"/>
      <c r="MF57" s="30"/>
      <c r="MG57" s="30"/>
      <c r="MH57" s="30"/>
      <c r="MI57" s="30"/>
      <c r="MJ57" s="30"/>
      <c r="MK57" s="30"/>
      <c r="ML57" s="30"/>
      <c r="MM57" s="30"/>
      <c r="MN57" s="30"/>
      <c r="MO57" s="30"/>
      <c r="MP57" s="30"/>
      <c r="MQ57" s="30"/>
      <c r="MR57" s="30"/>
      <c r="MS57" s="30"/>
      <c r="MT57" s="30"/>
      <c r="MU57" s="30"/>
      <c r="MV57" s="30"/>
      <c r="MW57" s="30"/>
      <c r="MX57" s="30"/>
      <c r="MY57" s="30"/>
      <c r="MZ57" s="30"/>
      <c r="NA57" s="30"/>
      <c r="NB57" s="30"/>
      <c r="NC57" s="30"/>
      <c r="ND57" s="30"/>
      <c r="NE57" s="30"/>
      <c r="NF57" s="30"/>
      <c r="NG57" s="30"/>
      <c r="NH57" s="30"/>
      <c r="NI57" s="30"/>
      <c r="NJ57" s="30"/>
      <c r="NK57" s="30"/>
      <c r="NL57" s="30"/>
      <c r="NM57" s="30"/>
      <c r="NN57" s="30"/>
      <c r="NO57" s="30"/>
      <c r="NP57" s="30"/>
      <c r="NQ57" s="30"/>
      <c r="NR57" s="30"/>
      <c r="NS57" s="30"/>
      <c r="NT57" s="30"/>
      <c r="NU57" s="30"/>
      <c r="NV57" s="30"/>
      <c r="NW57" s="30"/>
      <c r="NX57" s="30"/>
      <c r="NY57" s="30"/>
      <c r="NZ57" s="30"/>
      <c r="OA57" s="30"/>
      <c r="OB57" s="30"/>
      <c r="OC57" s="30"/>
      <c r="OD57" s="30"/>
      <c r="OE57" s="30"/>
      <c r="OF57" s="30"/>
      <c r="OG57" s="30"/>
      <c r="OH57" s="30"/>
      <c r="OI57" s="30"/>
      <c r="OJ57" s="30"/>
      <c r="OK57" s="30"/>
      <c r="OL57" s="30"/>
      <c r="OM57" s="30"/>
      <c r="ON57" s="30"/>
      <c r="OO57" s="30"/>
      <c r="OP57" s="30"/>
      <c r="OQ57" s="30"/>
      <c r="OR57" s="30"/>
      <c r="OS57" s="30"/>
      <c r="OT57" s="30"/>
      <c r="OU57" s="30"/>
      <c r="OV57" s="30"/>
      <c r="OW57" s="30"/>
      <c r="OX57" s="30"/>
      <c r="OY57" s="30"/>
      <c r="OZ57" s="30"/>
      <c r="PA57" s="30"/>
      <c r="PB57" s="30"/>
      <c r="PC57" s="30"/>
      <c r="PD57" s="30"/>
      <c r="PE57" s="30"/>
      <c r="PF57" s="30"/>
      <c r="PG57" s="30"/>
      <c r="PH57" s="30"/>
      <c r="PI57" s="30"/>
      <c r="PJ57" s="30"/>
      <c r="PK57" s="30"/>
      <c r="PL57" s="30"/>
      <c r="PM57" s="30"/>
      <c r="PN57" s="30"/>
      <c r="PO57" s="30"/>
      <c r="PP57" s="30"/>
      <c r="PQ57" s="30"/>
      <c r="PR57" s="30"/>
      <c r="PS57" s="30"/>
      <c r="PT57" s="30"/>
      <c r="PU57" s="30"/>
      <c r="PV57" s="30"/>
      <c r="PW57" s="30"/>
      <c r="PX57" s="30"/>
      <c r="PY57" s="30"/>
      <c r="PZ57" s="30"/>
      <c r="QA57" s="30"/>
      <c r="QB57" s="30"/>
      <c r="QC57" s="30"/>
      <c r="QD57" s="30"/>
      <c r="QE57" s="30"/>
      <c r="QF57" s="30"/>
      <c r="QG57" s="30"/>
      <c r="QH57" s="30"/>
      <c r="QI57" s="30"/>
      <c r="QJ57" s="30"/>
      <c r="QK57" s="30"/>
      <c r="QL57" s="30"/>
      <c r="QM57" s="30"/>
      <c r="QN57" s="30"/>
      <c r="QO57" s="30"/>
      <c r="QP57" s="30"/>
      <c r="QQ57" s="30"/>
      <c r="QR57" s="30"/>
      <c r="QS57" s="30"/>
      <c r="QT57" s="30"/>
      <c r="QU57" s="30"/>
      <c r="QV57" s="30"/>
      <c r="QW57" s="30"/>
      <c r="QX57" s="30"/>
      <c r="QY57" s="30"/>
      <c r="QZ57" s="30"/>
      <c r="RA57" s="30"/>
      <c r="RB57" s="30"/>
      <c r="RC57" s="30"/>
      <c r="RD57" s="30"/>
      <c r="RE57" s="30"/>
      <c r="RF57" s="30"/>
      <c r="RG57" s="30"/>
      <c r="RH57" s="30"/>
      <c r="RI57" s="30"/>
      <c r="RJ57" s="30"/>
      <c r="RK57" s="30"/>
      <c r="RL57" s="30"/>
      <c r="RM57" s="30"/>
      <c r="RN57" s="30"/>
      <c r="RO57" s="30"/>
      <c r="RP57" s="30"/>
      <c r="RQ57" s="30"/>
      <c r="RR57" s="30"/>
      <c r="RS57" s="30"/>
      <c r="RT57" s="30"/>
      <c r="RU57" s="30"/>
      <c r="RV57" s="30"/>
      <c r="RW57" s="30"/>
      <c r="RX57" s="30"/>
      <c r="RY57" s="30"/>
      <c r="RZ57" s="30"/>
      <c r="SA57" s="30"/>
      <c r="SB57" s="30"/>
      <c r="SC57" s="30"/>
      <c r="SD57" s="30"/>
      <c r="SE57" s="30"/>
      <c r="SF57" s="30"/>
      <c r="SG57" s="30"/>
      <c r="SH57" s="30"/>
      <c r="SI57" s="30"/>
      <c r="SJ57" s="30"/>
      <c r="SK57" s="30"/>
      <c r="SL57" s="30"/>
      <c r="SM57" s="30"/>
      <c r="SN57" s="30"/>
      <c r="SO57" s="30"/>
      <c r="SP57" s="30"/>
      <c r="SQ57" s="30"/>
      <c r="SR57" s="30"/>
      <c r="SS57" s="30"/>
      <c r="ST57" s="30"/>
      <c r="SU57" s="30"/>
      <c r="SV57" s="30"/>
      <c r="SW57" s="30"/>
      <c r="SX57" s="30"/>
      <c r="SY57" s="30"/>
      <c r="SZ57" s="30"/>
      <c r="TA57" s="30"/>
      <c r="TB57" s="30"/>
      <c r="TC57" s="30"/>
      <c r="TD57" s="30"/>
      <c r="TE57" s="30"/>
      <c r="TF57" s="30"/>
      <c r="TG57" s="30"/>
      <c r="TH57" s="30"/>
      <c r="TI57" s="30"/>
      <c r="TJ57" s="30"/>
      <c r="TK57" s="30"/>
      <c r="TL57" s="30"/>
      <c r="TM57" s="30"/>
      <c r="TN57" s="30"/>
      <c r="TO57" s="30"/>
      <c r="TP57" s="30"/>
      <c r="TQ57" s="30"/>
      <c r="TR57" s="30"/>
      <c r="TS57" s="30"/>
      <c r="TT57" s="30"/>
      <c r="TU57" s="30"/>
      <c r="TV57" s="30"/>
      <c r="TW57" s="30"/>
      <c r="TX57" s="30"/>
      <c r="TY57" s="30"/>
      <c r="TZ57" s="30"/>
      <c r="UA57" s="30"/>
      <c r="UB57" s="30"/>
      <c r="UC57" s="30"/>
      <c r="UD57" s="30"/>
      <c r="UE57" s="30"/>
      <c r="UF57" s="30"/>
      <c r="UG57" s="30"/>
      <c r="UH57" s="30"/>
      <c r="UI57" s="30"/>
      <c r="UJ57" s="30"/>
      <c r="UK57" s="30"/>
      <c r="UL57" s="30"/>
      <c r="UM57" s="30"/>
      <c r="UN57" s="30"/>
      <c r="UO57" s="30"/>
      <c r="UP57" s="30"/>
      <c r="UQ57" s="30"/>
      <c r="UR57" s="30"/>
      <c r="US57" s="30"/>
      <c r="UT57" s="30"/>
      <c r="UU57" s="30"/>
      <c r="UV57" s="30"/>
      <c r="UW57" s="30"/>
      <c r="UX57" s="30"/>
      <c r="UY57" s="30"/>
      <c r="UZ57" s="30"/>
      <c r="VA57" s="30"/>
      <c r="VB57" s="30"/>
      <c r="VC57" s="30"/>
      <c r="VD57" s="30"/>
      <c r="VE57" s="30"/>
      <c r="VF57" s="30"/>
      <c r="VG57" s="149"/>
      <c r="VH57" s="149"/>
      <c r="VI57" s="149"/>
      <c r="VJ57" s="149"/>
      <c r="VK57" s="149"/>
      <c r="VL57" s="149"/>
      <c r="VM57" s="149"/>
      <c r="VN57" s="149"/>
      <c r="VO57" s="149"/>
      <c r="VP57" s="149"/>
      <c r="VQ57" s="149"/>
      <c r="VR57" s="149"/>
      <c r="VS57" s="149"/>
      <c r="VT57" s="149"/>
      <c r="VU57" s="149"/>
      <c r="VV57" s="149"/>
      <c r="VW57" s="149"/>
      <c r="VX57" s="149"/>
      <c r="VY57" s="149"/>
      <c r="VZ57" s="149"/>
      <c r="WA57" s="149"/>
      <c r="WB57" s="149"/>
      <c r="WC57" s="149"/>
      <c r="WD57" s="149"/>
      <c r="WE57" s="149"/>
      <c r="WF57" s="149"/>
      <c r="WG57" s="149"/>
      <c r="WH57" s="149"/>
      <c r="WI57" s="149"/>
      <c r="WJ57" s="149"/>
      <c r="WK57" s="149"/>
      <c r="WL57" s="149"/>
      <c r="WM57" s="149"/>
      <c r="WN57" s="149"/>
      <c r="WO57" s="149"/>
      <c r="WP57" s="149"/>
      <c r="WQ57" s="149"/>
      <c r="WR57" s="149"/>
      <c r="WS57" s="149"/>
      <c r="WT57" s="149"/>
      <c r="WU57" s="149"/>
      <c r="WV57" s="149"/>
      <c r="WW57" s="149"/>
      <c r="WX57" s="149"/>
      <c r="WY57" s="149"/>
      <c r="WZ57" s="149"/>
      <c r="XA57" s="149"/>
      <c r="XB57" s="149"/>
      <c r="XC57" s="149"/>
      <c r="XD57" s="149"/>
      <c r="XE57" s="149"/>
      <c r="XF57" s="149"/>
      <c r="XG57" s="149"/>
      <c r="XH57" s="149"/>
      <c r="XI57" s="149"/>
      <c r="XJ57" s="149"/>
      <c r="XK57" s="149"/>
      <c r="XL57" s="149"/>
      <c r="XM57" s="149"/>
      <c r="XN57" s="149"/>
      <c r="XO57" s="149"/>
      <c r="XP57" s="149"/>
      <c r="XQ57" s="149"/>
      <c r="XR57" s="149"/>
      <c r="XS57" s="149"/>
      <c r="XT57" s="149"/>
      <c r="XU57" s="149"/>
      <c r="XV57" s="149"/>
      <c r="XW57" s="149"/>
      <c r="XX57" s="149"/>
      <c r="XY57" s="149"/>
      <c r="XZ57" s="149"/>
      <c r="YA57" s="149"/>
      <c r="YB57" s="149"/>
      <c r="YC57" s="150"/>
      <c r="YD57" s="150"/>
      <c r="YE57" s="150"/>
      <c r="YF57" s="150"/>
      <c r="YG57" s="150"/>
      <c r="YH57" s="150"/>
      <c r="YI57" s="150"/>
      <c r="YJ57" s="150"/>
      <c r="YK57" s="150"/>
      <c r="YL57" s="150"/>
      <c r="YM57" s="150"/>
    </row>
    <row r="58" spans="1:663" ht="15.75" customHeight="1" x14ac:dyDescent="0.2">
      <c r="B58" s="8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0"/>
      <c r="IR58" s="30"/>
      <c r="IS58" s="30"/>
      <c r="IT58" s="30"/>
      <c r="IU58" s="30"/>
      <c r="IV58" s="30"/>
      <c r="IW58" s="30"/>
      <c r="IX58" s="30"/>
      <c r="IY58" s="30"/>
      <c r="IZ58" s="30"/>
      <c r="JA58" s="30"/>
      <c r="JB58" s="30"/>
      <c r="JC58" s="30"/>
      <c r="JD58" s="30"/>
      <c r="JE58" s="30"/>
      <c r="JF58" s="30"/>
      <c r="JG58" s="30"/>
      <c r="JH58" s="30"/>
      <c r="JI58" s="30"/>
      <c r="JJ58" s="30"/>
      <c r="JK58" s="30"/>
      <c r="JL58" s="30"/>
      <c r="JM58" s="30"/>
      <c r="JN58" s="30"/>
      <c r="JO58" s="30"/>
      <c r="JP58" s="30"/>
      <c r="JQ58" s="30"/>
      <c r="JR58" s="30"/>
      <c r="JS58" s="30"/>
      <c r="JT58" s="30"/>
      <c r="JU58" s="30"/>
      <c r="JV58" s="30"/>
      <c r="JW58" s="30"/>
      <c r="JX58" s="30"/>
      <c r="JY58" s="30"/>
      <c r="JZ58" s="30"/>
      <c r="KA58" s="30"/>
      <c r="KB58" s="30"/>
      <c r="KC58" s="30"/>
      <c r="KD58" s="30"/>
      <c r="KE58" s="30"/>
      <c r="KF58" s="30"/>
      <c r="KG58" s="30"/>
      <c r="KH58" s="30"/>
      <c r="KI58" s="30"/>
      <c r="KJ58" s="30"/>
      <c r="KK58" s="30"/>
      <c r="KL58" s="30"/>
      <c r="KM58" s="30"/>
      <c r="KN58" s="30"/>
      <c r="KO58" s="30"/>
      <c r="KP58" s="30"/>
      <c r="KQ58" s="30"/>
      <c r="KR58" s="30"/>
      <c r="KS58" s="30"/>
      <c r="KT58" s="30"/>
      <c r="KU58" s="30"/>
      <c r="KV58" s="30"/>
      <c r="KW58" s="30"/>
      <c r="KX58" s="30"/>
      <c r="KY58" s="30"/>
      <c r="KZ58" s="30"/>
      <c r="LA58" s="30"/>
      <c r="LB58" s="30"/>
      <c r="LC58" s="30"/>
      <c r="LD58" s="30"/>
      <c r="LE58" s="30"/>
      <c r="LF58" s="30"/>
      <c r="LG58" s="30"/>
      <c r="LH58" s="30"/>
      <c r="LI58" s="30"/>
      <c r="LJ58" s="30"/>
      <c r="LK58" s="30"/>
      <c r="LL58" s="30"/>
      <c r="LM58" s="30"/>
      <c r="LN58" s="30"/>
      <c r="LO58" s="30"/>
      <c r="LP58" s="30"/>
      <c r="LQ58" s="30"/>
      <c r="LR58" s="30"/>
      <c r="LS58" s="30"/>
      <c r="LT58" s="30"/>
      <c r="LU58" s="30"/>
      <c r="LV58" s="30"/>
      <c r="LW58" s="30"/>
      <c r="LX58" s="30"/>
      <c r="LY58" s="30"/>
      <c r="LZ58" s="30"/>
      <c r="MA58" s="30"/>
      <c r="MB58" s="30"/>
      <c r="MC58" s="30"/>
      <c r="MD58" s="30"/>
      <c r="ME58" s="30"/>
      <c r="MF58" s="30"/>
      <c r="MG58" s="30"/>
      <c r="MH58" s="30"/>
      <c r="MI58" s="30"/>
      <c r="MJ58" s="30"/>
      <c r="MK58" s="30"/>
      <c r="ML58" s="30"/>
      <c r="MM58" s="30"/>
      <c r="MN58" s="30"/>
      <c r="MO58" s="30"/>
      <c r="MP58" s="30"/>
      <c r="MQ58" s="30"/>
      <c r="MR58" s="30"/>
      <c r="MS58" s="30"/>
      <c r="MT58" s="30"/>
      <c r="MU58" s="30"/>
      <c r="MV58" s="30"/>
      <c r="MW58" s="30"/>
      <c r="MX58" s="30"/>
      <c r="MY58" s="30"/>
      <c r="MZ58" s="30"/>
      <c r="NA58" s="30"/>
      <c r="NB58" s="30"/>
      <c r="NC58" s="30"/>
      <c r="ND58" s="30"/>
      <c r="NE58" s="30"/>
      <c r="NF58" s="30"/>
      <c r="NG58" s="30"/>
      <c r="NH58" s="30"/>
      <c r="NI58" s="30"/>
      <c r="NJ58" s="30"/>
      <c r="NK58" s="30"/>
      <c r="NL58" s="30"/>
      <c r="NM58" s="30"/>
      <c r="NN58" s="30"/>
      <c r="NO58" s="30"/>
      <c r="NP58" s="30"/>
      <c r="NQ58" s="30"/>
      <c r="NR58" s="30"/>
      <c r="NS58" s="30"/>
      <c r="NT58" s="30"/>
      <c r="NU58" s="30"/>
      <c r="NV58" s="30"/>
      <c r="NW58" s="30"/>
      <c r="NX58" s="30"/>
      <c r="NY58" s="30"/>
      <c r="NZ58" s="30"/>
      <c r="OA58" s="30"/>
      <c r="OB58" s="30"/>
      <c r="OC58" s="30"/>
      <c r="OD58" s="30"/>
      <c r="OE58" s="30"/>
      <c r="OF58" s="30"/>
      <c r="OG58" s="30"/>
      <c r="OH58" s="30"/>
      <c r="OI58" s="30"/>
      <c r="OJ58" s="30"/>
      <c r="OK58" s="30"/>
      <c r="OL58" s="30"/>
      <c r="OM58" s="30"/>
      <c r="ON58" s="30"/>
      <c r="OO58" s="30"/>
      <c r="OP58" s="30"/>
      <c r="OQ58" s="30"/>
      <c r="OR58" s="30"/>
      <c r="OS58" s="30"/>
      <c r="OT58" s="30"/>
      <c r="OU58" s="30"/>
      <c r="OV58" s="30"/>
      <c r="OW58" s="30"/>
      <c r="OX58" s="30"/>
      <c r="OY58" s="30"/>
      <c r="OZ58" s="30"/>
      <c r="PA58" s="30"/>
      <c r="PB58" s="30"/>
      <c r="PC58" s="30"/>
      <c r="PD58" s="30"/>
      <c r="PE58" s="30"/>
      <c r="PF58" s="30"/>
      <c r="PG58" s="30"/>
      <c r="PH58" s="30"/>
      <c r="PI58" s="30"/>
      <c r="PJ58" s="30"/>
      <c r="PK58" s="30"/>
      <c r="PL58" s="30"/>
      <c r="PM58" s="30"/>
      <c r="PN58" s="30"/>
      <c r="PO58" s="30"/>
      <c r="PP58" s="30"/>
      <c r="PQ58" s="30"/>
      <c r="PR58" s="30"/>
      <c r="PS58" s="30"/>
      <c r="PT58" s="30"/>
      <c r="PU58" s="30"/>
      <c r="PV58" s="30"/>
      <c r="PW58" s="30"/>
      <c r="PX58" s="30"/>
      <c r="PY58" s="30"/>
      <c r="PZ58" s="30"/>
      <c r="QA58" s="30"/>
      <c r="QB58" s="30"/>
      <c r="QC58" s="30"/>
      <c r="QD58" s="30"/>
      <c r="QE58" s="30"/>
      <c r="QF58" s="30"/>
      <c r="QG58" s="30"/>
      <c r="QH58" s="30"/>
      <c r="QI58" s="30"/>
      <c r="QJ58" s="30"/>
      <c r="QK58" s="30"/>
      <c r="QL58" s="30"/>
      <c r="QM58" s="30"/>
      <c r="QN58" s="30"/>
      <c r="QO58" s="30"/>
      <c r="QP58" s="30"/>
      <c r="QQ58" s="30"/>
      <c r="QR58" s="30"/>
      <c r="QS58" s="30"/>
      <c r="QT58" s="30"/>
      <c r="QU58" s="30"/>
      <c r="QV58" s="30"/>
      <c r="QW58" s="30"/>
      <c r="QX58" s="30"/>
      <c r="QY58" s="30"/>
      <c r="QZ58" s="30"/>
      <c r="RA58" s="30"/>
      <c r="RB58" s="30"/>
      <c r="RC58" s="30"/>
      <c r="RD58" s="30"/>
      <c r="RE58" s="30"/>
      <c r="RF58" s="30"/>
      <c r="RG58" s="30"/>
      <c r="RH58" s="30"/>
      <c r="RI58" s="30"/>
      <c r="RJ58" s="30"/>
      <c r="RK58" s="30"/>
      <c r="RL58" s="30"/>
      <c r="RM58" s="30"/>
      <c r="RN58" s="30"/>
      <c r="RO58" s="30"/>
      <c r="RP58" s="30"/>
      <c r="RQ58" s="30"/>
      <c r="RR58" s="30"/>
      <c r="RS58" s="30"/>
      <c r="RT58" s="30"/>
      <c r="RU58" s="30"/>
      <c r="RV58" s="30"/>
      <c r="RW58" s="30"/>
      <c r="RX58" s="30"/>
      <c r="RY58" s="30"/>
      <c r="RZ58" s="30"/>
      <c r="SA58" s="30"/>
      <c r="SB58" s="30"/>
      <c r="SC58" s="30"/>
      <c r="SD58" s="30"/>
      <c r="SE58" s="30"/>
      <c r="SF58" s="30"/>
      <c r="SG58" s="30"/>
      <c r="SH58" s="30"/>
      <c r="SI58" s="30"/>
      <c r="SJ58" s="30"/>
      <c r="SK58" s="30"/>
      <c r="SL58" s="30"/>
      <c r="SM58" s="30"/>
      <c r="SN58" s="30"/>
      <c r="SO58" s="30"/>
      <c r="SP58" s="30"/>
      <c r="SQ58" s="30"/>
      <c r="SR58" s="30"/>
      <c r="SS58" s="30"/>
      <c r="ST58" s="30"/>
      <c r="SU58" s="30"/>
      <c r="SV58" s="30"/>
      <c r="SW58" s="30"/>
      <c r="SX58" s="30"/>
      <c r="SY58" s="30"/>
      <c r="SZ58" s="30"/>
      <c r="TA58" s="30"/>
      <c r="TB58" s="30"/>
      <c r="TC58" s="30"/>
      <c r="TD58" s="30"/>
      <c r="TE58" s="30"/>
      <c r="TF58" s="30"/>
      <c r="TG58" s="30"/>
      <c r="TH58" s="30"/>
      <c r="TI58" s="30"/>
      <c r="TJ58" s="30"/>
      <c r="TK58" s="30"/>
      <c r="TL58" s="30"/>
      <c r="TM58" s="30"/>
      <c r="TN58" s="30"/>
      <c r="TO58" s="30"/>
      <c r="TP58" s="30"/>
      <c r="TQ58" s="30"/>
      <c r="TR58" s="30"/>
      <c r="TS58" s="30"/>
      <c r="TT58" s="30"/>
      <c r="TU58" s="30"/>
      <c r="TV58" s="30"/>
      <c r="TW58" s="30"/>
      <c r="TX58" s="30"/>
      <c r="TY58" s="30"/>
      <c r="TZ58" s="30"/>
      <c r="UA58" s="30"/>
      <c r="UB58" s="30"/>
      <c r="UC58" s="30"/>
      <c r="UD58" s="30"/>
      <c r="UE58" s="30"/>
      <c r="UF58" s="30"/>
      <c r="UG58" s="30"/>
      <c r="UH58" s="30"/>
      <c r="UI58" s="30"/>
      <c r="UJ58" s="30"/>
      <c r="UK58" s="30"/>
      <c r="UL58" s="30"/>
      <c r="UM58" s="30"/>
      <c r="UN58" s="30"/>
      <c r="UO58" s="30"/>
      <c r="UP58" s="30"/>
      <c r="UQ58" s="30"/>
      <c r="UR58" s="30"/>
      <c r="US58" s="30"/>
      <c r="UT58" s="30"/>
      <c r="UU58" s="30"/>
      <c r="UV58" s="30"/>
      <c r="UW58" s="30"/>
      <c r="UX58" s="30"/>
      <c r="UY58" s="30"/>
      <c r="UZ58" s="30"/>
      <c r="VA58" s="30"/>
      <c r="VB58" s="30"/>
      <c r="VC58" s="30"/>
      <c r="VD58" s="30"/>
      <c r="VE58" s="30"/>
      <c r="VF58" s="30"/>
      <c r="VG58" s="149"/>
      <c r="VH58" s="149"/>
      <c r="VI58" s="149"/>
      <c r="VJ58" s="149"/>
      <c r="VK58" s="149"/>
      <c r="VL58" s="149"/>
      <c r="VM58" s="149"/>
      <c r="VN58" s="149"/>
      <c r="VO58" s="149"/>
      <c r="VP58" s="149"/>
      <c r="VQ58" s="149"/>
      <c r="VR58" s="149"/>
      <c r="VS58" s="149"/>
      <c r="VT58" s="149"/>
      <c r="VU58" s="149"/>
      <c r="VV58" s="149"/>
      <c r="VW58" s="149"/>
      <c r="VX58" s="149"/>
      <c r="VY58" s="149"/>
      <c r="VZ58" s="149"/>
      <c r="WA58" s="149"/>
      <c r="WB58" s="149"/>
      <c r="WC58" s="149"/>
      <c r="WD58" s="149"/>
      <c r="WE58" s="149"/>
      <c r="WF58" s="149"/>
      <c r="WG58" s="149"/>
      <c r="WH58" s="149"/>
      <c r="WI58" s="149"/>
      <c r="WJ58" s="149"/>
      <c r="WK58" s="149"/>
      <c r="WL58" s="149"/>
      <c r="WM58" s="149"/>
      <c r="WN58" s="149"/>
      <c r="WO58" s="149"/>
      <c r="WP58" s="149"/>
      <c r="WQ58" s="149"/>
      <c r="WR58" s="149"/>
      <c r="WS58" s="149"/>
      <c r="WT58" s="149"/>
      <c r="WU58" s="149"/>
      <c r="WV58" s="149"/>
      <c r="WW58" s="149"/>
      <c r="WX58" s="149"/>
      <c r="WY58" s="149"/>
      <c r="WZ58" s="149"/>
      <c r="XA58" s="149"/>
      <c r="XB58" s="149"/>
      <c r="XC58" s="149"/>
      <c r="XD58" s="149"/>
      <c r="XE58" s="149"/>
      <c r="XF58" s="149"/>
      <c r="XG58" s="149"/>
      <c r="XH58" s="149"/>
      <c r="XI58" s="149"/>
      <c r="XJ58" s="149"/>
      <c r="XK58" s="149"/>
      <c r="XL58" s="149"/>
      <c r="XM58" s="149"/>
      <c r="XN58" s="149"/>
      <c r="XO58" s="149"/>
      <c r="XP58" s="149"/>
      <c r="XQ58" s="149"/>
      <c r="XR58" s="149"/>
      <c r="XS58" s="149"/>
      <c r="XT58" s="149"/>
      <c r="XU58" s="149"/>
      <c r="XV58" s="149"/>
      <c r="XW58" s="149"/>
      <c r="XX58" s="149"/>
      <c r="XY58" s="149"/>
      <c r="XZ58" s="149"/>
      <c r="YA58" s="149"/>
      <c r="YB58" s="149"/>
      <c r="YC58" s="150"/>
      <c r="YD58" s="150"/>
      <c r="YE58" s="150"/>
      <c r="YF58" s="150"/>
      <c r="YG58" s="150"/>
      <c r="YH58" s="150"/>
      <c r="YI58" s="150"/>
      <c r="YJ58" s="150"/>
      <c r="YK58" s="150"/>
      <c r="YL58" s="150"/>
      <c r="YM58" s="150"/>
    </row>
    <row r="59" spans="1:663" ht="15.75" customHeight="1" x14ac:dyDescent="0.2">
      <c r="A59" s="86"/>
      <c r="B59" s="85" t="s">
        <v>55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  <c r="DR59" s="79"/>
      <c r="DS59" s="79"/>
      <c r="DT59" s="79"/>
      <c r="DU59" s="79"/>
      <c r="DV59" s="79"/>
      <c r="DW59" s="79"/>
      <c r="DX59" s="79"/>
      <c r="DY59" s="79"/>
      <c r="DZ59" s="79"/>
      <c r="EA59" s="79"/>
      <c r="EB59" s="79"/>
      <c r="EC59" s="79"/>
      <c r="ED59" s="79"/>
      <c r="EE59" s="79"/>
      <c r="EF59" s="79"/>
      <c r="EG59" s="79"/>
      <c r="EH59" s="79"/>
      <c r="EI59" s="79"/>
      <c r="EJ59" s="79"/>
      <c r="EK59" s="79"/>
      <c r="EL59" s="79"/>
      <c r="EM59" s="79"/>
      <c r="EN59" s="79"/>
      <c r="EO59" s="79"/>
      <c r="EP59" s="79"/>
      <c r="EQ59" s="79"/>
      <c r="ER59" s="79"/>
      <c r="ES59" s="79"/>
      <c r="ET59" s="79"/>
      <c r="EU59" s="79"/>
      <c r="EV59" s="79"/>
      <c r="EW59" s="79"/>
      <c r="EX59" s="79"/>
      <c r="EY59" s="79"/>
      <c r="EZ59" s="79"/>
      <c r="FA59" s="79"/>
      <c r="FB59" s="79"/>
      <c r="FC59" s="79"/>
      <c r="FD59" s="79"/>
      <c r="FE59" s="79"/>
      <c r="FF59" s="79"/>
      <c r="FG59" s="79"/>
      <c r="FH59" s="79"/>
      <c r="FI59" s="79"/>
      <c r="FJ59" s="79"/>
      <c r="FK59" s="79"/>
      <c r="FL59" s="79"/>
      <c r="FM59" s="79"/>
      <c r="FN59" s="79"/>
      <c r="FO59" s="79"/>
      <c r="FP59" s="79"/>
      <c r="FQ59" s="79"/>
      <c r="FR59" s="79"/>
      <c r="FS59" s="79"/>
      <c r="FT59" s="79"/>
      <c r="FU59" s="79"/>
      <c r="FV59" s="79"/>
      <c r="FW59" s="79"/>
      <c r="FX59" s="79"/>
      <c r="FY59" s="79"/>
      <c r="FZ59" s="79"/>
      <c r="GA59" s="79"/>
      <c r="GB59" s="79"/>
      <c r="GC59" s="79"/>
      <c r="GD59" s="79"/>
      <c r="GE59" s="79"/>
      <c r="GF59" s="79"/>
      <c r="GG59" s="79"/>
      <c r="GH59" s="79"/>
      <c r="GI59" s="79"/>
      <c r="GJ59" s="79"/>
      <c r="GK59" s="79"/>
      <c r="GL59" s="79"/>
      <c r="GM59" s="79"/>
      <c r="GN59" s="79"/>
      <c r="GO59" s="79"/>
      <c r="GP59" s="79"/>
      <c r="GQ59" s="79"/>
      <c r="GR59" s="79"/>
      <c r="GS59" s="79"/>
      <c r="GT59" s="79"/>
      <c r="GU59" s="79"/>
      <c r="GV59" s="79"/>
      <c r="GW59" s="79"/>
      <c r="GX59" s="79"/>
      <c r="GY59" s="79"/>
      <c r="GZ59" s="79"/>
      <c r="HA59" s="79"/>
      <c r="HB59" s="79"/>
      <c r="HC59" s="79"/>
      <c r="HD59" s="79"/>
      <c r="HE59" s="79"/>
      <c r="HF59" s="79"/>
      <c r="HG59" s="79"/>
      <c r="HH59" s="79"/>
      <c r="HI59" s="79"/>
      <c r="HJ59" s="79"/>
      <c r="HK59" s="79"/>
      <c r="HL59" s="79"/>
      <c r="HM59" s="79"/>
      <c r="HN59" s="79"/>
      <c r="HO59" s="79"/>
      <c r="HP59" s="79"/>
      <c r="HQ59" s="79"/>
      <c r="HR59" s="79"/>
      <c r="HS59" s="79"/>
      <c r="HT59" s="79"/>
      <c r="HU59" s="79"/>
      <c r="HV59" s="79"/>
      <c r="HW59" s="79"/>
      <c r="HX59" s="79"/>
      <c r="HY59" s="79"/>
      <c r="HZ59" s="79"/>
      <c r="IA59" s="79"/>
      <c r="IB59" s="79"/>
      <c r="IC59" s="79"/>
      <c r="ID59" s="79"/>
      <c r="IE59" s="79"/>
      <c r="IF59" s="79"/>
      <c r="IG59" s="79"/>
      <c r="IH59" s="79"/>
      <c r="II59" s="79"/>
      <c r="IJ59" s="79"/>
      <c r="IK59" s="79"/>
      <c r="IL59" s="79"/>
      <c r="IM59" s="79"/>
      <c r="IN59" s="79"/>
      <c r="IO59" s="79"/>
      <c r="IP59" s="79"/>
      <c r="IQ59" s="79"/>
      <c r="IR59" s="79"/>
      <c r="IS59" s="79"/>
      <c r="IT59" s="79"/>
      <c r="IU59" s="79"/>
      <c r="IV59" s="79"/>
      <c r="IW59" s="79"/>
      <c r="IX59" s="79"/>
      <c r="IY59" s="79"/>
      <c r="IZ59" s="79"/>
      <c r="JA59" s="79"/>
      <c r="JB59" s="79"/>
      <c r="JC59" s="79"/>
      <c r="JD59" s="79"/>
      <c r="JE59" s="79"/>
      <c r="JF59" s="79"/>
      <c r="JG59" s="79"/>
      <c r="JH59" s="79"/>
      <c r="JI59" s="79"/>
      <c r="JJ59" s="79"/>
      <c r="JK59" s="79"/>
      <c r="JL59" s="79"/>
      <c r="JM59" s="79"/>
      <c r="JN59" s="79"/>
      <c r="JO59" s="79"/>
      <c r="JP59" s="79"/>
      <c r="JQ59" s="79"/>
      <c r="JR59" s="79"/>
      <c r="JS59" s="79"/>
      <c r="JT59" s="79"/>
      <c r="JU59" s="79"/>
      <c r="JV59" s="79"/>
      <c r="JW59" s="79"/>
      <c r="JX59" s="79"/>
      <c r="JY59" s="79"/>
      <c r="JZ59" s="79"/>
      <c r="KA59" s="79"/>
      <c r="KB59" s="79"/>
      <c r="KC59" s="79"/>
      <c r="KD59" s="79"/>
      <c r="KE59" s="79"/>
      <c r="KF59" s="79"/>
      <c r="KG59" s="79"/>
      <c r="KH59" s="79"/>
      <c r="KI59" s="79"/>
      <c r="KJ59" s="79"/>
      <c r="KK59" s="79"/>
      <c r="KL59" s="79"/>
      <c r="KM59" s="79"/>
      <c r="KN59" s="79"/>
      <c r="KO59" s="79"/>
      <c r="KP59" s="79"/>
      <c r="KQ59" s="79"/>
      <c r="KR59" s="79"/>
      <c r="KS59" s="79"/>
      <c r="KT59" s="79"/>
      <c r="KU59" s="79"/>
      <c r="KV59" s="79"/>
      <c r="KW59" s="79"/>
      <c r="KX59" s="79"/>
      <c r="KY59" s="79"/>
      <c r="KZ59" s="79"/>
      <c r="LA59" s="79"/>
      <c r="LB59" s="79"/>
      <c r="LC59" s="79"/>
      <c r="LD59" s="79"/>
      <c r="LE59" s="79"/>
      <c r="LF59" s="79"/>
      <c r="LG59" s="79"/>
      <c r="LH59" s="79"/>
      <c r="LI59" s="79"/>
      <c r="LJ59" s="79"/>
      <c r="LK59" s="79"/>
      <c r="LL59" s="79"/>
      <c r="LM59" s="79"/>
      <c r="LN59" s="79"/>
      <c r="LO59" s="79"/>
      <c r="LP59" s="79"/>
      <c r="LQ59" s="79"/>
      <c r="LR59" s="79"/>
      <c r="LS59" s="79"/>
      <c r="LT59" s="79"/>
      <c r="LU59" s="79"/>
      <c r="LV59" s="79"/>
      <c r="LW59" s="79"/>
      <c r="LX59" s="79"/>
      <c r="LY59" s="79"/>
      <c r="LZ59" s="79"/>
      <c r="MA59" s="79"/>
      <c r="MB59" s="79"/>
      <c r="MC59" s="79"/>
      <c r="MD59" s="79"/>
      <c r="ME59" s="79"/>
      <c r="MF59" s="79"/>
      <c r="MG59" s="79"/>
      <c r="MH59" s="79"/>
      <c r="MI59" s="79"/>
      <c r="MJ59" s="79"/>
      <c r="MK59" s="79"/>
      <c r="ML59" s="79"/>
      <c r="MM59" s="79"/>
      <c r="MN59" s="79"/>
      <c r="MO59" s="79"/>
      <c r="MP59" s="79"/>
      <c r="MQ59" s="79"/>
      <c r="MR59" s="79"/>
      <c r="MS59" s="79"/>
      <c r="MT59" s="79"/>
      <c r="MU59" s="79"/>
      <c r="MV59" s="79"/>
      <c r="MW59" s="79"/>
      <c r="MX59" s="79"/>
      <c r="MY59" s="79"/>
      <c r="MZ59" s="79"/>
      <c r="NA59" s="79"/>
      <c r="NB59" s="79"/>
      <c r="NC59" s="79"/>
      <c r="ND59" s="79">
        <v>244870000</v>
      </c>
      <c r="NE59" s="79">
        <v>244870000</v>
      </c>
      <c r="NF59" s="79">
        <v>244870000</v>
      </c>
      <c r="NG59" s="79">
        <v>244870000</v>
      </c>
      <c r="NH59" s="79">
        <v>244805000</v>
      </c>
      <c r="NI59" s="79">
        <v>244805000</v>
      </c>
      <c r="NJ59" s="79">
        <v>245635000</v>
      </c>
      <c r="NK59" s="79">
        <v>245635000</v>
      </c>
      <c r="NL59" s="79">
        <v>245635000</v>
      </c>
      <c r="NM59" s="79">
        <v>245635000</v>
      </c>
      <c r="NN59" s="79">
        <v>245635000</v>
      </c>
      <c r="NO59" s="79">
        <v>246440000</v>
      </c>
      <c r="NP59" s="79">
        <v>246540000</v>
      </c>
      <c r="NQ59" s="79">
        <v>246540000</v>
      </c>
      <c r="NR59" s="79">
        <v>246540000</v>
      </c>
      <c r="NS59" s="79">
        <v>246540000</v>
      </c>
      <c r="NT59" s="79">
        <v>246540000</v>
      </c>
      <c r="NU59" s="79">
        <v>246540000</v>
      </c>
      <c r="NV59" s="79">
        <v>247630000</v>
      </c>
      <c r="NW59" s="79">
        <v>247630000</v>
      </c>
      <c r="NX59" s="79">
        <v>247630000</v>
      </c>
      <c r="NY59" s="79">
        <v>247630000</v>
      </c>
      <c r="NZ59" s="79">
        <v>247630000</v>
      </c>
      <c r="OA59" s="79">
        <v>247630000</v>
      </c>
      <c r="OB59" s="79">
        <v>247630000</v>
      </c>
      <c r="OC59" s="79">
        <v>247630000</v>
      </c>
      <c r="OD59" s="79">
        <v>249490000</v>
      </c>
      <c r="OE59" s="79">
        <v>252655000</v>
      </c>
      <c r="OF59" s="79">
        <v>254475000</v>
      </c>
      <c r="OG59" s="79">
        <v>256875000</v>
      </c>
      <c r="OH59" s="79">
        <v>256875000</v>
      </c>
      <c r="OI59" s="79">
        <v>256875000</v>
      </c>
      <c r="OJ59" s="79">
        <v>257680000</v>
      </c>
      <c r="OK59" s="79">
        <v>258625000</v>
      </c>
      <c r="OL59" s="79">
        <v>258625000</v>
      </c>
      <c r="OM59" s="79">
        <v>259080000</v>
      </c>
      <c r="ON59" s="79">
        <v>259700000</v>
      </c>
      <c r="OO59" s="79">
        <v>259700000</v>
      </c>
      <c r="OP59" s="79">
        <v>259700000</v>
      </c>
      <c r="OQ59" s="79">
        <v>259650000</v>
      </c>
      <c r="OR59" s="79">
        <v>262020000</v>
      </c>
      <c r="OS59" s="79">
        <v>266335000</v>
      </c>
      <c r="OT59" s="79">
        <v>267975000</v>
      </c>
      <c r="OU59" s="79">
        <v>269635000</v>
      </c>
      <c r="OV59" s="79">
        <v>269635000</v>
      </c>
      <c r="OW59" s="79">
        <v>273610000</v>
      </c>
      <c r="OX59" s="79">
        <v>275425000</v>
      </c>
      <c r="OY59" s="79">
        <v>277220000</v>
      </c>
      <c r="OZ59" s="79">
        <v>282330000</v>
      </c>
      <c r="PA59" s="79">
        <v>288205000</v>
      </c>
      <c r="PB59" s="79">
        <v>288700000</v>
      </c>
      <c r="PC59" s="79">
        <v>293000000</v>
      </c>
      <c r="PD59" s="79">
        <v>293000000</v>
      </c>
      <c r="PE59" s="79">
        <v>293720000</v>
      </c>
      <c r="PF59" s="79">
        <v>296205000</v>
      </c>
      <c r="PG59" s="79">
        <v>301760000</v>
      </c>
      <c r="PH59" s="79">
        <v>313200000</v>
      </c>
      <c r="PI59" s="79">
        <v>313200000</v>
      </c>
      <c r="PJ59" s="79">
        <v>313200000</v>
      </c>
      <c r="PK59" s="79">
        <v>313200000</v>
      </c>
      <c r="PL59" s="79">
        <v>314745000</v>
      </c>
      <c r="PM59" s="79">
        <v>316535000</v>
      </c>
      <c r="PN59" s="79">
        <v>316590000</v>
      </c>
      <c r="PO59" s="79">
        <v>316590000</v>
      </c>
      <c r="PP59" s="79">
        <v>317425000</v>
      </c>
      <c r="PQ59" s="79">
        <v>317425000</v>
      </c>
      <c r="PR59" s="79">
        <v>317425000</v>
      </c>
      <c r="PS59" s="79">
        <v>317425000</v>
      </c>
      <c r="PT59" s="79">
        <v>320715000</v>
      </c>
      <c r="PU59" s="79">
        <v>320715000</v>
      </c>
      <c r="PV59" s="79">
        <v>325120000</v>
      </c>
      <c r="PW59" s="79">
        <v>370240000</v>
      </c>
      <c r="PX59" s="79">
        <v>370240000</v>
      </c>
      <c r="PY59" s="79">
        <v>370240000</v>
      </c>
      <c r="PZ59" s="79">
        <v>371745000</v>
      </c>
      <c r="QA59" s="79">
        <v>371745000</v>
      </c>
      <c r="QB59" s="79">
        <v>374590000</v>
      </c>
      <c r="QC59" s="79">
        <v>377720000</v>
      </c>
      <c r="QD59" s="79">
        <v>381225000</v>
      </c>
      <c r="QE59" s="79">
        <v>381225000</v>
      </c>
      <c r="QF59" s="79">
        <v>382780000</v>
      </c>
      <c r="QG59" s="79">
        <v>382780000</v>
      </c>
      <c r="QH59" s="79">
        <v>382780000</v>
      </c>
      <c r="QI59" s="79">
        <v>379635000</v>
      </c>
      <c r="QJ59" s="79">
        <v>391965000</v>
      </c>
      <c r="QK59" s="79">
        <v>397010000</v>
      </c>
      <c r="QL59" s="79">
        <v>397010000</v>
      </c>
      <c r="QM59" s="79">
        <v>397010000</v>
      </c>
      <c r="QN59" s="79">
        <v>399230000</v>
      </c>
      <c r="QO59" s="79">
        <v>431830000</v>
      </c>
      <c r="QP59" s="79">
        <v>431605000</v>
      </c>
      <c r="QQ59" s="79">
        <v>431605000</v>
      </c>
      <c r="QR59" s="79">
        <v>454755000</v>
      </c>
      <c r="QS59" s="79">
        <v>454755000</v>
      </c>
      <c r="QT59" s="79">
        <v>454755000</v>
      </c>
      <c r="QU59" s="79">
        <v>454755000</v>
      </c>
      <c r="QV59" s="79">
        <v>466710000</v>
      </c>
      <c r="QW59" s="79">
        <v>468985000</v>
      </c>
      <c r="QX59" s="79">
        <v>468985000</v>
      </c>
      <c r="QY59" s="79">
        <v>468985000</v>
      </c>
      <c r="QZ59" s="79">
        <v>468985000</v>
      </c>
      <c r="RA59" s="79">
        <v>468985000</v>
      </c>
      <c r="RB59" s="79">
        <v>468720000</v>
      </c>
      <c r="RC59" s="79">
        <v>475355000</v>
      </c>
      <c r="RD59" s="79">
        <v>475355000</v>
      </c>
      <c r="RE59" s="79">
        <v>478915000</v>
      </c>
      <c r="RF59" s="79">
        <v>478915000</v>
      </c>
      <c r="RG59" s="79">
        <v>478915000</v>
      </c>
      <c r="RH59" s="79">
        <v>478915000</v>
      </c>
      <c r="RI59" s="79">
        <v>482970000</v>
      </c>
      <c r="RJ59" s="79">
        <v>486175000</v>
      </c>
      <c r="RK59" s="79">
        <v>486175000</v>
      </c>
      <c r="RL59" s="79">
        <v>486275000</v>
      </c>
      <c r="RM59" s="79">
        <v>496650000</v>
      </c>
      <c r="RN59" s="79">
        <v>496650000</v>
      </c>
      <c r="RO59" s="79">
        <v>496650000</v>
      </c>
      <c r="RP59" s="79">
        <v>501270000</v>
      </c>
      <c r="RQ59" s="79">
        <v>501270000</v>
      </c>
      <c r="RR59" s="79">
        <v>501270000</v>
      </c>
      <c r="RS59" s="79">
        <v>501270000</v>
      </c>
      <c r="RT59" s="79">
        <v>501270000</v>
      </c>
      <c r="RU59" s="79">
        <v>501270000</v>
      </c>
      <c r="RV59" s="79">
        <v>501270000</v>
      </c>
      <c r="RW59" s="79">
        <v>501270000</v>
      </c>
      <c r="RX59" s="79">
        <v>512765000</v>
      </c>
      <c r="RY59" s="79">
        <v>522545000</v>
      </c>
      <c r="RZ59" s="79">
        <v>526075000</v>
      </c>
      <c r="SA59" s="79">
        <v>526075000</v>
      </c>
      <c r="SB59" s="79">
        <v>526075000</v>
      </c>
      <c r="SC59" s="79">
        <v>526075000</v>
      </c>
      <c r="SD59" s="79">
        <v>534940000</v>
      </c>
      <c r="SE59" s="79">
        <v>534940000</v>
      </c>
      <c r="SF59" s="79">
        <v>536825000</v>
      </c>
      <c r="SG59" s="79">
        <v>542315000</v>
      </c>
      <c r="SH59" s="79">
        <v>542315000</v>
      </c>
      <c r="SI59" s="79">
        <v>542415000</v>
      </c>
      <c r="SJ59" s="79">
        <v>542415000</v>
      </c>
      <c r="SK59" s="79">
        <v>549985000</v>
      </c>
      <c r="SL59" s="79">
        <v>565030000</v>
      </c>
      <c r="SM59" s="79">
        <v>565030000</v>
      </c>
      <c r="SN59" s="79">
        <v>565030000</v>
      </c>
      <c r="SO59" s="79">
        <v>569410000</v>
      </c>
      <c r="SP59" s="79">
        <v>569410000</v>
      </c>
      <c r="SQ59" s="79">
        <v>569410000</v>
      </c>
      <c r="SR59" s="79">
        <v>569410000</v>
      </c>
      <c r="SS59" s="79">
        <v>579035000</v>
      </c>
      <c r="ST59" s="79">
        <v>587560000</v>
      </c>
      <c r="SU59" s="79">
        <v>592360000</v>
      </c>
      <c r="SV59" s="79">
        <v>594900000</v>
      </c>
      <c r="SW59" s="79">
        <v>594900000</v>
      </c>
      <c r="SX59" s="79">
        <v>594900000</v>
      </c>
      <c r="SY59" s="79">
        <v>594855000</v>
      </c>
      <c r="SZ59" s="79">
        <v>658915000</v>
      </c>
      <c r="TA59" s="79">
        <v>663470000</v>
      </c>
      <c r="TB59" s="79">
        <v>663455000</v>
      </c>
      <c r="TC59" s="79">
        <v>674555000</v>
      </c>
      <c r="TD59" s="79">
        <v>674555000</v>
      </c>
      <c r="TE59" s="79">
        <v>674555000</v>
      </c>
      <c r="TF59" s="79">
        <v>685520000</v>
      </c>
      <c r="TG59" s="79">
        <v>690650000</v>
      </c>
      <c r="TH59" s="87">
        <v>699840000</v>
      </c>
      <c r="TI59" s="87">
        <v>699805000</v>
      </c>
      <c r="TJ59" s="87">
        <v>699805000</v>
      </c>
      <c r="TK59" s="87">
        <v>699805000</v>
      </c>
      <c r="TL59" s="87">
        <v>699805000</v>
      </c>
      <c r="TM59" s="87">
        <v>711270000</v>
      </c>
      <c r="TN59" s="87">
        <v>722290000</v>
      </c>
      <c r="TO59" s="87">
        <v>731750000</v>
      </c>
      <c r="TP59" s="87">
        <v>734285000</v>
      </c>
      <c r="TQ59" s="87">
        <v>734285000</v>
      </c>
      <c r="TR59" s="87">
        <v>734285000</v>
      </c>
      <c r="TS59" s="87">
        <v>734285000</v>
      </c>
      <c r="TT59" s="87">
        <v>734285000</v>
      </c>
      <c r="TU59" s="87">
        <v>753090000</v>
      </c>
      <c r="TV59" s="87">
        <v>754675000</v>
      </c>
      <c r="TW59" s="87">
        <v>755980000</v>
      </c>
      <c r="TX59" s="87">
        <v>763120000</v>
      </c>
      <c r="TY59" s="87">
        <v>763120000</v>
      </c>
      <c r="TZ59" s="87">
        <v>763120000</v>
      </c>
      <c r="UA59" s="87">
        <v>763395000</v>
      </c>
      <c r="UB59" s="87">
        <v>778710000</v>
      </c>
      <c r="UC59" s="87">
        <v>779750000</v>
      </c>
      <c r="UD59" s="87">
        <v>779750000</v>
      </c>
      <c r="UE59" s="87">
        <v>779750000</v>
      </c>
      <c r="UF59" s="87">
        <v>779750000</v>
      </c>
      <c r="UG59" s="87">
        <v>779680000</v>
      </c>
      <c r="UH59" s="65">
        <v>779680000</v>
      </c>
      <c r="UI59" s="65">
        <v>779610000</v>
      </c>
      <c r="UJ59" s="65">
        <v>788625000</v>
      </c>
      <c r="UK59" s="65">
        <v>789040000</v>
      </c>
      <c r="UL59" s="65">
        <v>789040000</v>
      </c>
      <c r="UM59" s="65">
        <v>789040000</v>
      </c>
      <c r="UN59" s="65">
        <v>789040000</v>
      </c>
      <c r="UO59" s="65">
        <v>790695000</v>
      </c>
      <c r="UP59" s="65">
        <v>790685000</v>
      </c>
      <c r="UQ59" s="65">
        <v>794115000</v>
      </c>
      <c r="UR59" s="65">
        <v>794760000</v>
      </c>
      <c r="US59" s="65">
        <v>795490000</v>
      </c>
      <c r="UT59" s="65">
        <v>795490000</v>
      </c>
      <c r="UU59" s="65">
        <v>795490000</v>
      </c>
      <c r="UV59" s="65">
        <v>795490000</v>
      </c>
      <c r="UW59" s="65">
        <v>812805000</v>
      </c>
      <c r="UX59" s="65">
        <v>814115000</v>
      </c>
      <c r="UY59" s="65">
        <v>820055000</v>
      </c>
      <c r="UZ59" s="65">
        <v>820055000</v>
      </c>
      <c r="VA59" s="65">
        <v>820055000</v>
      </c>
      <c r="VB59" s="65">
        <v>820055000</v>
      </c>
      <c r="VC59" s="65">
        <v>820875000</v>
      </c>
      <c r="VD59" s="65">
        <v>821010000</v>
      </c>
      <c r="VE59" s="65">
        <v>826050000</v>
      </c>
      <c r="VF59" s="65">
        <v>826050000</v>
      </c>
      <c r="VG59" s="65">
        <v>836340000</v>
      </c>
      <c r="VH59" s="65">
        <v>840940000</v>
      </c>
      <c r="VI59" s="65">
        <v>840965000</v>
      </c>
      <c r="VJ59" s="65">
        <v>840965000</v>
      </c>
      <c r="VK59" s="65">
        <v>840950000</v>
      </c>
      <c r="VL59" s="65">
        <v>840950000</v>
      </c>
      <c r="VM59" s="65">
        <v>846765000</v>
      </c>
      <c r="VN59" s="65">
        <v>846765000</v>
      </c>
      <c r="VO59" s="65">
        <v>855075000</v>
      </c>
      <c r="VP59" s="65">
        <v>855075000</v>
      </c>
      <c r="VQ59" s="65">
        <v>855075000</v>
      </c>
      <c r="VR59" s="65">
        <v>857355000</v>
      </c>
      <c r="VS59" s="65">
        <v>867495000</v>
      </c>
      <c r="VT59" s="65">
        <v>867495000</v>
      </c>
      <c r="VU59" s="65">
        <v>867495000</v>
      </c>
      <c r="VV59" s="65">
        <v>869955000</v>
      </c>
      <c r="VW59" s="65">
        <v>869955000</v>
      </c>
      <c r="VX59" s="65">
        <v>869955000</v>
      </c>
      <c r="VY59" s="65">
        <v>869955000</v>
      </c>
      <c r="VZ59" s="65">
        <v>869955000</v>
      </c>
      <c r="WA59" s="65">
        <v>937180000</v>
      </c>
      <c r="WB59" s="65">
        <v>937180000</v>
      </c>
      <c r="WC59" s="65">
        <v>937180000</v>
      </c>
      <c r="WD59" s="65">
        <v>937180000</v>
      </c>
      <c r="WE59" s="65">
        <v>937180000</v>
      </c>
      <c r="WF59" s="65">
        <v>937180000</v>
      </c>
      <c r="WG59" s="65">
        <v>966510000</v>
      </c>
      <c r="WH59" s="65">
        <v>966510000</v>
      </c>
      <c r="WI59" s="65">
        <v>967190000</v>
      </c>
      <c r="WJ59" s="65">
        <v>974395000</v>
      </c>
      <c r="WK59" s="65">
        <v>974395000</v>
      </c>
      <c r="WL59" s="65">
        <v>974395000</v>
      </c>
      <c r="WM59" s="65">
        <v>974395000</v>
      </c>
      <c r="WN59" s="65">
        <v>1003735000</v>
      </c>
      <c r="WO59" s="65">
        <v>1011960000</v>
      </c>
      <c r="WP59" s="65">
        <v>1013415000</v>
      </c>
      <c r="WQ59" s="65">
        <v>1013415000</v>
      </c>
      <c r="WR59" s="65">
        <v>1034045000</v>
      </c>
      <c r="WS59" s="65">
        <v>1036460000</v>
      </c>
      <c r="WT59" s="65">
        <v>1047445000</v>
      </c>
      <c r="WU59" s="65">
        <v>1047305000</v>
      </c>
      <c r="WV59" s="65">
        <v>1047205000</v>
      </c>
      <c r="WW59" s="65">
        <v>1056645000</v>
      </c>
      <c r="WX59" s="65">
        <v>1059150000</v>
      </c>
      <c r="WY59" s="65">
        <v>1059150000</v>
      </c>
      <c r="WZ59" s="65">
        <v>1059150000</v>
      </c>
      <c r="XA59" s="65">
        <v>1059135000</v>
      </c>
      <c r="XB59" s="65">
        <v>1068015000</v>
      </c>
      <c r="XC59" s="65">
        <v>1072470000</v>
      </c>
      <c r="XD59" s="65">
        <v>1073300000</v>
      </c>
      <c r="XE59" s="65">
        <v>1076265000</v>
      </c>
      <c r="XF59" s="65">
        <v>1076265000</v>
      </c>
      <c r="XG59" s="65">
        <v>1076265000</v>
      </c>
      <c r="XH59" s="65">
        <v>1102405000</v>
      </c>
      <c r="XI59" s="65">
        <v>1105155000</v>
      </c>
      <c r="XJ59" s="65">
        <v>1108505000</v>
      </c>
      <c r="XK59" s="65">
        <v>1112565000</v>
      </c>
      <c r="XL59" s="65">
        <v>1116070000</v>
      </c>
      <c r="XM59" s="65">
        <v>1116070000</v>
      </c>
      <c r="XN59" s="65">
        <v>1116070000</v>
      </c>
      <c r="XO59" s="65">
        <v>1116070000</v>
      </c>
      <c r="XP59" s="65">
        <v>1130960000</v>
      </c>
      <c r="XQ59" s="65">
        <v>1130910000</v>
      </c>
      <c r="XR59" s="65">
        <v>1130910000</v>
      </c>
      <c r="XS59" s="65">
        <v>1130910000</v>
      </c>
      <c r="XT59" s="65">
        <v>1130910000</v>
      </c>
      <c r="XU59" s="65">
        <v>1130910000</v>
      </c>
      <c r="XV59" s="65">
        <v>1130910000</v>
      </c>
      <c r="XW59" s="65">
        <v>1135675000</v>
      </c>
      <c r="XX59" s="65">
        <v>1135675000</v>
      </c>
      <c r="XY59" s="65">
        <v>1135675000</v>
      </c>
      <c r="XZ59" s="65">
        <v>1135450000</v>
      </c>
      <c r="YA59" s="65">
        <v>1135450000</v>
      </c>
      <c r="YB59" s="65">
        <v>1135450000</v>
      </c>
      <c r="YC59" s="158">
        <v>1135450000</v>
      </c>
      <c r="YD59" s="158">
        <v>1135450000</v>
      </c>
      <c r="YE59" s="158">
        <v>1149900000</v>
      </c>
      <c r="YF59" s="158">
        <v>1149900000</v>
      </c>
      <c r="YG59" s="158">
        <v>1149900000</v>
      </c>
      <c r="YH59" s="158">
        <v>1149900000</v>
      </c>
      <c r="YI59" s="158">
        <v>1149900000</v>
      </c>
      <c r="YJ59" s="158">
        <v>1149885000</v>
      </c>
      <c r="YK59" s="158">
        <v>1149885000</v>
      </c>
      <c r="YL59" s="158">
        <v>1149885000</v>
      </c>
      <c r="YM59" s="158">
        <v>1149885000</v>
      </c>
    </row>
    <row r="60" spans="1:663" ht="15.75" customHeight="1" x14ac:dyDescent="0.2">
      <c r="B60" s="85" t="s">
        <v>176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0"/>
      <c r="IR60" s="30"/>
      <c r="IS60" s="30"/>
      <c r="IT60" s="30"/>
      <c r="IU60" s="30"/>
      <c r="IV60" s="30"/>
      <c r="IW60" s="30"/>
      <c r="IX60" s="30"/>
      <c r="IY60" s="30"/>
      <c r="IZ60" s="30"/>
      <c r="JA60" s="30"/>
      <c r="JB60" s="30"/>
      <c r="JC60" s="30"/>
      <c r="JD60" s="30"/>
      <c r="JE60" s="30"/>
      <c r="JF60" s="30"/>
      <c r="JG60" s="30"/>
      <c r="JH60" s="30"/>
      <c r="JI60" s="30"/>
      <c r="JJ60" s="30"/>
      <c r="JK60" s="30"/>
      <c r="JL60" s="30"/>
      <c r="JM60" s="30"/>
      <c r="JN60" s="30"/>
      <c r="JO60" s="30"/>
      <c r="JP60" s="30"/>
      <c r="JQ60" s="30"/>
      <c r="JR60" s="30"/>
      <c r="JS60" s="30"/>
      <c r="JT60" s="30"/>
      <c r="JU60" s="30"/>
      <c r="JV60" s="30"/>
      <c r="JW60" s="30"/>
      <c r="JX60" s="30"/>
      <c r="JY60" s="30"/>
      <c r="JZ60" s="30"/>
      <c r="KA60" s="30"/>
      <c r="KB60" s="30"/>
      <c r="KC60" s="30"/>
      <c r="KD60" s="30"/>
      <c r="KE60" s="30"/>
      <c r="KF60" s="30"/>
      <c r="KG60" s="30"/>
      <c r="KH60" s="30"/>
      <c r="KI60" s="30"/>
      <c r="KJ60" s="30"/>
      <c r="KK60" s="30"/>
      <c r="KL60" s="30"/>
      <c r="KM60" s="30"/>
      <c r="KN60" s="30"/>
      <c r="KO60" s="30"/>
      <c r="KP60" s="30"/>
      <c r="KQ60" s="30"/>
      <c r="KR60" s="30"/>
      <c r="KS60" s="30"/>
      <c r="KT60" s="30"/>
      <c r="KU60" s="30"/>
      <c r="KV60" s="30"/>
      <c r="KW60" s="30"/>
      <c r="KX60" s="30"/>
      <c r="KY60" s="30"/>
      <c r="KZ60" s="30"/>
      <c r="LA60" s="30"/>
      <c r="LB60" s="30"/>
      <c r="LC60" s="30"/>
      <c r="LD60" s="30"/>
      <c r="LE60" s="30"/>
      <c r="LF60" s="30"/>
      <c r="LG60" s="30"/>
      <c r="LH60" s="30"/>
      <c r="LI60" s="30"/>
      <c r="LJ60" s="30"/>
      <c r="LK60" s="30"/>
      <c r="LL60" s="30"/>
      <c r="LM60" s="30"/>
      <c r="LN60" s="30"/>
      <c r="LO60" s="30"/>
      <c r="LP60" s="30"/>
      <c r="LQ60" s="30"/>
      <c r="LR60" s="30"/>
      <c r="LS60" s="30"/>
      <c r="LT60" s="30"/>
      <c r="LU60" s="30"/>
      <c r="LV60" s="30"/>
      <c r="LW60" s="30"/>
      <c r="LX60" s="30"/>
      <c r="LY60" s="30"/>
      <c r="LZ60" s="30"/>
      <c r="MA60" s="30"/>
      <c r="MB60" s="30"/>
      <c r="MC60" s="30"/>
      <c r="MD60" s="30"/>
      <c r="ME60" s="30"/>
      <c r="MF60" s="30"/>
      <c r="MG60" s="30"/>
      <c r="MH60" s="30"/>
      <c r="MI60" s="30"/>
      <c r="MJ60" s="30"/>
      <c r="MK60" s="30"/>
      <c r="ML60" s="30"/>
      <c r="MM60" s="30"/>
      <c r="MN60" s="30"/>
      <c r="MO60" s="30"/>
      <c r="MP60" s="30"/>
      <c r="MQ60" s="30"/>
      <c r="MR60" s="30"/>
      <c r="MS60" s="30"/>
      <c r="MT60" s="30"/>
      <c r="MU60" s="30"/>
      <c r="MV60" s="30"/>
      <c r="MW60" s="30"/>
      <c r="MX60" s="30"/>
      <c r="MY60" s="30"/>
      <c r="MZ60" s="30"/>
      <c r="NA60" s="30"/>
      <c r="NB60" s="30"/>
      <c r="NC60" s="30"/>
      <c r="ND60" s="79">
        <f t="shared" ref="ND60:WH60" si="103">ND59/ND8</f>
        <v>63918.037066040197</v>
      </c>
      <c r="NE60" s="79">
        <f t="shared" si="103"/>
        <v>63918.037066040197</v>
      </c>
      <c r="NF60" s="79">
        <f t="shared" si="103"/>
        <v>63918.037066040197</v>
      </c>
      <c r="NG60" s="79">
        <f t="shared" si="103"/>
        <v>63918.037066040197</v>
      </c>
      <c r="NH60" s="79">
        <f t="shared" si="103"/>
        <v>63951.14942528736</v>
      </c>
      <c r="NI60" s="79">
        <f t="shared" si="103"/>
        <v>64034.789432382946</v>
      </c>
      <c r="NJ60" s="79">
        <f t="shared" si="103"/>
        <v>63984.110445428494</v>
      </c>
      <c r="NK60" s="79">
        <f t="shared" si="103"/>
        <v>63984.110445428494</v>
      </c>
      <c r="NL60" s="79">
        <f t="shared" si="103"/>
        <v>63984.110445428494</v>
      </c>
      <c r="NM60" s="79">
        <f t="shared" si="103"/>
        <v>63984.110445428494</v>
      </c>
      <c r="NN60" s="79">
        <f t="shared" si="103"/>
        <v>63984.110445428494</v>
      </c>
      <c r="NO60" s="79">
        <f t="shared" si="103"/>
        <v>63828.023828023826</v>
      </c>
      <c r="NP60" s="79">
        <f t="shared" si="103"/>
        <v>63837.389953392027</v>
      </c>
      <c r="NQ60" s="79">
        <f t="shared" si="103"/>
        <v>63837.389953392027</v>
      </c>
      <c r="NR60" s="79">
        <f t="shared" si="103"/>
        <v>63837.389953392027</v>
      </c>
      <c r="NS60" s="79">
        <f t="shared" si="103"/>
        <v>63853.92385392385</v>
      </c>
      <c r="NT60" s="79">
        <f t="shared" si="103"/>
        <v>63853.92385392385</v>
      </c>
      <c r="NU60" s="79">
        <f t="shared" si="103"/>
        <v>63853.92385392385</v>
      </c>
      <c r="NV60" s="79">
        <f t="shared" si="103"/>
        <v>63904.516129032258</v>
      </c>
      <c r="NW60" s="79">
        <f t="shared" si="103"/>
        <v>63904.516129032258</v>
      </c>
      <c r="NX60" s="79">
        <f t="shared" si="103"/>
        <v>63904.516129032258</v>
      </c>
      <c r="NY60" s="79">
        <f t="shared" si="103"/>
        <v>63904.516129032258</v>
      </c>
      <c r="NZ60" s="79">
        <f t="shared" si="103"/>
        <v>63904.516129032258</v>
      </c>
      <c r="OA60" s="79">
        <f t="shared" si="103"/>
        <v>63904.516129032258</v>
      </c>
      <c r="OB60" s="79">
        <f t="shared" si="103"/>
        <v>63904.516129032258</v>
      </c>
      <c r="OC60" s="79">
        <f t="shared" si="103"/>
        <v>63904.516129032258</v>
      </c>
      <c r="OD60" s="79">
        <f t="shared" si="103"/>
        <v>63759.263991822132</v>
      </c>
      <c r="OE60" s="79">
        <f t="shared" si="103"/>
        <v>63721.311475409835</v>
      </c>
      <c r="OF60" s="79">
        <f t="shared" si="103"/>
        <v>63618.75</v>
      </c>
      <c r="OG60" s="79">
        <f t="shared" si="103"/>
        <v>63582.920792079211</v>
      </c>
      <c r="OH60" s="79">
        <f t="shared" si="103"/>
        <v>63582.920792079211</v>
      </c>
      <c r="OI60" s="79">
        <f t="shared" si="103"/>
        <v>63582.920792079211</v>
      </c>
      <c r="OJ60" s="79">
        <f t="shared" si="103"/>
        <v>63452.351637527703</v>
      </c>
      <c r="OK60" s="79">
        <f t="shared" si="103"/>
        <v>63341.905461670343</v>
      </c>
      <c r="OL60" s="79">
        <f t="shared" si="103"/>
        <v>63341.905461670343</v>
      </c>
      <c r="OM60" s="79">
        <f t="shared" si="103"/>
        <v>63329.259349792228</v>
      </c>
      <c r="ON60" s="79">
        <f t="shared" si="103"/>
        <v>63295.149890324152</v>
      </c>
      <c r="OO60" s="79">
        <f t="shared" si="103"/>
        <v>63295.149890324152</v>
      </c>
      <c r="OP60" s="79">
        <f t="shared" si="103"/>
        <v>63295.149890324152</v>
      </c>
      <c r="OQ60" s="79">
        <f t="shared" si="103"/>
        <v>63282.963685108458</v>
      </c>
      <c r="OR60" s="79">
        <f t="shared" si="103"/>
        <v>63091.740910185406</v>
      </c>
      <c r="OS60" s="79">
        <f t="shared" si="103"/>
        <v>62933.601134215503</v>
      </c>
      <c r="OT60" s="79">
        <f t="shared" si="103"/>
        <v>62728.230337078654</v>
      </c>
      <c r="OU60" s="79">
        <f t="shared" si="103"/>
        <v>62618.439386901999</v>
      </c>
      <c r="OV60" s="79">
        <f t="shared" si="103"/>
        <v>62618.439386901999</v>
      </c>
      <c r="OW60" s="79">
        <f t="shared" si="103"/>
        <v>62396.807297605475</v>
      </c>
      <c r="OX60" s="79">
        <f t="shared" si="103"/>
        <v>62116.599007668017</v>
      </c>
      <c r="OY60" s="79">
        <f t="shared" si="103"/>
        <v>61920.92919365647</v>
      </c>
      <c r="OZ60" s="79">
        <f t="shared" si="103"/>
        <v>61469.627694317438</v>
      </c>
      <c r="PA60" s="79">
        <f t="shared" si="103"/>
        <v>61216.0152931181</v>
      </c>
      <c r="PB60" s="79">
        <f t="shared" si="103"/>
        <v>61165.254237288136</v>
      </c>
      <c r="PC60" s="79">
        <f t="shared" si="103"/>
        <v>61092.577147623022</v>
      </c>
      <c r="PD60" s="79">
        <f t="shared" si="103"/>
        <v>61092.577147623022</v>
      </c>
      <c r="PE60" s="79">
        <f t="shared" si="103"/>
        <v>61064.449064449065</v>
      </c>
      <c r="PF60" s="79">
        <f t="shared" si="103"/>
        <v>61048.021434460017</v>
      </c>
      <c r="PG60" s="79">
        <f t="shared" si="103"/>
        <v>60521.460088247091</v>
      </c>
      <c r="PH60" s="79">
        <f t="shared" si="103"/>
        <v>61629.279811097993</v>
      </c>
      <c r="PI60" s="79">
        <f t="shared" si="103"/>
        <v>61255.622921963623</v>
      </c>
      <c r="PJ60" s="79">
        <f t="shared" si="103"/>
        <v>61255.622921963623</v>
      </c>
      <c r="PK60" s="79">
        <f t="shared" si="103"/>
        <v>61255.622921963623</v>
      </c>
      <c r="PL60" s="79">
        <f t="shared" si="103"/>
        <v>61174.927113702623</v>
      </c>
      <c r="PM60" s="79">
        <f t="shared" si="103"/>
        <v>61142.553602472472</v>
      </c>
      <c r="PN60" s="79">
        <f t="shared" si="103"/>
        <v>61117.760617760621</v>
      </c>
      <c r="PO60" s="79">
        <f t="shared" si="103"/>
        <v>61117.760617760621</v>
      </c>
      <c r="PP60" s="79">
        <f t="shared" si="103"/>
        <v>61019.800076893502</v>
      </c>
      <c r="PQ60" s="79">
        <f t="shared" si="103"/>
        <v>61019.800076893502</v>
      </c>
      <c r="PR60" s="79">
        <f t="shared" si="103"/>
        <v>61019.800076893502</v>
      </c>
      <c r="PS60" s="79">
        <f t="shared" si="103"/>
        <v>61043.269230769234</v>
      </c>
      <c r="PT60" s="79">
        <f t="shared" si="103"/>
        <v>61007.228457295038</v>
      </c>
      <c r="PU60" s="79">
        <f t="shared" si="103"/>
        <v>60879.840546697036</v>
      </c>
      <c r="PV60" s="79">
        <f t="shared" si="103"/>
        <v>61436.130007558582</v>
      </c>
      <c r="PW60" s="79">
        <f t="shared" si="103"/>
        <v>68664.688427299698</v>
      </c>
      <c r="PX60" s="79">
        <f t="shared" si="103"/>
        <v>68664.688427299698</v>
      </c>
      <c r="PY60" s="79">
        <f t="shared" si="103"/>
        <v>68664.688427299698</v>
      </c>
      <c r="PZ60" s="79">
        <f t="shared" si="103"/>
        <v>68360.610518572998</v>
      </c>
      <c r="QA60" s="79">
        <f t="shared" si="103"/>
        <v>68373.183741033659</v>
      </c>
      <c r="QB60" s="79">
        <f t="shared" si="103"/>
        <v>67263.422517507628</v>
      </c>
      <c r="QC60" s="79">
        <f t="shared" si="103"/>
        <v>67825.462381037883</v>
      </c>
      <c r="QD60" s="79">
        <f t="shared" si="103"/>
        <v>67485.395645246943</v>
      </c>
      <c r="QE60" s="79">
        <f t="shared" si="103"/>
        <v>67485.395645246943</v>
      </c>
      <c r="QF60" s="79">
        <f t="shared" si="103"/>
        <v>67225.149279943798</v>
      </c>
      <c r="QG60" s="79">
        <f t="shared" si="103"/>
        <v>67225.149279943798</v>
      </c>
      <c r="QH60" s="79">
        <f t="shared" si="103"/>
        <v>67225.149279943798</v>
      </c>
      <c r="QI60" s="79">
        <f t="shared" si="103"/>
        <v>66672.813487881984</v>
      </c>
      <c r="QJ60" s="79">
        <f t="shared" si="103"/>
        <v>66706.092579986391</v>
      </c>
      <c r="QK60" s="79">
        <f t="shared" si="103"/>
        <v>66556.580050293385</v>
      </c>
      <c r="QL60" s="79">
        <f t="shared" si="103"/>
        <v>66556.580050293385</v>
      </c>
      <c r="QM60" s="79">
        <f t="shared" si="103"/>
        <v>66556.580050293385</v>
      </c>
      <c r="QN60" s="79">
        <f t="shared" si="103"/>
        <v>66482.930890924225</v>
      </c>
      <c r="QO60" s="79">
        <f t="shared" si="103"/>
        <v>66414.949246385731</v>
      </c>
      <c r="QP60" s="79">
        <f t="shared" si="103"/>
        <v>66421.206525084635</v>
      </c>
      <c r="QQ60" s="79">
        <f t="shared" si="103"/>
        <v>66421.206525084635</v>
      </c>
      <c r="QR60" s="79">
        <f t="shared" si="103"/>
        <v>66397.284275076658</v>
      </c>
      <c r="QS60" s="79">
        <f t="shared" si="103"/>
        <v>66397.284275076658</v>
      </c>
      <c r="QT60" s="79">
        <f t="shared" si="103"/>
        <v>66397.284275076658</v>
      </c>
      <c r="QU60" s="79">
        <f t="shared" si="103"/>
        <v>66416.678837447063</v>
      </c>
      <c r="QV60" s="79">
        <f t="shared" si="103"/>
        <v>66246.983676366217</v>
      </c>
      <c r="QW60" s="79">
        <f t="shared" si="103"/>
        <v>66203.416149068318</v>
      </c>
      <c r="QX60" s="79">
        <f t="shared" si="103"/>
        <v>66203.416149068318</v>
      </c>
      <c r="QY60" s="79">
        <f t="shared" si="103"/>
        <v>66203.416149068318</v>
      </c>
      <c r="QZ60" s="79">
        <f t="shared" si="103"/>
        <v>66203.416149068318</v>
      </c>
      <c r="RA60" s="79">
        <f t="shared" si="103"/>
        <v>66203.416149068318</v>
      </c>
      <c r="RB60" s="79">
        <f t="shared" si="103"/>
        <v>66194.040389775459</v>
      </c>
      <c r="RC60" s="79">
        <f t="shared" si="103"/>
        <v>66260.802899358794</v>
      </c>
      <c r="RD60" s="79">
        <f t="shared" si="103"/>
        <v>66260.802899358794</v>
      </c>
      <c r="RE60" s="79">
        <f t="shared" si="103"/>
        <v>66230.811782602686</v>
      </c>
      <c r="RF60" s="79">
        <f t="shared" si="103"/>
        <v>66230.811782602686</v>
      </c>
      <c r="RG60" s="79">
        <f t="shared" si="103"/>
        <v>66230.811782602686</v>
      </c>
      <c r="RH60" s="79">
        <f t="shared" si="103"/>
        <v>66230.811782602686</v>
      </c>
      <c r="RI60" s="79">
        <f t="shared" si="103"/>
        <v>66160.273972602736</v>
      </c>
      <c r="RJ60" s="79">
        <f t="shared" si="103"/>
        <v>66092.305600870037</v>
      </c>
      <c r="RK60" s="79">
        <f t="shared" si="103"/>
        <v>66092.305600870037</v>
      </c>
      <c r="RL60" s="79">
        <f t="shared" si="103"/>
        <v>66096.914503194232</v>
      </c>
      <c r="RM60" s="79">
        <f t="shared" si="103"/>
        <v>66167.066346922467</v>
      </c>
      <c r="RN60" s="79">
        <f t="shared" si="103"/>
        <v>66167.066346922467</v>
      </c>
      <c r="RO60" s="79">
        <f t="shared" si="103"/>
        <v>66167.066346922467</v>
      </c>
      <c r="RP60" s="79">
        <f t="shared" si="103"/>
        <v>66252.973830293413</v>
      </c>
      <c r="RQ60" s="79">
        <f t="shared" si="103"/>
        <v>66252.973830293413</v>
      </c>
      <c r="RR60" s="79">
        <f t="shared" si="103"/>
        <v>66288.019042581334</v>
      </c>
      <c r="RS60" s="79">
        <f t="shared" si="103"/>
        <v>66296.786139399555</v>
      </c>
      <c r="RT60" s="79">
        <f t="shared" si="103"/>
        <v>66296.786139399555</v>
      </c>
      <c r="RU60" s="79">
        <f t="shared" si="103"/>
        <v>66296.786139399555</v>
      </c>
      <c r="RV60" s="79">
        <f t="shared" si="103"/>
        <v>66296.786139399555</v>
      </c>
      <c r="RW60" s="79">
        <f t="shared" si="103"/>
        <v>66296.786139399555</v>
      </c>
      <c r="RX60" s="79">
        <f t="shared" si="103"/>
        <v>66351.578674948236</v>
      </c>
      <c r="RY60" s="79">
        <f t="shared" si="103"/>
        <v>66397.07750952986</v>
      </c>
      <c r="RZ60" s="79">
        <f t="shared" si="103"/>
        <v>66423.611111111109</v>
      </c>
      <c r="SA60" s="79">
        <f t="shared" si="103"/>
        <v>66423.611111111109</v>
      </c>
      <c r="SB60" s="79">
        <f t="shared" si="103"/>
        <v>66423.611111111109</v>
      </c>
      <c r="SC60" s="79">
        <f t="shared" si="103"/>
        <v>66423.611111111109</v>
      </c>
      <c r="SD60" s="79">
        <f t="shared" si="103"/>
        <v>65830.666994831408</v>
      </c>
      <c r="SE60" s="79">
        <f t="shared" si="103"/>
        <v>65830.666994831408</v>
      </c>
      <c r="SF60" s="79">
        <f t="shared" si="103"/>
        <v>65843.861155402919</v>
      </c>
      <c r="SG60" s="79">
        <f t="shared" si="103"/>
        <v>65878.887269193394</v>
      </c>
      <c r="SH60" s="79">
        <f t="shared" si="103"/>
        <v>65878.887269193394</v>
      </c>
      <c r="SI60" s="79">
        <f t="shared" si="103"/>
        <v>65883.031701688335</v>
      </c>
      <c r="SJ60" s="79">
        <f t="shared" si="103"/>
        <v>65883.031701688335</v>
      </c>
      <c r="SK60" s="79">
        <f t="shared" si="103"/>
        <v>65740.497250776956</v>
      </c>
      <c r="SL60" s="79">
        <f t="shared" si="103"/>
        <v>66178.261888029985</v>
      </c>
      <c r="SM60" s="79">
        <f t="shared" si="103"/>
        <v>65923.462839808664</v>
      </c>
      <c r="SN60" s="79">
        <f t="shared" si="103"/>
        <v>65923.462839808664</v>
      </c>
      <c r="SO60" s="79">
        <f t="shared" si="103"/>
        <v>65919.194257930081</v>
      </c>
      <c r="SP60" s="79">
        <f t="shared" si="103"/>
        <v>65919.194257930081</v>
      </c>
      <c r="SQ60" s="79">
        <f t="shared" si="103"/>
        <v>65919.194257930081</v>
      </c>
      <c r="SR60" s="79">
        <f t="shared" si="103"/>
        <v>65919.194257930081</v>
      </c>
      <c r="SS60" s="79">
        <f t="shared" si="103"/>
        <v>66009.461924304604</v>
      </c>
      <c r="ST60" s="79">
        <f t="shared" si="103"/>
        <v>65958.68881903906</v>
      </c>
      <c r="SU60" s="79">
        <f t="shared" si="103"/>
        <v>65957.020376350076</v>
      </c>
      <c r="SV60" s="79">
        <f t="shared" si="103"/>
        <v>65916.897506925205</v>
      </c>
      <c r="SW60" s="79">
        <f t="shared" si="103"/>
        <v>65916.897506925205</v>
      </c>
      <c r="SX60" s="79">
        <f t="shared" si="103"/>
        <v>65916.897506925205</v>
      </c>
      <c r="SY60" s="79">
        <f t="shared" si="103"/>
        <v>65919.215425531918</v>
      </c>
      <c r="SZ60" s="79">
        <f t="shared" si="103"/>
        <v>73018.062943262412</v>
      </c>
      <c r="TA60" s="79">
        <f t="shared" si="103"/>
        <v>72972.943246810377</v>
      </c>
      <c r="TB60" s="79">
        <f t="shared" si="103"/>
        <v>72979.320206797929</v>
      </c>
      <c r="TC60" s="79">
        <f t="shared" si="103"/>
        <v>72901.221225548477</v>
      </c>
      <c r="TD60" s="79">
        <f t="shared" si="103"/>
        <v>72901.221225548477</v>
      </c>
      <c r="TE60" s="79">
        <f t="shared" si="103"/>
        <v>72901.221225548477</v>
      </c>
      <c r="TF60" s="79">
        <f t="shared" si="103"/>
        <v>73775.290572535509</v>
      </c>
      <c r="TG60" s="79">
        <f t="shared" si="103"/>
        <v>71525.476387738192</v>
      </c>
      <c r="TH60" s="79">
        <f t="shared" si="103"/>
        <v>71514.408338442678</v>
      </c>
      <c r="TI60" s="79">
        <f t="shared" si="103"/>
        <v>71525.449713818482</v>
      </c>
      <c r="TJ60" s="79">
        <f t="shared" si="103"/>
        <v>71525.449713818482</v>
      </c>
      <c r="TK60" s="79">
        <f t="shared" si="103"/>
        <v>71525.449713818482</v>
      </c>
      <c r="TL60" s="79">
        <f t="shared" si="103"/>
        <v>71525.449713818482</v>
      </c>
      <c r="TM60" s="79">
        <f t="shared" si="103"/>
        <v>71240.985576923078</v>
      </c>
      <c r="TN60" s="79">
        <f t="shared" si="103"/>
        <v>70364.344861178761</v>
      </c>
      <c r="TO60" s="79">
        <f t="shared" si="103"/>
        <v>70218.788983782753</v>
      </c>
      <c r="TP60" s="79">
        <f t="shared" si="103"/>
        <v>70273.231888218972</v>
      </c>
      <c r="TQ60" s="79">
        <f t="shared" si="103"/>
        <v>70273.231888218972</v>
      </c>
      <c r="TR60" s="79">
        <f t="shared" si="103"/>
        <v>70273.231888218972</v>
      </c>
      <c r="TS60" s="79">
        <f t="shared" si="103"/>
        <v>70273.231888218972</v>
      </c>
      <c r="TT60" s="79">
        <f t="shared" si="103"/>
        <v>70273.231888218972</v>
      </c>
      <c r="TU60" s="79">
        <f t="shared" si="103"/>
        <v>69224.193400128686</v>
      </c>
      <c r="TV60" s="79">
        <f t="shared" si="103"/>
        <v>69071.480871316133</v>
      </c>
      <c r="TW60" s="79">
        <f t="shared" si="103"/>
        <v>69089.745933101804</v>
      </c>
      <c r="TX60" s="79">
        <f t="shared" si="103"/>
        <v>68904.740406320547</v>
      </c>
      <c r="TY60" s="79">
        <f t="shared" si="103"/>
        <v>68904.740406320547</v>
      </c>
      <c r="TZ60" s="79">
        <f t="shared" si="103"/>
        <v>68904.740406320547</v>
      </c>
      <c r="UA60" s="79">
        <f t="shared" si="103"/>
        <v>68861.176258343854</v>
      </c>
      <c r="UB60" s="79">
        <f t="shared" si="103"/>
        <v>68415.919873484454</v>
      </c>
      <c r="UC60" s="79">
        <f t="shared" si="103"/>
        <v>68435.141302439879</v>
      </c>
      <c r="UD60" s="79">
        <f t="shared" si="103"/>
        <v>68435.141302439879</v>
      </c>
      <c r="UE60" s="79">
        <f t="shared" si="103"/>
        <v>68471.197752019667</v>
      </c>
      <c r="UF60" s="79">
        <f t="shared" si="103"/>
        <v>68471.197752019667</v>
      </c>
      <c r="UG60" s="79">
        <f t="shared" si="103"/>
        <v>68465.050930804355</v>
      </c>
      <c r="UH60" s="79">
        <f t="shared" si="103"/>
        <v>68465.050930804355</v>
      </c>
      <c r="UI60" s="79">
        <f t="shared" si="103"/>
        <v>68476.94334650856</v>
      </c>
      <c r="UJ60" s="79">
        <f t="shared" si="103"/>
        <v>68558.202208119619</v>
      </c>
      <c r="UK60" s="79">
        <f t="shared" si="103"/>
        <v>68510.896934965698</v>
      </c>
      <c r="UL60" s="79">
        <f t="shared" si="103"/>
        <v>68510.896934965698</v>
      </c>
      <c r="UM60" s="79">
        <f t="shared" si="103"/>
        <v>68510.896934965698</v>
      </c>
      <c r="UN60" s="79">
        <f t="shared" si="103"/>
        <v>68510.896934965698</v>
      </c>
      <c r="UO60" s="79">
        <f t="shared" si="103"/>
        <v>68517.764298093593</v>
      </c>
      <c r="UP60" s="79">
        <f t="shared" si="103"/>
        <v>68516.897746967064</v>
      </c>
      <c r="UQ60" s="79">
        <f t="shared" si="103"/>
        <v>68552.745165745859</v>
      </c>
      <c r="UR60" s="79">
        <f t="shared" si="103"/>
        <v>68537.426698861673</v>
      </c>
      <c r="US60" s="79">
        <f t="shared" si="103"/>
        <v>68529.462439696756</v>
      </c>
      <c r="UT60" s="79">
        <f t="shared" si="103"/>
        <v>68529.462439696756</v>
      </c>
      <c r="UU60" s="79">
        <f t="shared" si="103"/>
        <v>68529.462439696756</v>
      </c>
      <c r="UV60" s="79">
        <f t="shared" si="103"/>
        <v>68529.462439696756</v>
      </c>
      <c r="UW60" s="79">
        <f t="shared" si="103"/>
        <v>68239.862312148427</v>
      </c>
      <c r="UX60" s="79">
        <f t="shared" si="103"/>
        <v>68178.125785110125</v>
      </c>
      <c r="UY60" s="79">
        <f t="shared" si="103"/>
        <v>68195.841995841998</v>
      </c>
      <c r="UZ60" s="79">
        <f t="shared" si="103"/>
        <v>68195.841995841998</v>
      </c>
      <c r="VA60" s="79">
        <f t="shared" si="103"/>
        <v>68195.841995841998</v>
      </c>
      <c r="VB60" s="79">
        <f t="shared" si="103"/>
        <v>68195.841995841998</v>
      </c>
      <c r="VC60" s="79">
        <f t="shared" si="103"/>
        <v>68195.979064550964</v>
      </c>
      <c r="VD60" s="79">
        <f t="shared" si="103"/>
        <v>68184.536168092352</v>
      </c>
      <c r="VE60" s="79">
        <f t="shared" si="103"/>
        <v>67959.687371452077</v>
      </c>
      <c r="VF60" s="79">
        <f t="shared" si="103"/>
        <v>67959.687371452077</v>
      </c>
      <c r="VG60" s="192">
        <f t="shared" si="103"/>
        <v>68022.773485156562</v>
      </c>
      <c r="VH60" s="192">
        <f t="shared" si="103"/>
        <v>68081.28238341969</v>
      </c>
      <c r="VI60" s="192">
        <f t="shared" si="103"/>
        <v>68077.79486764349</v>
      </c>
      <c r="VJ60" s="192">
        <f t="shared" si="103"/>
        <v>68077.79486764349</v>
      </c>
      <c r="VK60" s="192">
        <f t="shared" si="103"/>
        <v>68082.091968911918</v>
      </c>
      <c r="VL60" s="192">
        <f t="shared" si="103"/>
        <v>68082.091968911918</v>
      </c>
      <c r="VM60" s="192">
        <f t="shared" si="103"/>
        <v>68024.180591259646</v>
      </c>
      <c r="VN60" s="192">
        <f t="shared" si="103"/>
        <v>68024.180591259646</v>
      </c>
      <c r="VO60" s="192">
        <f t="shared" si="103"/>
        <v>68052.128929566257</v>
      </c>
      <c r="VP60" s="192">
        <f t="shared" si="103"/>
        <v>68052.128929566257</v>
      </c>
      <c r="VQ60" s="192">
        <f t="shared" si="103"/>
        <v>68052.128929566257</v>
      </c>
      <c r="VR60" s="192">
        <f t="shared" si="103"/>
        <v>68054.849976186699</v>
      </c>
      <c r="VS60" s="192">
        <f t="shared" si="103"/>
        <v>68129.663080185346</v>
      </c>
      <c r="VT60" s="192">
        <f t="shared" si="103"/>
        <v>68129.663080185346</v>
      </c>
      <c r="VU60" s="192">
        <f t="shared" si="103"/>
        <v>68129.663080185346</v>
      </c>
      <c r="VV60" s="192">
        <f t="shared" si="103"/>
        <v>68124.902114330456</v>
      </c>
      <c r="VW60" s="192">
        <f t="shared" si="103"/>
        <v>68124.902114330456</v>
      </c>
      <c r="VX60" s="192">
        <f t="shared" si="103"/>
        <v>68124.902114330456</v>
      </c>
      <c r="VY60" s="192">
        <f t="shared" si="103"/>
        <v>68124.902114330456</v>
      </c>
      <c r="VZ60" s="192">
        <f t="shared" si="103"/>
        <v>68124.902114330456</v>
      </c>
      <c r="WA60" s="192">
        <f t="shared" si="103"/>
        <v>72779.374077813161</v>
      </c>
      <c r="WB60" s="192">
        <f t="shared" si="103"/>
        <v>72779.374077813161</v>
      </c>
      <c r="WC60" s="192">
        <f t="shared" si="103"/>
        <v>72779.374077813161</v>
      </c>
      <c r="WD60" s="192">
        <f t="shared" si="103"/>
        <v>72779.374077813161</v>
      </c>
      <c r="WE60" s="192">
        <f t="shared" si="103"/>
        <v>72779.374077813161</v>
      </c>
      <c r="WF60" s="192">
        <f t="shared" si="103"/>
        <v>72779.374077813161</v>
      </c>
      <c r="WG60" s="192">
        <f t="shared" si="103"/>
        <v>73954.395898691553</v>
      </c>
      <c r="WH60" s="192">
        <f t="shared" si="103"/>
        <v>73954.395898691553</v>
      </c>
      <c r="WI60" s="192">
        <v>73944.189599999998</v>
      </c>
      <c r="WJ60" s="192">
        <f t="shared" ref="WJ60:WO60" si="104">WJ59/WJ8</f>
        <v>73834.583617488825</v>
      </c>
      <c r="WK60" s="192">
        <f t="shared" si="104"/>
        <v>73834.583617488825</v>
      </c>
      <c r="WL60" s="192">
        <f t="shared" si="104"/>
        <v>73834.583617488825</v>
      </c>
      <c r="WM60" s="192">
        <f t="shared" si="104"/>
        <v>73834.583617488825</v>
      </c>
      <c r="WN60" s="192">
        <f t="shared" si="104"/>
        <v>71536.953887819822</v>
      </c>
      <c r="WO60" s="192">
        <f t="shared" si="104"/>
        <v>70925.147182506305</v>
      </c>
      <c r="WP60" s="192">
        <v>70828.557449999993</v>
      </c>
      <c r="WQ60" s="192">
        <f t="shared" ref="WQ60:YB60" si="105">WQ59/WQ8</f>
        <v>70828.557450377411</v>
      </c>
      <c r="WR60" s="192">
        <f t="shared" si="105"/>
        <v>69436.274509803916</v>
      </c>
      <c r="WS60" s="192">
        <f t="shared" si="105"/>
        <v>69272.824488704719</v>
      </c>
      <c r="WT60" s="192">
        <f t="shared" si="105"/>
        <v>69088.120836356436</v>
      </c>
      <c r="WU60" s="192">
        <f t="shared" si="105"/>
        <v>69083.443271767814</v>
      </c>
      <c r="WV60" s="192">
        <f t="shared" si="105"/>
        <v>69076.846965699209</v>
      </c>
      <c r="WW60" s="192">
        <f t="shared" si="105"/>
        <v>68845.777951524622</v>
      </c>
      <c r="WX60" s="192">
        <f t="shared" si="105"/>
        <v>68811.720374220371</v>
      </c>
      <c r="WY60" s="192">
        <f t="shared" si="105"/>
        <v>68811.720374220371</v>
      </c>
      <c r="WZ60" s="192">
        <f t="shared" si="105"/>
        <v>68811.720374220371</v>
      </c>
      <c r="XA60" s="192">
        <f t="shared" si="105"/>
        <v>68810.745841995842</v>
      </c>
      <c r="XB60" s="192">
        <f t="shared" si="105"/>
        <v>68625.265051725248</v>
      </c>
      <c r="XC60" s="192">
        <f t="shared" si="105"/>
        <v>68480.301385607556</v>
      </c>
      <c r="XD60" s="192">
        <f t="shared" si="105"/>
        <v>68472.089314194571</v>
      </c>
      <c r="XE60" s="192">
        <f t="shared" si="105"/>
        <v>68416.820291144875</v>
      </c>
      <c r="XF60" s="192">
        <f t="shared" si="105"/>
        <v>68416.820291144875</v>
      </c>
      <c r="XG60" s="192">
        <f t="shared" si="105"/>
        <v>68416.820291144875</v>
      </c>
      <c r="XH60" s="192">
        <f t="shared" si="105"/>
        <v>69874.183938644856</v>
      </c>
      <c r="XI60" s="192">
        <f t="shared" si="105"/>
        <v>69897.855923091513</v>
      </c>
      <c r="XJ60" s="192">
        <f t="shared" si="105"/>
        <v>69818.29060905712</v>
      </c>
      <c r="XK60" s="192">
        <f t="shared" si="105"/>
        <v>69713.954508427851</v>
      </c>
      <c r="XL60" s="192">
        <f t="shared" si="105"/>
        <v>69606.461269801672</v>
      </c>
      <c r="XM60" s="192">
        <f t="shared" si="105"/>
        <v>69606.461269801672</v>
      </c>
      <c r="XN60" s="192">
        <f t="shared" si="105"/>
        <v>69606.461269801672</v>
      </c>
      <c r="XO60" s="192">
        <f t="shared" si="105"/>
        <v>69606.461269801672</v>
      </c>
      <c r="XP60" s="192">
        <f t="shared" si="105"/>
        <v>69371.281359259039</v>
      </c>
      <c r="XQ60" s="192">
        <f t="shared" si="105"/>
        <v>69372.469635627524</v>
      </c>
      <c r="XR60" s="192">
        <f t="shared" si="105"/>
        <v>69372.469635627524</v>
      </c>
      <c r="XS60" s="192">
        <f t="shared" si="105"/>
        <v>69372.469635627524</v>
      </c>
      <c r="XT60" s="192">
        <f t="shared" si="105"/>
        <v>69372.469635627524</v>
      </c>
      <c r="XU60" s="192">
        <f t="shared" si="105"/>
        <v>69372.469635627524</v>
      </c>
      <c r="XV60" s="192">
        <f t="shared" si="105"/>
        <v>69372.469635627524</v>
      </c>
      <c r="XW60" s="192">
        <f t="shared" si="105"/>
        <v>69660.491933999874</v>
      </c>
      <c r="XX60" s="192">
        <f t="shared" si="105"/>
        <v>69660.491933999874</v>
      </c>
      <c r="XY60" s="192">
        <f t="shared" si="105"/>
        <v>69660.491933999874</v>
      </c>
      <c r="XZ60" s="192">
        <f t="shared" si="105"/>
        <v>69650.9630720157</v>
      </c>
      <c r="YA60" s="192">
        <f t="shared" si="105"/>
        <v>69650.9630720157</v>
      </c>
      <c r="YB60" s="192">
        <f t="shared" si="105"/>
        <v>69650.9630720157</v>
      </c>
      <c r="YC60" s="193">
        <v>69651</v>
      </c>
      <c r="YD60" s="193">
        <f t="shared" ref="YD60:YF60" si="106">YD59/YD8</f>
        <v>69650.9630720157</v>
      </c>
      <c r="YE60" s="193">
        <f t="shared" si="106"/>
        <v>70537.357379462643</v>
      </c>
      <c r="YF60" s="193">
        <f t="shared" si="106"/>
        <v>70537.357379462643</v>
      </c>
      <c r="YG60" s="193">
        <f t="shared" ref="YG60:YL60" si="107">YG59/YG8</f>
        <v>70537.357379462643</v>
      </c>
      <c r="YH60" s="193">
        <f t="shared" si="107"/>
        <v>70537.357379462643</v>
      </c>
      <c r="YI60" s="193">
        <f t="shared" si="107"/>
        <v>70537.357379462643</v>
      </c>
      <c r="YJ60" s="193">
        <f t="shared" si="107"/>
        <v>70540.764370284029</v>
      </c>
      <c r="YK60" s="193">
        <f t="shared" si="107"/>
        <v>70540.764370284029</v>
      </c>
      <c r="YL60" s="193">
        <f t="shared" si="107"/>
        <v>70540.764370284029</v>
      </c>
      <c r="YM60" s="193">
        <f>YM59/YM8</f>
        <v>70540.764370284029</v>
      </c>
    </row>
    <row r="61" spans="1:663" ht="15.75" customHeight="1" x14ac:dyDescent="0.2">
      <c r="B61" s="8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/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30"/>
      <c r="HJ61" s="30"/>
      <c r="HK61" s="30"/>
      <c r="HL61" s="3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30"/>
      <c r="IB61" s="30"/>
      <c r="IC61" s="30"/>
      <c r="ID61" s="30"/>
      <c r="IE61" s="30"/>
      <c r="IF61" s="30"/>
      <c r="IG61" s="30"/>
      <c r="IH61" s="30"/>
      <c r="II61" s="30"/>
      <c r="IJ61" s="30"/>
      <c r="IK61" s="30"/>
      <c r="IL61" s="30"/>
      <c r="IM61" s="30"/>
      <c r="IN61" s="30"/>
      <c r="IO61" s="30"/>
      <c r="IP61" s="30"/>
      <c r="IQ61" s="30"/>
      <c r="IR61" s="30"/>
      <c r="IS61" s="30"/>
      <c r="IT61" s="30"/>
      <c r="IU61" s="30"/>
      <c r="IV61" s="30"/>
      <c r="IW61" s="30"/>
      <c r="IX61" s="30"/>
      <c r="IY61" s="30"/>
      <c r="IZ61" s="30"/>
      <c r="JA61" s="30"/>
      <c r="JB61" s="30"/>
      <c r="JC61" s="30"/>
      <c r="JD61" s="30"/>
      <c r="JE61" s="30"/>
      <c r="JF61" s="30"/>
      <c r="JG61" s="30"/>
      <c r="JH61" s="30"/>
      <c r="JI61" s="30"/>
      <c r="JJ61" s="30"/>
      <c r="JK61" s="30"/>
      <c r="JL61" s="30"/>
      <c r="JM61" s="30"/>
      <c r="JN61" s="30"/>
      <c r="JO61" s="30"/>
      <c r="JP61" s="30"/>
      <c r="JQ61" s="30"/>
      <c r="JR61" s="30"/>
      <c r="JS61" s="30"/>
      <c r="JT61" s="30"/>
      <c r="JU61" s="30"/>
      <c r="JV61" s="30"/>
      <c r="JW61" s="30"/>
      <c r="JX61" s="30"/>
      <c r="JY61" s="30"/>
      <c r="JZ61" s="30"/>
      <c r="KA61" s="30"/>
      <c r="KB61" s="30"/>
      <c r="KC61" s="30"/>
      <c r="KD61" s="30"/>
      <c r="KE61" s="30"/>
      <c r="KF61" s="30"/>
      <c r="KG61" s="30"/>
      <c r="KH61" s="30"/>
      <c r="KI61" s="30"/>
      <c r="KJ61" s="30"/>
      <c r="KK61" s="30"/>
      <c r="KL61" s="30"/>
      <c r="KM61" s="30"/>
      <c r="KN61" s="30"/>
      <c r="KO61" s="30"/>
      <c r="KP61" s="30"/>
      <c r="KQ61" s="30"/>
      <c r="KR61" s="30"/>
      <c r="KS61" s="30"/>
      <c r="KT61" s="30"/>
      <c r="KU61" s="30"/>
      <c r="KV61" s="30"/>
      <c r="KW61" s="30"/>
      <c r="KX61" s="30"/>
      <c r="KY61" s="30"/>
      <c r="KZ61" s="30"/>
      <c r="LA61" s="30"/>
      <c r="LB61" s="30"/>
      <c r="LC61" s="30"/>
      <c r="LD61" s="30"/>
      <c r="LE61" s="30"/>
      <c r="LF61" s="30"/>
      <c r="LG61" s="30"/>
      <c r="LH61" s="30"/>
      <c r="LI61" s="30"/>
      <c r="LJ61" s="30"/>
      <c r="LK61" s="30"/>
      <c r="LL61" s="30"/>
      <c r="LM61" s="30"/>
      <c r="LN61" s="30"/>
      <c r="LO61" s="30"/>
      <c r="LP61" s="30"/>
      <c r="LQ61" s="30"/>
      <c r="LR61" s="30"/>
      <c r="LS61" s="30"/>
      <c r="LT61" s="30"/>
      <c r="LU61" s="30"/>
      <c r="LV61" s="30"/>
      <c r="LW61" s="30"/>
      <c r="LX61" s="30"/>
      <c r="LY61" s="30"/>
      <c r="LZ61" s="30"/>
      <c r="MA61" s="30"/>
      <c r="MB61" s="30"/>
      <c r="MC61" s="30"/>
      <c r="MD61" s="30"/>
      <c r="ME61" s="30"/>
      <c r="MF61" s="30"/>
      <c r="MG61" s="30"/>
      <c r="MH61" s="30"/>
      <c r="MI61" s="30"/>
      <c r="MJ61" s="30"/>
      <c r="MK61" s="30"/>
      <c r="ML61" s="30"/>
      <c r="MM61" s="30"/>
      <c r="MN61" s="30"/>
      <c r="MO61" s="30"/>
      <c r="MP61" s="30"/>
      <c r="MQ61" s="30"/>
      <c r="MR61" s="30"/>
      <c r="MS61" s="30"/>
      <c r="MT61" s="30"/>
      <c r="MU61" s="30"/>
      <c r="MV61" s="30"/>
      <c r="MW61" s="30"/>
      <c r="MX61" s="30"/>
      <c r="MY61" s="30"/>
      <c r="MZ61" s="30"/>
      <c r="NA61" s="30"/>
      <c r="NB61" s="30"/>
      <c r="NC61" s="30"/>
      <c r="ND61" s="30"/>
      <c r="NE61" s="30"/>
      <c r="NF61" s="30"/>
      <c r="NG61" s="30"/>
      <c r="NH61" s="30"/>
      <c r="NI61" s="30"/>
      <c r="NJ61" s="30"/>
      <c r="NK61" s="30"/>
      <c r="NL61" s="30"/>
      <c r="NM61" s="30"/>
      <c r="NN61" s="30"/>
      <c r="NO61" s="30"/>
      <c r="NP61" s="30"/>
      <c r="NQ61" s="30"/>
      <c r="NR61" s="30"/>
      <c r="NS61" s="30"/>
      <c r="NT61" s="30"/>
      <c r="NU61" s="30"/>
      <c r="NV61" s="30"/>
      <c r="NW61" s="30"/>
      <c r="NX61" s="30"/>
      <c r="NY61" s="30"/>
      <c r="NZ61" s="30"/>
      <c r="OA61" s="30"/>
      <c r="OB61" s="30"/>
      <c r="OC61" s="30"/>
      <c r="OD61" s="30"/>
      <c r="OE61" s="30"/>
      <c r="OF61" s="30"/>
      <c r="OG61" s="30"/>
      <c r="OH61" s="30"/>
      <c r="OI61" s="30"/>
      <c r="OJ61" s="30"/>
      <c r="OK61" s="30"/>
      <c r="OL61" s="30"/>
      <c r="OM61" s="30"/>
      <c r="ON61" s="30"/>
      <c r="OO61" s="30"/>
      <c r="OP61" s="30"/>
      <c r="OQ61" s="30"/>
      <c r="OR61" s="30"/>
      <c r="OS61" s="30"/>
      <c r="OT61" s="30"/>
      <c r="OU61" s="30"/>
      <c r="OV61" s="30"/>
      <c r="OW61" s="30"/>
      <c r="OX61" s="30"/>
      <c r="OY61" s="30"/>
      <c r="OZ61" s="30"/>
      <c r="PA61" s="30"/>
      <c r="PB61" s="30"/>
      <c r="PC61" s="30"/>
      <c r="PD61" s="30"/>
      <c r="PE61" s="30"/>
      <c r="PF61" s="30"/>
      <c r="PG61" s="30"/>
      <c r="PH61" s="30"/>
      <c r="PI61" s="30"/>
      <c r="PJ61" s="30"/>
      <c r="PK61" s="30"/>
      <c r="PL61" s="30"/>
      <c r="PM61" s="30"/>
      <c r="PN61" s="30"/>
      <c r="PO61" s="30"/>
      <c r="PP61" s="30"/>
      <c r="PQ61" s="30"/>
      <c r="PR61" s="30"/>
      <c r="PS61" s="30"/>
      <c r="PT61" s="30"/>
      <c r="PU61" s="30"/>
      <c r="PV61" s="30"/>
      <c r="PW61" s="30"/>
      <c r="PX61" s="30"/>
      <c r="PY61" s="30"/>
      <c r="PZ61" s="30"/>
      <c r="QA61" s="30"/>
      <c r="QB61" s="30"/>
      <c r="QC61" s="30"/>
      <c r="QD61" s="30"/>
      <c r="QE61" s="30"/>
      <c r="QF61" s="30"/>
      <c r="QG61" s="30"/>
      <c r="QH61" s="30"/>
      <c r="QI61" s="30"/>
      <c r="QJ61" s="30"/>
      <c r="QK61" s="30"/>
      <c r="QL61" s="30"/>
      <c r="QM61" s="30"/>
      <c r="QN61" s="30"/>
      <c r="QO61" s="30"/>
      <c r="QP61" s="30"/>
      <c r="QQ61" s="30"/>
      <c r="QR61" s="30"/>
      <c r="QS61" s="30"/>
      <c r="QT61" s="30"/>
      <c r="QU61" s="30"/>
      <c r="QV61" s="30"/>
      <c r="QW61" s="30"/>
      <c r="QX61" s="30"/>
      <c r="QY61" s="30"/>
      <c r="QZ61" s="30"/>
      <c r="RA61" s="30"/>
      <c r="RB61" s="30"/>
      <c r="RC61" s="30"/>
      <c r="RD61" s="30"/>
      <c r="RE61" s="30"/>
      <c r="RF61" s="30"/>
      <c r="RG61" s="30"/>
      <c r="RH61" s="30"/>
      <c r="RI61" s="30"/>
      <c r="RJ61" s="30"/>
      <c r="RK61" s="30"/>
      <c r="RL61" s="30"/>
      <c r="RM61" s="30"/>
      <c r="RN61" s="30"/>
      <c r="RO61" s="30"/>
      <c r="RP61" s="30"/>
      <c r="RQ61" s="30"/>
      <c r="RR61" s="30"/>
      <c r="RS61" s="30"/>
      <c r="RT61" s="30"/>
      <c r="RU61" s="30"/>
      <c r="RV61" s="30"/>
      <c r="RW61" s="30"/>
      <c r="RX61" s="30"/>
      <c r="RY61" s="30"/>
      <c r="RZ61" s="30"/>
      <c r="SA61" s="30"/>
      <c r="SB61" s="30"/>
      <c r="SC61" s="30"/>
      <c r="SD61" s="30"/>
      <c r="SE61" s="30"/>
      <c r="SF61" s="30"/>
      <c r="SG61" s="30"/>
      <c r="SH61" s="30"/>
      <c r="SI61" s="30"/>
      <c r="SJ61" s="30"/>
      <c r="SK61" s="30"/>
      <c r="SL61" s="30"/>
      <c r="SM61" s="30"/>
      <c r="SN61" s="30"/>
      <c r="SO61" s="30"/>
      <c r="SP61" s="30"/>
      <c r="SQ61" s="30"/>
      <c r="SR61" s="30"/>
      <c r="SS61" s="30"/>
      <c r="ST61" s="30"/>
      <c r="SU61" s="30"/>
      <c r="SV61" s="30"/>
      <c r="SW61" s="30"/>
      <c r="SX61" s="30"/>
      <c r="SY61" s="30"/>
      <c r="SZ61" s="30"/>
      <c r="TA61" s="30"/>
      <c r="TB61" s="30"/>
      <c r="TC61" s="30"/>
      <c r="TD61" s="30"/>
      <c r="TE61" s="30"/>
      <c r="TF61" s="30"/>
      <c r="TG61" s="30"/>
      <c r="TH61" s="30"/>
      <c r="TI61" s="30"/>
      <c r="TJ61" s="30"/>
      <c r="TK61" s="30"/>
      <c r="TL61" s="30"/>
      <c r="TM61" s="30"/>
      <c r="TN61" s="30"/>
      <c r="TO61" s="30"/>
      <c r="TP61" s="30"/>
      <c r="TQ61" s="30"/>
      <c r="TR61" s="30"/>
      <c r="TS61" s="30"/>
      <c r="TT61" s="30"/>
      <c r="TU61" s="30"/>
      <c r="TV61" s="30"/>
      <c r="TW61" s="30"/>
      <c r="TX61" s="30"/>
      <c r="TY61" s="30"/>
      <c r="TZ61" s="30"/>
      <c r="UA61" s="30"/>
      <c r="UB61" s="30"/>
      <c r="UC61" s="30"/>
      <c r="UD61" s="30"/>
      <c r="UE61" s="30"/>
      <c r="UF61" s="30"/>
      <c r="UG61" s="30"/>
      <c r="UH61" s="30"/>
      <c r="UI61" s="30"/>
      <c r="UJ61" s="30"/>
      <c r="UK61" s="30"/>
      <c r="UL61" s="30"/>
      <c r="UM61" s="30"/>
      <c r="UN61" s="30"/>
      <c r="UO61" s="30"/>
      <c r="UP61" s="30"/>
      <c r="UQ61" s="30"/>
      <c r="UR61" s="30"/>
      <c r="US61" s="30"/>
      <c r="UT61" s="30"/>
      <c r="UU61" s="30"/>
      <c r="UV61" s="30"/>
      <c r="UW61" s="30"/>
      <c r="UX61" s="30"/>
      <c r="UY61" s="30"/>
      <c r="UZ61" s="30"/>
      <c r="VA61" s="30"/>
      <c r="VB61" s="30"/>
      <c r="VC61" s="30"/>
      <c r="VD61" s="30"/>
      <c r="VE61" s="30"/>
      <c r="VF61" s="30"/>
      <c r="VG61" s="30"/>
      <c r="VH61" s="30"/>
      <c r="VI61" s="30"/>
      <c r="VJ61" s="30"/>
      <c r="VK61" s="30"/>
      <c r="VL61" s="30"/>
      <c r="VM61" s="30"/>
      <c r="VN61" s="30"/>
      <c r="VO61" s="30"/>
      <c r="VP61" s="30"/>
      <c r="VQ61" s="30"/>
      <c r="VR61" s="30"/>
      <c r="VS61" s="30"/>
      <c r="VT61" s="30"/>
      <c r="VU61" s="30"/>
      <c r="VV61" s="30"/>
      <c r="VW61" s="30"/>
      <c r="VX61" s="30"/>
      <c r="VY61" s="30"/>
      <c r="VZ61" s="30"/>
      <c r="WA61" s="30"/>
      <c r="WB61" s="30"/>
      <c r="WC61" s="30"/>
      <c r="WD61" s="30"/>
      <c r="WE61" s="30"/>
      <c r="WF61" s="30"/>
      <c r="WG61" s="30"/>
      <c r="WH61" s="30"/>
      <c r="WI61" s="149"/>
      <c r="WJ61" s="149"/>
      <c r="WK61" s="149"/>
      <c r="WL61" s="149"/>
      <c r="WM61" s="149"/>
      <c r="WN61" s="149"/>
      <c r="WO61" s="149"/>
      <c r="WP61" s="149"/>
      <c r="WQ61" s="149"/>
      <c r="WR61" s="149"/>
      <c r="WS61" s="149"/>
      <c r="WT61" s="149"/>
      <c r="WU61" s="149"/>
      <c r="WV61" s="149"/>
      <c r="WW61" s="149"/>
      <c r="WX61" s="149"/>
      <c r="WY61" s="149"/>
      <c r="WZ61" s="149"/>
      <c r="XA61" s="149"/>
      <c r="XB61" s="149"/>
      <c r="XC61" s="149"/>
      <c r="XD61" s="149"/>
      <c r="XE61" s="149"/>
      <c r="XF61" s="149"/>
      <c r="XG61" s="149"/>
      <c r="XH61" s="149"/>
      <c r="XI61" s="149"/>
      <c r="XJ61" s="149"/>
      <c r="XK61" s="149"/>
      <c r="XL61" s="149"/>
      <c r="XM61" s="149"/>
      <c r="XN61" s="149"/>
      <c r="XO61" s="149"/>
      <c r="XP61" s="149"/>
      <c r="XQ61" s="149"/>
      <c r="XR61" s="149"/>
      <c r="XS61" s="149"/>
      <c r="XT61" s="149"/>
      <c r="XU61" s="149"/>
      <c r="XV61" s="149"/>
      <c r="XW61" s="149"/>
      <c r="XX61" s="149"/>
      <c r="XY61" s="149"/>
      <c r="XZ61" s="149"/>
      <c r="YA61" s="149"/>
      <c r="YB61" s="149"/>
      <c r="YC61" s="149"/>
      <c r="YD61" s="149"/>
      <c r="YE61" s="149"/>
      <c r="YF61" s="149"/>
      <c r="YG61" s="149"/>
      <c r="YH61" s="149"/>
      <c r="YI61" s="149"/>
      <c r="YJ61" s="149"/>
      <c r="YK61" s="149"/>
      <c r="YL61" s="149"/>
      <c r="YM61" s="149"/>
    </row>
    <row r="62" spans="1:663" ht="15.75" customHeight="1" x14ac:dyDescent="0.2">
      <c r="B62" s="8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0"/>
      <c r="GW62" s="30"/>
      <c r="GX62" s="30"/>
      <c r="GY62" s="30"/>
      <c r="GZ62" s="30"/>
      <c r="HA62" s="30"/>
      <c r="HB62" s="30"/>
      <c r="HC62" s="30"/>
      <c r="HD62" s="30"/>
      <c r="HE62" s="30"/>
      <c r="HF62" s="30"/>
      <c r="HG62" s="30"/>
      <c r="HH62" s="30"/>
      <c r="HI62" s="30"/>
      <c r="HJ62" s="30"/>
      <c r="HK62" s="30"/>
      <c r="HL62" s="30"/>
      <c r="HM62" s="30"/>
      <c r="HN62" s="30"/>
      <c r="HO62" s="30"/>
      <c r="HP62" s="30"/>
      <c r="HQ62" s="30"/>
      <c r="HR62" s="30"/>
      <c r="HS62" s="30"/>
      <c r="HT62" s="30"/>
      <c r="HU62" s="30"/>
      <c r="HV62" s="30"/>
      <c r="HW62" s="30"/>
      <c r="HX62" s="30"/>
      <c r="HY62" s="30"/>
      <c r="HZ62" s="30"/>
      <c r="IA62" s="30"/>
      <c r="IB62" s="30"/>
      <c r="IC62" s="30"/>
      <c r="ID62" s="30"/>
      <c r="IE62" s="30"/>
      <c r="IF62" s="30"/>
      <c r="IG62" s="30"/>
      <c r="IH62" s="30"/>
      <c r="II62" s="30"/>
      <c r="IJ62" s="30"/>
      <c r="IK62" s="30"/>
      <c r="IL62" s="30"/>
      <c r="IM62" s="30"/>
      <c r="IN62" s="30"/>
      <c r="IO62" s="30"/>
      <c r="IP62" s="30"/>
      <c r="IQ62" s="30"/>
      <c r="IR62" s="30"/>
      <c r="IS62" s="30"/>
      <c r="IT62" s="30"/>
      <c r="IU62" s="30"/>
      <c r="IV62" s="30"/>
      <c r="IW62" s="30"/>
      <c r="IX62" s="30"/>
      <c r="IY62" s="30"/>
      <c r="IZ62" s="30"/>
      <c r="JA62" s="30"/>
      <c r="JB62" s="30"/>
      <c r="JC62" s="30"/>
      <c r="JD62" s="30"/>
      <c r="JE62" s="30"/>
      <c r="JF62" s="30"/>
      <c r="JG62" s="30"/>
      <c r="JH62" s="30"/>
      <c r="JI62" s="30"/>
      <c r="JJ62" s="30"/>
      <c r="JK62" s="30"/>
      <c r="JL62" s="30"/>
      <c r="JM62" s="30"/>
      <c r="JN62" s="30"/>
      <c r="JO62" s="30"/>
      <c r="JP62" s="30"/>
      <c r="JQ62" s="30"/>
      <c r="JR62" s="30"/>
      <c r="JS62" s="30"/>
      <c r="JT62" s="30"/>
      <c r="JU62" s="30"/>
      <c r="JV62" s="30"/>
      <c r="JW62" s="30"/>
      <c r="JX62" s="30"/>
      <c r="JY62" s="30"/>
      <c r="JZ62" s="30"/>
      <c r="KA62" s="30"/>
      <c r="KB62" s="30"/>
      <c r="KC62" s="30"/>
      <c r="KD62" s="30"/>
      <c r="KE62" s="30"/>
      <c r="KF62" s="30"/>
      <c r="KG62" s="30"/>
      <c r="KH62" s="30"/>
      <c r="KI62" s="30"/>
      <c r="KJ62" s="30"/>
      <c r="KK62" s="30"/>
      <c r="KL62" s="30"/>
      <c r="KM62" s="30"/>
      <c r="KN62" s="30"/>
      <c r="KO62" s="30"/>
      <c r="KP62" s="30"/>
      <c r="KQ62" s="30"/>
      <c r="KR62" s="30"/>
      <c r="KS62" s="30"/>
      <c r="KT62" s="30"/>
      <c r="KU62" s="30"/>
      <c r="KV62" s="30"/>
      <c r="KW62" s="30"/>
      <c r="KX62" s="30"/>
      <c r="KY62" s="30"/>
      <c r="KZ62" s="30"/>
      <c r="LA62" s="30"/>
      <c r="LB62" s="30"/>
      <c r="LC62" s="30"/>
      <c r="LD62" s="30"/>
      <c r="LE62" s="30"/>
      <c r="LF62" s="30"/>
      <c r="LG62" s="30"/>
      <c r="LH62" s="30"/>
      <c r="LI62" s="30"/>
      <c r="LJ62" s="30"/>
      <c r="LK62" s="30"/>
      <c r="LL62" s="30"/>
      <c r="LM62" s="30"/>
      <c r="LN62" s="30"/>
      <c r="LO62" s="30"/>
      <c r="LP62" s="30"/>
      <c r="LQ62" s="30"/>
      <c r="LR62" s="30"/>
      <c r="LS62" s="30"/>
      <c r="LT62" s="30"/>
      <c r="LU62" s="30"/>
      <c r="LV62" s="30"/>
      <c r="LW62" s="30"/>
      <c r="LX62" s="30"/>
      <c r="LY62" s="30"/>
      <c r="LZ62" s="30"/>
      <c r="MA62" s="30"/>
      <c r="MB62" s="30"/>
      <c r="MC62" s="30"/>
      <c r="MD62" s="30"/>
      <c r="ME62" s="30"/>
      <c r="MF62" s="30"/>
      <c r="MG62" s="30"/>
      <c r="MH62" s="30"/>
      <c r="MI62" s="30"/>
      <c r="MJ62" s="30"/>
      <c r="MK62" s="30"/>
      <c r="ML62" s="30"/>
      <c r="MM62" s="30"/>
      <c r="MN62" s="30"/>
      <c r="MO62" s="30"/>
      <c r="MP62" s="30"/>
      <c r="MQ62" s="30"/>
      <c r="MR62" s="30"/>
      <c r="MS62" s="30"/>
      <c r="MT62" s="30"/>
      <c r="MU62" s="30"/>
      <c r="MV62" s="30"/>
      <c r="MW62" s="30"/>
      <c r="MX62" s="30"/>
      <c r="MY62" s="30"/>
      <c r="MZ62" s="30"/>
      <c r="NA62" s="30"/>
      <c r="NB62" s="30"/>
      <c r="NC62" s="30"/>
      <c r="ND62" s="30"/>
      <c r="NE62" s="30"/>
      <c r="NF62" s="30"/>
      <c r="NG62" s="30"/>
      <c r="NH62" s="30"/>
      <c r="NI62" s="30"/>
      <c r="NJ62" s="30"/>
      <c r="NK62" s="30"/>
      <c r="NL62" s="30"/>
      <c r="NM62" s="30"/>
      <c r="NN62" s="30"/>
      <c r="NO62" s="30"/>
      <c r="NP62" s="30"/>
      <c r="NQ62" s="30"/>
      <c r="NR62" s="30"/>
      <c r="NS62" s="30"/>
      <c r="NT62" s="30"/>
      <c r="NU62" s="30"/>
      <c r="NV62" s="30"/>
      <c r="NW62" s="30"/>
      <c r="NX62" s="30"/>
      <c r="NY62" s="30"/>
      <c r="NZ62" s="30"/>
      <c r="OA62" s="30"/>
      <c r="OB62" s="30"/>
      <c r="OC62" s="30"/>
      <c r="OD62" s="30"/>
      <c r="OE62" s="30"/>
      <c r="OF62" s="30"/>
      <c r="OG62" s="30"/>
      <c r="OH62" s="30"/>
      <c r="OI62" s="30"/>
      <c r="OJ62" s="30"/>
      <c r="OK62" s="30"/>
      <c r="OL62" s="30"/>
      <c r="OM62" s="30"/>
      <c r="ON62" s="30"/>
      <c r="OO62" s="30"/>
      <c r="OP62" s="30"/>
      <c r="OQ62" s="30"/>
      <c r="OR62" s="30"/>
      <c r="OS62" s="30"/>
      <c r="OT62" s="30"/>
      <c r="OU62" s="30"/>
      <c r="OV62" s="30"/>
      <c r="OW62" s="30"/>
      <c r="OX62" s="30"/>
      <c r="OY62" s="30"/>
      <c r="OZ62" s="30"/>
      <c r="PA62" s="30"/>
      <c r="PB62" s="30"/>
      <c r="PC62" s="30"/>
      <c r="PD62" s="30"/>
      <c r="PE62" s="30"/>
      <c r="PF62" s="30"/>
      <c r="PG62" s="30"/>
      <c r="PH62" s="30"/>
      <c r="PI62" s="30"/>
      <c r="PJ62" s="30"/>
      <c r="PK62" s="30"/>
      <c r="PL62" s="30"/>
      <c r="PM62" s="30"/>
      <c r="PN62" s="30"/>
      <c r="PO62" s="30"/>
      <c r="PP62" s="30"/>
      <c r="PQ62" s="30"/>
      <c r="PR62" s="30"/>
      <c r="PS62" s="30"/>
      <c r="PT62" s="30"/>
      <c r="PU62" s="30"/>
      <c r="PV62" s="30"/>
      <c r="PW62" s="30"/>
      <c r="PX62" s="30"/>
      <c r="PY62" s="30"/>
      <c r="PZ62" s="30"/>
      <c r="QA62" s="30"/>
      <c r="QB62" s="30"/>
      <c r="QC62" s="30"/>
      <c r="QD62" s="30"/>
      <c r="QE62" s="30"/>
      <c r="QF62" s="30"/>
      <c r="QG62" s="30"/>
      <c r="QH62" s="30"/>
      <c r="QI62" s="30"/>
      <c r="QJ62" s="30"/>
      <c r="QK62" s="30"/>
      <c r="QL62" s="30"/>
      <c r="QM62" s="30"/>
      <c r="QN62" s="30"/>
      <c r="QO62" s="30"/>
      <c r="QP62" s="30"/>
      <c r="QQ62" s="30"/>
      <c r="QR62" s="30"/>
      <c r="QS62" s="30"/>
      <c r="QT62" s="30"/>
      <c r="QU62" s="30"/>
      <c r="QV62" s="30"/>
      <c r="QW62" s="30"/>
      <c r="QX62" s="30"/>
      <c r="QY62" s="30"/>
      <c r="QZ62" s="30"/>
      <c r="RA62" s="30"/>
      <c r="RB62" s="30"/>
      <c r="RC62" s="30"/>
      <c r="RD62" s="30"/>
      <c r="RE62" s="30"/>
      <c r="RF62" s="30"/>
      <c r="RG62" s="30"/>
      <c r="RH62" s="30"/>
      <c r="RI62" s="30"/>
      <c r="RJ62" s="30"/>
      <c r="RK62" s="30"/>
      <c r="RL62" s="30"/>
      <c r="RM62" s="30"/>
      <c r="RN62" s="30"/>
      <c r="RO62" s="30"/>
      <c r="RP62" s="30"/>
      <c r="RQ62" s="30"/>
      <c r="RR62" s="30"/>
      <c r="RS62" s="30"/>
      <c r="RT62" s="30"/>
      <c r="RU62" s="30"/>
      <c r="RV62" s="30"/>
      <c r="RW62" s="30"/>
      <c r="RX62" s="30"/>
      <c r="RY62" s="30"/>
      <c r="RZ62" s="30"/>
      <c r="SA62" s="30"/>
      <c r="SB62" s="30"/>
      <c r="SC62" s="30"/>
      <c r="SD62" s="30"/>
      <c r="SE62" s="30"/>
      <c r="SF62" s="30"/>
      <c r="SG62" s="30"/>
      <c r="SH62" s="30"/>
      <c r="SI62" s="30"/>
      <c r="SJ62" s="30"/>
      <c r="SK62" s="30"/>
      <c r="SL62" s="30"/>
      <c r="SM62" s="30"/>
      <c r="SN62" s="30"/>
      <c r="SO62" s="30"/>
      <c r="SP62" s="30"/>
      <c r="SQ62" s="30"/>
      <c r="SR62" s="30"/>
      <c r="SS62" s="30"/>
      <c r="ST62" s="30"/>
      <c r="SU62" s="30"/>
      <c r="SV62" s="30"/>
      <c r="SW62" s="30"/>
      <c r="SX62" s="30"/>
      <c r="SY62" s="30"/>
      <c r="SZ62" s="30"/>
      <c r="TA62" s="30"/>
      <c r="TB62" s="30"/>
      <c r="TC62" s="30"/>
      <c r="TD62" s="30"/>
      <c r="TE62" s="30"/>
      <c r="TF62" s="30"/>
      <c r="TG62" s="30"/>
      <c r="TH62" s="30"/>
      <c r="TI62" s="30"/>
      <c r="TJ62" s="30"/>
      <c r="TK62" s="30"/>
      <c r="TL62" s="30"/>
      <c r="TM62" s="30"/>
      <c r="TN62" s="30"/>
      <c r="TO62" s="30"/>
      <c r="TP62" s="30"/>
      <c r="TQ62" s="30"/>
      <c r="TR62" s="30"/>
      <c r="TS62" s="30"/>
      <c r="TT62" s="30"/>
      <c r="TU62" s="30"/>
      <c r="TV62" s="30"/>
      <c r="TW62" s="30"/>
      <c r="TX62" s="30"/>
      <c r="TY62" s="30"/>
      <c r="TZ62" s="30"/>
      <c r="UA62" s="30"/>
      <c r="UB62" s="30"/>
      <c r="UC62" s="30"/>
      <c r="UD62" s="30"/>
      <c r="UE62" s="30"/>
      <c r="UF62" s="30"/>
      <c r="UG62" s="30"/>
      <c r="UH62" s="30"/>
      <c r="UI62" s="30"/>
      <c r="UJ62" s="30"/>
      <c r="UK62" s="30"/>
      <c r="UL62" s="30"/>
      <c r="UM62" s="30"/>
      <c r="UN62" s="30"/>
      <c r="UO62" s="30"/>
      <c r="UP62" s="30"/>
      <c r="UQ62" s="30"/>
      <c r="UR62" s="30"/>
      <c r="US62" s="30"/>
      <c r="UT62" s="30"/>
      <c r="UU62" s="30"/>
      <c r="UV62" s="30"/>
      <c r="UW62" s="30"/>
      <c r="UX62" s="30"/>
      <c r="UY62" s="30"/>
      <c r="UZ62" s="30"/>
      <c r="VA62" s="30"/>
      <c r="VB62" s="30"/>
      <c r="VC62" s="30"/>
      <c r="VD62" s="30"/>
      <c r="VE62" s="30"/>
      <c r="VF62" s="30"/>
      <c r="VG62" s="30"/>
      <c r="VH62" s="30"/>
      <c r="VI62" s="30"/>
      <c r="VJ62" s="30"/>
      <c r="VK62" s="30"/>
      <c r="VL62" s="30"/>
      <c r="VM62" s="30"/>
      <c r="VN62" s="30"/>
      <c r="VO62" s="30"/>
      <c r="VP62" s="30"/>
      <c r="VQ62" s="30"/>
      <c r="VR62" s="30"/>
      <c r="VS62" s="30"/>
      <c r="VT62" s="30"/>
      <c r="VU62" s="30"/>
      <c r="VV62" s="30"/>
      <c r="VW62" s="30"/>
      <c r="VX62" s="30"/>
      <c r="VY62" s="30"/>
      <c r="VZ62" s="30"/>
      <c r="WA62" s="64"/>
      <c r="WB62" s="30"/>
      <c r="WC62" s="30"/>
      <c r="WD62" s="30"/>
      <c r="WE62" s="30"/>
      <c r="WF62" s="30"/>
      <c r="WG62" s="30"/>
      <c r="WH62" s="30"/>
      <c r="WI62" s="30"/>
      <c r="WJ62" s="30"/>
      <c r="WK62" s="30"/>
      <c r="WL62" s="30"/>
      <c r="WM62" s="30"/>
      <c r="WN62" s="30"/>
      <c r="WO62" s="30"/>
      <c r="WP62" s="30"/>
      <c r="WQ62" s="30"/>
      <c r="WR62" s="30"/>
      <c r="WS62" s="30"/>
      <c r="WT62" s="30"/>
      <c r="WU62" s="30"/>
      <c r="WV62" s="30"/>
      <c r="WW62" s="30"/>
      <c r="WX62" s="30"/>
      <c r="WY62" s="30"/>
      <c r="WZ62" s="30"/>
      <c r="XA62" s="30"/>
      <c r="XB62" s="30"/>
      <c r="XC62" s="30"/>
      <c r="XD62" s="30"/>
      <c r="XE62" s="30"/>
      <c r="XF62" s="30"/>
      <c r="XG62" s="30"/>
      <c r="XH62" s="30"/>
      <c r="XI62" s="30"/>
      <c r="XJ62" s="30"/>
      <c r="XK62" s="30"/>
      <c r="XL62" s="30"/>
      <c r="XM62" s="30"/>
      <c r="XN62" s="30"/>
      <c r="XO62" s="30"/>
      <c r="XP62" s="30"/>
      <c r="XQ62" s="30"/>
      <c r="XR62" s="30"/>
      <c r="XS62" s="30"/>
      <c r="XT62" s="30"/>
      <c r="XU62" s="30"/>
      <c r="XV62" s="30"/>
      <c r="XW62" s="30"/>
      <c r="XX62" s="30"/>
      <c r="XY62" s="30"/>
      <c r="XZ62" s="30"/>
      <c r="YA62" s="30"/>
      <c r="YB62" s="30"/>
      <c r="YC62" s="30"/>
      <c r="YD62" s="30"/>
      <c r="YE62" s="30"/>
      <c r="YF62" s="30"/>
      <c r="YG62" s="30"/>
      <c r="YH62" s="30"/>
      <c r="YI62" s="30"/>
      <c r="YJ62" s="30"/>
      <c r="YK62" s="30"/>
      <c r="YL62" s="30"/>
      <c r="YM62" s="30"/>
    </row>
    <row r="63" spans="1:663" ht="15.75" customHeight="1" x14ac:dyDescent="0.2">
      <c r="B63" s="8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30"/>
      <c r="GX63" s="30"/>
      <c r="GY63" s="30"/>
      <c r="GZ63" s="30"/>
      <c r="HA63" s="30"/>
      <c r="HB63" s="30"/>
      <c r="HC63" s="30"/>
      <c r="HD63" s="30"/>
      <c r="HE63" s="30"/>
      <c r="HF63" s="30"/>
      <c r="HG63" s="30"/>
      <c r="HH63" s="30"/>
      <c r="HI63" s="30"/>
      <c r="HJ63" s="30"/>
      <c r="HK63" s="30"/>
      <c r="HL63" s="30"/>
      <c r="HM63" s="30"/>
      <c r="HN63" s="30"/>
      <c r="HO63" s="30"/>
      <c r="HP63" s="30"/>
      <c r="HQ63" s="30"/>
      <c r="HR63" s="30"/>
      <c r="HS63" s="30"/>
      <c r="HT63" s="30"/>
      <c r="HU63" s="30"/>
      <c r="HV63" s="30"/>
      <c r="HW63" s="30"/>
      <c r="HX63" s="30"/>
      <c r="HY63" s="30"/>
      <c r="HZ63" s="30"/>
      <c r="IA63" s="30"/>
      <c r="IB63" s="30"/>
      <c r="IC63" s="30"/>
      <c r="ID63" s="30"/>
      <c r="IE63" s="30"/>
      <c r="IF63" s="30"/>
      <c r="IG63" s="30"/>
      <c r="IH63" s="30"/>
      <c r="II63" s="30"/>
      <c r="IJ63" s="30"/>
      <c r="IK63" s="30"/>
      <c r="IL63" s="30"/>
      <c r="IM63" s="30"/>
      <c r="IN63" s="30"/>
      <c r="IO63" s="30"/>
      <c r="IP63" s="30"/>
      <c r="IQ63" s="30"/>
      <c r="IR63" s="30"/>
      <c r="IS63" s="30"/>
      <c r="IT63" s="30"/>
      <c r="IU63" s="30"/>
      <c r="IV63" s="30"/>
      <c r="IW63" s="30"/>
      <c r="IX63" s="30"/>
      <c r="IY63" s="30"/>
      <c r="IZ63" s="30"/>
      <c r="JA63" s="30"/>
      <c r="JB63" s="30"/>
      <c r="JC63" s="30"/>
      <c r="JD63" s="30"/>
      <c r="JE63" s="30"/>
      <c r="JF63" s="30"/>
      <c r="JG63" s="30"/>
      <c r="JH63" s="30"/>
      <c r="JI63" s="30"/>
      <c r="JJ63" s="30"/>
      <c r="JK63" s="30"/>
      <c r="JL63" s="30"/>
      <c r="JM63" s="30"/>
      <c r="JN63" s="30"/>
      <c r="JO63" s="30"/>
      <c r="JP63" s="30"/>
      <c r="JQ63" s="30"/>
      <c r="JR63" s="30"/>
      <c r="JS63" s="30"/>
      <c r="JT63" s="30"/>
      <c r="JU63" s="30"/>
      <c r="JV63" s="30"/>
      <c r="JW63" s="30"/>
      <c r="JX63" s="30"/>
      <c r="JY63" s="30"/>
      <c r="JZ63" s="30"/>
      <c r="KA63" s="30"/>
      <c r="KB63" s="30"/>
      <c r="KC63" s="30"/>
      <c r="KD63" s="30"/>
      <c r="KE63" s="30"/>
      <c r="KF63" s="30"/>
      <c r="KG63" s="30"/>
      <c r="KH63" s="30"/>
      <c r="KI63" s="30"/>
      <c r="KJ63" s="30"/>
      <c r="KK63" s="30"/>
      <c r="KL63" s="30"/>
      <c r="KM63" s="30"/>
      <c r="KN63" s="30"/>
      <c r="KO63" s="30"/>
      <c r="KP63" s="30"/>
      <c r="KQ63" s="30"/>
      <c r="KR63" s="30"/>
      <c r="KS63" s="30"/>
      <c r="KT63" s="30"/>
      <c r="KU63" s="30"/>
      <c r="KV63" s="30"/>
      <c r="KW63" s="30"/>
      <c r="KX63" s="30"/>
      <c r="KY63" s="30"/>
      <c r="KZ63" s="30"/>
      <c r="LA63" s="30"/>
      <c r="LB63" s="30"/>
      <c r="LC63" s="30"/>
      <c r="LD63" s="30"/>
      <c r="LE63" s="30"/>
      <c r="LF63" s="30"/>
      <c r="LG63" s="30"/>
      <c r="LH63" s="30"/>
      <c r="LI63" s="30"/>
      <c r="LJ63" s="30"/>
      <c r="LK63" s="30"/>
      <c r="LL63" s="30"/>
      <c r="LM63" s="30"/>
      <c r="LN63" s="30"/>
      <c r="LO63" s="30"/>
      <c r="LP63" s="30"/>
      <c r="LQ63" s="30"/>
      <c r="LR63" s="30"/>
      <c r="LS63" s="30"/>
      <c r="LT63" s="30"/>
      <c r="LU63" s="30"/>
      <c r="LV63" s="30"/>
      <c r="LW63" s="30"/>
      <c r="LX63" s="30"/>
      <c r="LY63" s="30"/>
      <c r="LZ63" s="30"/>
      <c r="MA63" s="30"/>
      <c r="MB63" s="30"/>
      <c r="MC63" s="30"/>
      <c r="MD63" s="30"/>
      <c r="ME63" s="30"/>
      <c r="MF63" s="30"/>
      <c r="MG63" s="30"/>
      <c r="MH63" s="30"/>
      <c r="MI63" s="30"/>
      <c r="MJ63" s="30"/>
      <c r="MK63" s="30"/>
      <c r="ML63" s="30"/>
      <c r="MM63" s="30"/>
      <c r="MN63" s="30"/>
      <c r="MO63" s="30"/>
      <c r="MP63" s="30"/>
      <c r="MQ63" s="30"/>
      <c r="MR63" s="30"/>
      <c r="MS63" s="30"/>
      <c r="MT63" s="30"/>
      <c r="MU63" s="30"/>
      <c r="MV63" s="30"/>
      <c r="MW63" s="30"/>
      <c r="MX63" s="30"/>
      <c r="MY63" s="30"/>
      <c r="MZ63" s="30"/>
      <c r="NA63" s="30"/>
      <c r="NB63" s="30"/>
      <c r="NC63" s="30"/>
      <c r="ND63" s="30"/>
      <c r="NE63" s="30"/>
      <c r="NF63" s="30"/>
      <c r="NG63" s="30"/>
      <c r="NH63" s="30"/>
      <c r="NI63" s="30"/>
      <c r="NJ63" s="30"/>
      <c r="NK63" s="30"/>
      <c r="NL63" s="30"/>
      <c r="NM63" s="30"/>
      <c r="NN63" s="30"/>
      <c r="NO63" s="30"/>
      <c r="NP63" s="30"/>
      <c r="NQ63" s="30"/>
      <c r="NR63" s="30"/>
      <c r="NS63" s="30"/>
      <c r="NT63" s="30"/>
      <c r="NU63" s="30"/>
      <c r="NV63" s="30"/>
      <c r="NW63" s="30"/>
      <c r="NX63" s="30"/>
      <c r="NY63" s="30"/>
      <c r="NZ63" s="30"/>
      <c r="OA63" s="30"/>
      <c r="OB63" s="30"/>
      <c r="OC63" s="30"/>
      <c r="OD63" s="30"/>
      <c r="OE63" s="30"/>
      <c r="OF63" s="30"/>
      <c r="OG63" s="30"/>
      <c r="OH63" s="30"/>
      <c r="OI63" s="30"/>
      <c r="OJ63" s="30"/>
      <c r="OK63" s="30"/>
      <c r="OL63" s="30"/>
      <c r="OM63" s="30"/>
      <c r="ON63" s="30"/>
      <c r="OO63" s="30"/>
      <c r="OP63" s="30"/>
      <c r="OQ63" s="30"/>
      <c r="OR63" s="30"/>
      <c r="OS63" s="30"/>
      <c r="OT63" s="30"/>
      <c r="OU63" s="30"/>
      <c r="OV63" s="30"/>
      <c r="OW63" s="30"/>
      <c r="OX63" s="30"/>
      <c r="OY63" s="30"/>
      <c r="OZ63" s="30"/>
      <c r="PA63" s="30"/>
      <c r="PB63" s="30"/>
      <c r="PC63" s="30"/>
      <c r="PD63" s="30"/>
      <c r="PE63" s="30"/>
      <c r="PF63" s="30"/>
      <c r="PG63" s="30"/>
      <c r="PH63" s="30"/>
      <c r="PI63" s="30"/>
      <c r="PJ63" s="30"/>
      <c r="PK63" s="30"/>
      <c r="PL63" s="30"/>
      <c r="PM63" s="30"/>
      <c r="PN63" s="30"/>
      <c r="PO63" s="30"/>
      <c r="PP63" s="30"/>
      <c r="PQ63" s="30"/>
      <c r="PR63" s="30"/>
      <c r="PS63" s="30"/>
      <c r="PT63" s="30"/>
      <c r="PU63" s="30"/>
      <c r="PV63" s="30"/>
      <c r="PW63" s="30"/>
      <c r="PX63" s="30"/>
      <c r="PY63" s="30"/>
      <c r="PZ63" s="30"/>
      <c r="QA63" s="30"/>
      <c r="QB63" s="30"/>
      <c r="QC63" s="30"/>
      <c r="QD63" s="30"/>
      <c r="QE63" s="30"/>
      <c r="QF63" s="30"/>
      <c r="QG63" s="30"/>
      <c r="QH63" s="30"/>
      <c r="QI63" s="30"/>
      <c r="QJ63" s="30"/>
      <c r="QK63" s="30"/>
      <c r="QL63" s="30"/>
      <c r="QM63" s="30"/>
      <c r="QN63" s="30"/>
      <c r="QO63" s="30"/>
      <c r="QP63" s="30"/>
      <c r="QQ63" s="30"/>
      <c r="QR63" s="30"/>
      <c r="QS63" s="30"/>
      <c r="QT63" s="30"/>
      <c r="QU63" s="30"/>
      <c r="QV63" s="30"/>
      <c r="QW63" s="30"/>
      <c r="QX63" s="30"/>
      <c r="QY63" s="30"/>
      <c r="QZ63" s="30"/>
      <c r="RA63" s="30"/>
      <c r="RB63" s="30"/>
      <c r="RC63" s="30"/>
      <c r="RD63" s="30"/>
      <c r="RE63" s="30"/>
      <c r="RF63" s="30"/>
      <c r="RG63" s="30"/>
      <c r="RH63" s="30"/>
      <c r="RI63" s="30"/>
      <c r="RJ63" s="30"/>
      <c r="RK63" s="30"/>
      <c r="RL63" s="30"/>
      <c r="RM63" s="30"/>
      <c r="RN63" s="30"/>
      <c r="RO63" s="30"/>
      <c r="RP63" s="30"/>
      <c r="RQ63" s="30"/>
      <c r="RR63" s="30"/>
      <c r="RS63" s="30"/>
      <c r="RT63" s="30"/>
      <c r="RU63" s="30"/>
      <c r="RV63" s="30"/>
      <c r="RW63" s="30"/>
      <c r="RX63" s="30"/>
      <c r="RY63" s="30"/>
      <c r="RZ63" s="30"/>
      <c r="SA63" s="30"/>
      <c r="SB63" s="30"/>
      <c r="SC63" s="30"/>
      <c r="SD63" s="30"/>
      <c r="SE63" s="30"/>
      <c r="SF63" s="30"/>
      <c r="SG63" s="30"/>
      <c r="SH63" s="30"/>
      <c r="SI63" s="30"/>
      <c r="SJ63" s="30"/>
      <c r="SK63" s="30"/>
      <c r="SL63" s="30"/>
      <c r="SM63" s="30"/>
      <c r="SN63" s="30"/>
      <c r="SO63" s="30"/>
      <c r="SP63" s="30"/>
      <c r="SQ63" s="30"/>
      <c r="SR63" s="30"/>
      <c r="SS63" s="30"/>
      <c r="ST63" s="30"/>
      <c r="SU63" s="30"/>
      <c r="SV63" s="30"/>
      <c r="SW63" s="30"/>
      <c r="SX63" s="30"/>
      <c r="SY63" s="30"/>
      <c r="SZ63" s="30"/>
      <c r="TA63" s="30"/>
      <c r="TB63" s="30"/>
      <c r="TC63" s="30"/>
      <c r="TD63" s="30"/>
      <c r="TE63" s="30"/>
      <c r="TF63" s="30"/>
      <c r="TG63" s="30"/>
      <c r="TH63" s="30"/>
      <c r="TI63" s="30"/>
      <c r="TJ63" s="30"/>
      <c r="TK63" s="30"/>
      <c r="TL63" s="30"/>
      <c r="TM63" s="30"/>
      <c r="TN63" s="30"/>
      <c r="TO63" s="30"/>
      <c r="TP63" s="30"/>
      <c r="TQ63" s="30"/>
      <c r="TR63" s="30"/>
      <c r="TS63" s="30"/>
      <c r="TT63" s="30"/>
      <c r="TU63" s="30"/>
      <c r="TV63" s="30"/>
      <c r="TW63" s="30"/>
      <c r="TX63" s="30"/>
      <c r="TY63" s="30"/>
      <c r="TZ63" s="30"/>
      <c r="UA63" s="30"/>
      <c r="UB63" s="30"/>
      <c r="UC63" s="30"/>
      <c r="UD63" s="30"/>
      <c r="UE63" s="30"/>
      <c r="UF63" s="30"/>
      <c r="UG63" s="30"/>
      <c r="UH63" s="30"/>
      <c r="UI63" s="30"/>
      <c r="UJ63" s="30"/>
      <c r="UK63" s="30"/>
      <c r="UL63" s="30"/>
      <c r="UM63" s="30"/>
      <c r="UN63" s="30"/>
      <c r="UO63" s="30"/>
      <c r="UP63" s="30"/>
      <c r="UQ63" s="30"/>
      <c r="UR63" s="30"/>
      <c r="US63" s="30"/>
      <c r="UT63" s="30"/>
      <c r="UU63" s="30"/>
      <c r="UV63" s="30"/>
      <c r="UW63" s="65"/>
      <c r="UX63" s="30"/>
      <c r="UY63" s="30"/>
      <c r="UZ63" s="30"/>
      <c r="VA63" s="30"/>
      <c r="VB63" s="30"/>
      <c r="VC63" s="30"/>
      <c r="VD63" s="30"/>
      <c r="VE63" s="30"/>
      <c r="VF63" s="30"/>
      <c r="VG63" s="30"/>
      <c r="VH63" s="30"/>
      <c r="VI63" s="30"/>
      <c r="VJ63" s="30"/>
      <c r="VK63" s="30"/>
      <c r="VL63" s="30"/>
      <c r="VM63" s="30"/>
      <c r="VN63" s="30"/>
      <c r="VO63" s="30"/>
      <c r="VP63" s="30"/>
      <c r="VQ63" s="30"/>
      <c r="VR63" s="30"/>
      <c r="VS63" s="30"/>
      <c r="VT63" s="30"/>
      <c r="VU63" s="30"/>
      <c r="VV63" s="30"/>
      <c r="VW63" s="30"/>
      <c r="VX63" s="30"/>
      <c r="VY63" s="30"/>
      <c r="VZ63" s="30"/>
      <c r="WA63" s="194"/>
      <c r="WB63" s="30"/>
      <c r="WC63" s="30"/>
      <c r="WD63" s="30"/>
      <c r="WE63" s="30"/>
      <c r="WF63" s="30"/>
      <c r="WG63" s="30"/>
      <c r="WH63" s="30"/>
      <c r="WI63" s="30"/>
      <c r="WJ63" s="30"/>
      <c r="WK63" s="30"/>
      <c r="WL63" s="30"/>
      <c r="WM63" s="30"/>
      <c r="WN63" s="30"/>
      <c r="WO63" s="30"/>
      <c r="WP63" s="30"/>
      <c r="WQ63" s="30"/>
      <c r="WR63" s="30"/>
      <c r="WS63" s="30"/>
      <c r="WT63" s="30"/>
      <c r="WU63" s="30"/>
      <c r="WV63" s="30"/>
      <c r="WW63" s="30"/>
      <c r="WX63" s="30"/>
      <c r="WY63" s="30"/>
      <c r="WZ63" s="30"/>
      <c r="XA63" s="30"/>
      <c r="XB63" s="30"/>
      <c r="XC63" s="30"/>
      <c r="XD63" s="30"/>
      <c r="XE63" s="30"/>
      <c r="XF63" s="30"/>
      <c r="XG63" s="30"/>
      <c r="XH63" s="30"/>
      <c r="XI63" s="30"/>
      <c r="XJ63" s="30"/>
      <c r="XK63" s="30"/>
      <c r="XL63" s="30"/>
      <c r="XM63" s="30"/>
      <c r="XN63" s="30"/>
      <c r="XO63" s="30"/>
      <c r="XP63" s="30"/>
      <c r="XQ63" s="30"/>
      <c r="XR63" s="30"/>
      <c r="XS63" s="30"/>
      <c r="XT63" s="30"/>
      <c r="XU63" s="30"/>
      <c r="XV63" s="30"/>
      <c r="XW63" s="30"/>
      <c r="XX63" s="30"/>
      <c r="XY63" s="30"/>
      <c r="XZ63" s="30"/>
      <c r="YA63" s="30"/>
      <c r="YB63" s="30"/>
      <c r="YC63" s="30"/>
      <c r="YD63" s="30"/>
      <c r="YE63" s="30"/>
      <c r="YF63" s="30"/>
      <c r="YG63" s="30"/>
      <c r="YH63" s="30"/>
      <c r="YI63" s="30"/>
      <c r="YJ63" s="30"/>
      <c r="YK63" s="30"/>
      <c r="YL63" s="30"/>
      <c r="YM63" s="30"/>
    </row>
    <row r="64" spans="1:663" ht="15.75" customHeight="1" x14ac:dyDescent="0.2">
      <c r="B64" s="8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/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30"/>
      <c r="HJ64" s="30"/>
      <c r="HK64" s="30"/>
      <c r="HL64" s="30"/>
      <c r="HM64" s="30"/>
      <c r="HN64" s="30"/>
      <c r="HO64" s="30"/>
      <c r="HP64" s="30"/>
      <c r="HQ64" s="30"/>
      <c r="HR64" s="30"/>
      <c r="HS64" s="30"/>
      <c r="HT64" s="30"/>
      <c r="HU64" s="30"/>
      <c r="HV64" s="30"/>
      <c r="HW64" s="30"/>
      <c r="HX64" s="30"/>
      <c r="HY64" s="30"/>
      <c r="HZ64" s="30"/>
      <c r="IA64" s="30"/>
      <c r="IB64" s="30"/>
      <c r="IC64" s="30"/>
      <c r="ID64" s="30"/>
      <c r="IE64" s="30"/>
      <c r="IF64" s="30"/>
      <c r="IG64" s="30"/>
      <c r="IH64" s="30"/>
      <c r="II64" s="30"/>
      <c r="IJ64" s="30"/>
      <c r="IK64" s="30"/>
      <c r="IL64" s="30"/>
      <c r="IM64" s="30"/>
      <c r="IN64" s="30"/>
      <c r="IO64" s="30"/>
      <c r="IP64" s="30"/>
      <c r="IQ64" s="30"/>
      <c r="IR64" s="30"/>
      <c r="IS64" s="30"/>
      <c r="IT64" s="30"/>
      <c r="IU64" s="30"/>
      <c r="IV64" s="30"/>
      <c r="IW64" s="30"/>
      <c r="IX64" s="30"/>
      <c r="IY64" s="30"/>
      <c r="IZ64" s="30"/>
      <c r="JA64" s="30"/>
      <c r="JB64" s="30"/>
      <c r="JC64" s="30"/>
      <c r="JD64" s="30"/>
      <c r="JE64" s="30"/>
      <c r="JF64" s="30"/>
      <c r="JG64" s="30"/>
      <c r="JH64" s="30"/>
      <c r="JI64" s="30"/>
      <c r="JJ64" s="30"/>
      <c r="JK64" s="30"/>
      <c r="JL64" s="30"/>
      <c r="JM64" s="30"/>
      <c r="JN64" s="30"/>
      <c r="JO64" s="30"/>
      <c r="JP64" s="30"/>
      <c r="JQ64" s="30"/>
      <c r="JR64" s="30"/>
      <c r="JS64" s="30"/>
      <c r="JT64" s="30"/>
      <c r="JU64" s="30"/>
      <c r="JV64" s="30"/>
      <c r="JW64" s="30"/>
      <c r="JX64" s="30"/>
      <c r="JY64" s="30"/>
      <c r="JZ64" s="30"/>
      <c r="KA64" s="30"/>
      <c r="KB64" s="30"/>
      <c r="KC64" s="30"/>
      <c r="KD64" s="30"/>
      <c r="KE64" s="30"/>
      <c r="KF64" s="30"/>
      <c r="KG64" s="30"/>
      <c r="KH64" s="30"/>
      <c r="KI64" s="30"/>
      <c r="KJ64" s="30"/>
      <c r="KK64" s="30"/>
      <c r="KL64" s="30"/>
      <c r="KM64" s="30"/>
      <c r="KN64" s="30"/>
      <c r="KO64" s="30"/>
      <c r="KP64" s="30"/>
      <c r="KQ64" s="30"/>
      <c r="KR64" s="30"/>
      <c r="KS64" s="30"/>
      <c r="KT64" s="30"/>
      <c r="KU64" s="30"/>
      <c r="KV64" s="30"/>
      <c r="KW64" s="30"/>
      <c r="KX64" s="30"/>
      <c r="KY64" s="30"/>
      <c r="KZ64" s="30"/>
      <c r="LA64" s="30"/>
      <c r="LB64" s="30"/>
      <c r="LC64" s="30"/>
      <c r="LD64" s="30"/>
      <c r="LE64" s="30"/>
      <c r="LF64" s="30"/>
      <c r="LG64" s="30"/>
      <c r="LH64" s="30"/>
      <c r="LI64" s="30"/>
      <c r="LJ64" s="30"/>
      <c r="LK64" s="30"/>
      <c r="LL64" s="30"/>
      <c r="LM64" s="30"/>
      <c r="LN64" s="30"/>
      <c r="LO64" s="30"/>
      <c r="LP64" s="30"/>
      <c r="LQ64" s="30"/>
      <c r="LR64" s="30"/>
      <c r="LS64" s="30"/>
      <c r="LT64" s="30"/>
      <c r="LU64" s="30"/>
      <c r="LV64" s="30"/>
      <c r="LW64" s="30"/>
      <c r="LX64" s="30"/>
      <c r="LY64" s="30"/>
      <c r="LZ64" s="30"/>
      <c r="MA64" s="30"/>
      <c r="MB64" s="30"/>
      <c r="MC64" s="30"/>
      <c r="MD64" s="30"/>
      <c r="ME64" s="30"/>
      <c r="MF64" s="30"/>
      <c r="MG64" s="30"/>
      <c r="MH64" s="30"/>
      <c r="MI64" s="30"/>
      <c r="MJ64" s="30"/>
      <c r="MK64" s="30"/>
      <c r="ML64" s="30"/>
      <c r="MM64" s="30"/>
      <c r="MN64" s="30"/>
      <c r="MO64" s="30"/>
      <c r="MP64" s="30"/>
      <c r="MQ64" s="30"/>
      <c r="MR64" s="30"/>
      <c r="MS64" s="30"/>
      <c r="MT64" s="30"/>
      <c r="MU64" s="30"/>
      <c r="MV64" s="30"/>
      <c r="MW64" s="30"/>
      <c r="MX64" s="30"/>
      <c r="MY64" s="30"/>
      <c r="MZ64" s="30"/>
      <c r="NA64" s="30"/>
      <c r="NB64" s="30"/>
      <c r="NC64" s="30"/>
      <c r="ND64" s="30"/>
      <c r="NE64" s="30"/>
      <c r="NF64" s="30"/>
      <c r="NG64" s="30"/>
      <c r="NH64" s="30"/>
      <c r="NI64" s="30"/>
      <c r="NJ64" s="30"/>
      <c r="NK64" s="30"/>
      <c r="NL64" s="30"/>
      <c r="NM64" s="30"/>
      <c r="NN64" s="30"/>
      <c r="NO64" s="30"/>
      <c r="NP64" s="30"/>
      <c r="NQ64" s="30"/>
      <c r="NR64" s="30"/>
      <c r="NS64" s="30"/>
      <c r="NT64" s="30"/>
      <c r="NU64" s="30"/>
      <c r="NV64" s="30"/>
      <c r="NW64" s="30"/>
      <c r="NX64" s="30"/>
      <c r="NY64" s="30"/>
      <c r="NZ64" s="30"/>
      <c r="OA64" s="30"/>
      <c r="OB64" s="30"/>
      <c r="OC64" s="30"/>
      <c r="OD64" s="30"/>
      <c r="OE64" s="30"/>
      <c r="OF64" s="30"/>
      <c r="OG64" s="30"/>
      <c r="OH64" s="30"/>
      <c r="OI64" s="30"/>
      <c r="OJ64" s="30"/>
      <c r="OK64" s="30"/>
      <c r="OL64" s="30"/>
      <c r="OM64" s="30"/>
      <c r="ON64" s="30"/>
      <c r="OO64" s="30"/>
      <c r="OP64" s="30"/>
      <c r="OQ64" s="30"/>
      <c r="OR64" s="30"/>
      <c r="OS64" s="30"/>
      <c r="OT64" s="30"/>
      <c r="OU64" s="30"/>
      <c r="OV64" s="30"/>
      <c r="OW64" s="30"/>
      <c r="OX64" s="30"/>
      <c r="OY64" s="30"/>
      <c r="OZ64" s="30"/>
      <c r="PA64" s="30"/>
      <c r="PB64" s="30"/>
      <c r="PC64" s="30"/>
      <c r="PD64" s="30"/>
      <c r="PE64" s="30"/>
      <c r="PF64" s="30"/>
      <c r="PG64" s="30"/>
      <c r="PH64" s="30"/>
      <c r="PI64" s="30"/>
      <c r="PJ64" s="30"/>
      <c r="PK64" s="30"/>
      <c r="PL64" s="30"/>
      <c r="PM64" s="30"/>
      <c r="PN64" s="30"/>
      <c r="PO64" s="30"/>
      <c r="PP64" s="30"/>
      <c r="PQ64" s="30"/>
      <c r="PR64" s="30"/>
      <c r="PS64" s="30"/>
      <c r="PT64" s="30"/>
      <c r="PU64" s="30"/>
      <c r="PV64" s="30"/>
      <c r="PW64" s="30"/>
      <c r="PX64" s="30"/>
      <c r="PY64" s="30"/>
      <c r="PZ64" s="30"/>
      <c r="QA64" s="30"/>
      <c r="QB64" s="30"/>
      <c r="QC64" s="30"/>
      <c r="QD64" s="30"/>
      <c r="QE64" s="30"/>
      <c r="QF64" s="30"/>
      <c r="QG64" s="30"/>
      <c r="QH64" s="30"/>
      <c r="QI64" s="30"/>
      <c r="QJ64" s="30"/>
      <c r="QK64" s="30"/>
      <c r="QL64" s="30"/>
      <c r="QM64" s="30"/>
      <c r="QN64" s="30"/>
      <c r="QO64" s="30"/>
      <c r="QP64" s="30"/>
      <c r="QQ64" s="30"/>
      <c r="QR64" s="30"/>
      <c r="QS64" s="30"/>
      <c r="QT64" s="30"/>
      <c r="QU64" s="30"/>
      <c r="QV64" s="30"/>
      <c r="QW64" s="30"/>
      <c r="QX64" s="30"/>
      <c r="QY64" s="30"/>
      <c r="QZ64" s="30"/>
      <c r="RA64" s="30"/>
      <c r="RB64" s="30"/>
      <c r="RC64" s="30"/>
      <c r="RD64" s="30"/>
      <c r="RE64" s="30"/>
      <c r="RF64" s="30"/>
      <c r="RG64" s="30"/>
      <c r="RH64" s="30"/>
      <c r="RI64" s="30"/>
      <c r="RJ64" s="30"/>
      <c r="RK64" s="30"/>
      <c r="RL64" s="30"/>
      <c r="RM64" s="30"/>
      <c r="RN64" s="30"/>
      <c r="RO64" s="30"/>
      <c r="RP64" s="30"/>
      <c r="RQ64" s="30"/>
      <c r="RR64" s="30"/>
      <c r="RS64" s="30"/>
      <c r="RT64" s="30"/>
      <c r="RU64" s="30"/>
      <c r="RV64" s="30"/>
      <c r="RW64" s="30"/>
      <c r="RX64" s="30"/>
      <c r="RY64" s="30"/>
      <c r="RZ64" s="30"/>
      <c r="SA64" s="30"/>
      <c r="SB64" s="30"/>
      <c r="SC64" s="30"/>
      <c r="SD64" s="30"/>
      <c r="SE64" s="30"/>
      <c r="SF64" s="30"/>
      <c r="SG64" s="30"/>
      <c r="SH64" s="30"/>
      <c r="SI64" s="30"/>
      <c r="SJ64" s="30"/>
      <c r="SK64" s="30"/>
      <c r="SL64" s="30"/>
      <c r="SM64" s="30"/>
      <c r="SN64" s="30"/>
      <c r="SO64" s="30"/>
      <c r="SP64" s="30"/>
      <c r="SQ64" s="30"/>
      <c r="SR64" s="30"/>
      <c r="SS64" s="30"/>
      <c r="ST64" s="30"/>
      <c r="SU64" s="30"/>
      <c r="SV64" s="30"/>
      <c r="SW64" s="30"/>
      <c r="SX64" s="30"/>
      <c r="SY64" s="30"/>
      <c r="SZ64" s="30"/>
      <c r="TA64" s="30"/>
      <c r="TB64" s="30"/>
      <c r="TC64" s="30"/>
      <c r="TD64" s="30"/>
      <c r="TE64" s="30"/>
      <c r="TF64" s="30"/>
      <c r="TG64" s="30"/>
      <c r="TH64" s="30"/>
      <c r="TI64" s="30"/>
      <c r="TJ64" s="30"/>
      <c r="TK64" s="30"/>
      <c r="TL64" s="30"/>
      <c r="TM64" s="30"/>
      <c r="TN64" s="30"/>
      <c r="TO64" s="30"/>
      <c r="TP64" s="30"/>
      <c r="TQ64" s="30"/>
      <c r="TR64" s="30"/>
      <c r="TS64" s="30"/>
      <c r="TT64" s="30"/>
      <c r="TU64" s="30"/>
      <c r="TV64" s="30"/>
      <c r="TW64" s="30"/>
      <c r="TX64" s="30"/>
      <c r="TY64" s="30"/>
      <c r="TZ64" s="30"/>
      <c r="UA64" s="30"/>
      <c r="UB64" s="30"/>
      <c r="UC64" s="30"/>
      <c r="UD64" s="30"/>
      <c r="UE64" s="30"/>
      <c r="UF64" s="30"/>
      <c r="UG64" s="30"/>
      <c r="UH64" s="30"/>
      <c r="UI64" s="30"/>
      <c r="UJ64" s="30"/>
      <c r="UK64" s="30"/>
      <c r="UL64" s="30"/>
      <c r="UM64" s="30"/>
      <c r="UN64" s="30"/>
      <c r="UO64" s="30"/>
      <c r="UP64" s="30"/>
      <c r="UQ64" s="30"/>
      <c r="UR64" s="30"/>
      <c r="US64" s="30"/>
      <c r="UT64" s="30"/>
      <c r="UU64" s="30"/>
      <c r="UV64" s="30"/>
      <c r="UW64" s="30"/>
      <c r="UX64" s="30"/>
      <c r="UY64" s="30"/>
      <c r="UZ64" s="30"/>
      <c r="VA64" s="30"/>
      <c r="VB64" s="30"/>
      <c r="VC64" s="30"/>
      <c r="VD64" s="30"/>
      <c r="VE64" s="30"/>
      <c r="VF64" s="30"/>
      <c r="VG64" s="30"/>
      <c r="VH64" s="30"/>
      <c r="VI64" s="30"/>
      <c r="VJ64" s="30"/>
      <c r="VK64" s="30"/>
      <c r="VL64" s="30"/>
      <c r="VM64" s="30"/>
      <c r="VN64" s="30"/>
      <c r="VO64" s="30"/>
      <c r="VP64" s="30"/>
      <c r="VQ64" s="30"/>
      <c r="VR64" s="30"/>
      <c r="VS64" s="30"/>
      <c r="VT64" s="30"/>
      <c r="VU64" s="30"/>
      <c r="VV64" s="30"/>
      <c r="VW64" s="30"/>
      <c r="VX64" s="30"/>
      <c r="VY64" s="30"/>
      <c r="VZ64" s="30"/>
      <c r="WA64" s="30"/>
      <c r="WB64" s="30"/>
      <c r="WC64" s="30"/>
      <c r="WD64" s="30"/>
      <c r="WE64" s="30"/>
      <c r="WF64" s="30"/>
      <c r="WG64" s="30"/>
      <c r="WH64" s="30"/>
      <c r="WI64" s="30"/>
      <c r="WJ64" s="30"/>
      <c r="WK64" s="30"/>
      <c r="WL64" s="30"/>
      <c r="WM64" s="30"/>
      <c r="WN64" s="30"/>
      <c r="WO64" s="30"/>
      <c r="WP64" s="30"/>
      <c r="WQ64" s="30"/>
      <c r="WR64" s="30"/>
      <c r="WS64" s="30"/>
      <c r="WT64" s="30"/>
      <c r="WU64" s="30"/>
      <c r="WV64" s="30"/>
      <c r="WW64" s="30"/>
      <c r="WX64" s="30"/>
      <c r="WY64" s="30"/>
      <c r="WZ64" s="30"/>
      <c r="XA64" s="30"/>
      <c r="XB64" s="30"/>
      <c r="XC64" s="30"/>
      <c r="XD64" s="30"/>
      <c r="XE64" s="30"/>
      <c r="XF64" s="30"/>
      <c r="XG64" s="30"/>
      <c r="XH64" s="30"/>
      <c r="XI64" s="30"/>
      <c r="XJ64" s="30"/>
      <c r="XK64" s="30"/>
      <c r="XL64" s="30"/>
      <c r="XM64" s="30"/>
      <c r="XN64" s="30"/>
      <c r="XO64" s="30"/>
      <c r="XP64" s="30"/>
      <c r="XQ64" s="30"/>
      <c r="XR64" s="30"/>
      <c r="XS64" s="30"/>
      <c r="XT64" s="30"/>
      <c r="XU64" s="30"/>
      <c r="XV64" s="30"/>
      <c r="XW64" s="30"/>
      <c r="XX64" s="30"/>
      <c r="XY64" s="30"/>
      <c r="XZ64" s="30"/>
      <c r="YA64" s="30"/>
      <c r="YB64" s="30"/>
      <c r="YC64" s="30"/>
      <c r="YD64" s="30"/>
      <c r="YE64" s="30"/>
      <c r="YF64" s="30"/>
      <c r="YG64" s="30"/>
      <c r="YH64" s="30"/>
      <c r="YI64" s="30"/>
      <c r="YJ64" s="30"/>
      <c r="YK64" s="30"/>
      <c r="YL64" s="30"/>
      <c r="YM64" s="30"/>
    </row>
    <row r="65" spans="2:663" ht="15.75" customHeight="1" x14ac:dyDescent="0.2">
      <c r="B65" s="8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30"/>
      <c r="HJ65" s="30"/>
      <c r="HK65" s="30"/>
      <c r="HL65" s="30"/>
      <c r="HM65" s="30"/>
      <c r="HN65" s="30"/>
      <c r="HO65" s="30"/>
      <c r="HP65" s="30"/>
      <c r="HQ65" s="30"/>
      <c r="HR65" s="30"/>
      <c r="HS65" s="30"/>
      <c r="HT65" s="30"/>
      <c r="HU65" s="30"/>
      <c r="HV65" s="30"/>
      <c r="HW65" s="30"/>
      <c r="HX65" s="30"/>
      <c r="HY65" s="30"/>
      <c r="HZ65" s="30"/>
      <c r="IA65" s="30"/>
      <c r="IB65" s="30"/>
      <c r="IC65" s="30"/>
      <c r="ID65" s="30"/>
      <c r="IE65" s="30"/>
      <c r="IF65" s="30"/>
      <c r="IG65" s="30"/>
      <c r="IH65" s="30"/>
      <c r="II65" s="30"/>
      <c r="IJ65" s="30"/>
      <c r="IK65" s="30"/>
      <c r="IL65" s="30"/>
      <c r="IM65" s="30"/>
      <c r="IN65" s="30"/>
      <c r="IO65" s="30"/>
      <c r="IP65" s="30"/>
      <c r="IQ65" s="30"/>
      <c r="IR65" s="30"/>
      <c r="IS65" s="30"/>
      <c r="IT65" s="30"/>
      <c r="IU65" s="30"/>
      <c r="IV65" s="30"/>
      <c r="IW65" s="30"/>
      <c r="IX65" s="30"/>
      <c r="IY65" s="30"/>
      <c r="IZ65" s="30"/>
      <c r="JA65" s="30"/>
      <c r="JB65" s="30"/>
      <c r="JC65" s="30"/>
      <c r="JD65" s="30"/>
      <c r="JE65" s="30"/>
      <c r="JF65" s="30"/>
      <c r="JG65" s="30"/>
      <c r="JH65" s="30"/>
      <c r="JI65" s="30"/>
      <c r="JJ65" s="30"/>
      <c r="JK65" s="30"/>
      <c r="JL65" s="30"/>
      <c r="JM65" s="30"/>
      <c r="JN65" s="30"/>
      <c r="JO65" s="30"/>
      <c r="JP65" s="30"/>
      <c r="JQ65" s="30"/>
      <c r="JR65" s="30"/>
      <c r="JS65" s="30"/>
      <c r="JT65" s="30"/>
      <c r="JU65" s="30"/>
      <c r="JV65" s="30"/>
      <c r="JW65" s="30"/>
      <c r="JX65" s="30"/>
      <c r="JY65" s="30"/>
      <c r="JZ65" s="30"/>
      <c r="KA65" s="30"/>
      <c r="KB65" s="30"/>
      <c r="KC65" s="30"/>
      <c r="KD65" s="30"/>
      <c r="KE65" s="30"/>
      <c r="KF65" s="30"/>
      <c r="KG65" s="30"/>
      <c r="KH65" s="30"/>
      <c r="KI65" s="30"/>
      <c r="KJ65" s="30"/>
      <c r="KK65" s="30"/>
      <c r="KL65" s="30"/>
      <c r="KM65" s="30"/>
      <c r="KN65" s="30"/>
      <c r="KO65" s="30"/>
      <c r="KP65" s="30"/>
      <c r="KQ65" s="30"/>
      <c r="KR65" s="30"/>
      <c r="KS65" s="30"/>
      <c r="KT65" s="30"/>
      <c r="KU65" s="30"/>
      <c r="KV65" s="30"/>
      <c r="KW65" s="30"/>
      <c r="KX65" s="30"/>
      <c r="KY65" s="30"/>
      <c r="KZ65" s="30"/>
      <c r="LA65" s="30"/>
      <c r="LB65" s="30"/>
      <c r="LC65" s="30"/>
      <c r="LD65" s="30"/>
      <c r="LE65" s="30"/>
      <c r="LF65" s="30"/>
      <c r="LG65" s="30"/>
      <c r="LH65" s="30"/>
      <c r="LI65" s="30"/>
      <c r="LJ65" s="30"/>
      <c r="LK65" s="30"/>
      <c r="LL65" s="30"/>
      <c r="LM65" s="30"/>
      <c r="LN65" s="30"/>
      <c r="LO65" s="30"/>
      <c r="LP65" s="30"/>
      <c r="LQ65" s="30"/>
      <c r="LR65" s="30"/>
      <c r="LS65" s="30"/>
      <c r="LT65" s="30"/>
      <c r="LU65" s="30"/>
      <c r="LV65" s="30"/>
      <c r="LW65" s="30"/>
      <c r="LX65" s="30"/>
      <c r="LY65" s="30"/>
      <c r="LZ65" s="30"/>
      <c r="MA65" s="30"/>
      <c r="MB65" s="30"/>
      <c r="MC65" s="30"/>
      <c r="MD65" s="30"/>
      <c r="ME65" s="30"/>
      <c r="MF65" s="30"/>
      <c r="MG65" s="30"/>
      <c r="MH65" s="30"/>
      <c r="MI65" s="30"/>
      <c r="MJ65" s="30"/>
      <c r="MK65" s="30"/>
      <c r="ML65" s="30"/>
      <c r="MM65" s="30"/>
      <c r="MN65" s="30"/>
      <c r="MO65" s="30"/>
      <c r="MP65" s="30"/>
      <c r="MQ65" s="30"/>
      <c r="MR65" s="30"/>
      <c r="MS65" s="30"/>
      <c r="MT65" s="30"/>
      <c r="MU65" s="30"/>
      <c r="MV65" s="30"/>
      <c r="MW65" s="30"/>
      <c r="MX65" s="30"/>
      <c r="MY65" s="30"/>
      <c r="MZ65" s="30"/>
      <c r="NA65" s="30"/>
      <c r="NB65" s="30"/>
      <c r="NC65" s="30"/>
      <c r="ND65" s="30"/>
      <c r="NE65" s="30"/>
      <c r="NF65" s="30"/>
      <c r="NG65" s="30"/>
      <c r="NH65" s="30"/>
      <c r="NI65" s="30"/>
      <c r="NJ65" s="30"/>
      <c r="NK65" s="30"/>
      <c r="NL65" s="30"/>
      <c r="NM65" s="30"/>
      <c r="NN65" s="30"/>
      <c r="NO65" s="30"/>
      <c r="NP65" s="30"/>
      <c r="NQ65" s="30"/>
      <c r="NR65" s="30"/>
      <c r="NS65" s="30"/>
      <c r="NT65" s="30"/>
      <c r="NU65" s="30"/>
      <c r="NV65" s="30"/>
      <c r="NW65" s="30"/>
      <c r="NX65" s="30"/>
      <c r="NY65" s="30"/>
      <c r="NZ65" s="30"/>
      <c r="OA65" s="30"/>
      <c r="OB65" s="30"/>
      <c r="OC65" s="30"/>
      <c r="OD65" s="30"/>
      <c r="OE65" s="30"/>
      <c r="OF65" s="30"/>
      <c r="OG65" s="30"/>
      <c r="OH65" s="30"/>
      <c r="OI65" s="30"/>
      <c r="OJ65" s="30"/>
      <c r="OK65" s="30"/>
      <c r="OL65" s="30"/>
      <c r="OM65" s="30"/>
      <c r="ON65" s="30"/>
      <c r="OO65" s="30"/>
      <c r="OP65" s="30"/>
      <c r="OQ65" s="30"/>
      <c r="OR65" s="30"/>
      <c r="OS65" s="30"/>
      <c r="OT65" s="30"/>
      <c r="OU65" s="30"/>
      <c r="OV65" s="30"/>
      <c r="OW65" s="30"/>
      <c r="OX65" s="30"/>
      <c r="OY65" s="30"/>
      <c r="OZ65" s="30"/>
      <c r="PA65" s="30"/>
      <c r="PB65" s="30"/>
      <c r="PC65" s="30"/>
      <c r="PD65" s="30"/>
      <c r="PE65" s="30"/>
      <c r="PF65" s="30"/>
      <c r="PG65" s="30"/>
      <c r="PH65" s="30"/>
      <c r="PI65" s="30"/>
      <c r="PJ65" s="30"/>
      <c r="PK65" s="30"/>
      <c r="PL65" s="30"/>
      <c r="PM65" s="30"/>
      <c r="PN65" s="30"/>
      <c r="PO65" s="30"/>
      <c r="PP65" s="30"/>
      <c r="PQ65" s="30"/>
      <c r="PR65" s="30"/>
      <c r="PS65" s="30"/>
      <c r="PT65" s="30"/>
      <c r="PU65" s="30"/>
      <c r="PV65" s="30"/>
      <c r="PW65" s="30"/>
      <c r="PX65" s="30"/>
      <c r="PY65" s="30"/>
      <c r="PZ65" s="30"/>
      <c r="QA65" s="30"/>
      <c r="QB65" s="30"/>
      <c r="QC65" s="30"/>
      <c r="QD65" s="30"/>
      <c r="QE65" s="30"/>
      <c r="QF65" s="30"/>
      <c r="QG65" s="30"/>
      <c r="QH65" s="30"/>
      <c r="QI65" s="30"/>
      <c r="QJ65" s="30"/>
      <c r="QK65" s="30"/>
      <c r="QL65" s="30"/>
      <c r="QM65" s="30"/>
      <c r="QN65" s="30"/>
      <c r="QO65" s="30"/>
      <c r="QP65" s="30"/>
      <c r="QQ65" s="30"/>
      <c r="QR65" s="30"/>
      <c r="QS65" s="30"/>
      <c r="QT65" s="30"/>
      <c r="QU65" s="30"/>
      <c r="QV65" s="30"/>
      <c r="QW65" s="30"/>
      <c r="QX65" s="30"/>
      <c r="QY65" s="30"/>
      <c r="QZ65" s="30"/>
      <c r="RA65" s="30"/>
      <c r="RB65" s="30"/>
      <c r="RC65" s="30"/>
      <c r="RD65" s="30"/>
      <c r="RE65" s="30"/>
      <c r="RF65" s="30"/>
      <c r="RG65" s="30"/>
      <c r="RH65" s="30"/>
      <c r="RI65" s="30"/>
      <c r="RJ65" s="30"/>
      <c r="RK65" s="30"/>
      <c r="RL65" s="30"/>
      <c r="RM65" s="30"/>
      <c r="RN65" s="30"/>
      <c r="RO65" s="30"/>
      <c r="RP65" s="30"/>
      <c r="RQ65" s="30"/>
      <c r="RR65" s="30"/>
      <c r="RS65" s="30"/>
      <c r="RT65" s="30"/>
      <c r="RU65" s="30"/>
      <c r="RV65" s="30"/>
      <c r="RW65" s="30"/>
      <c r="RX65" s="30"/>
      <c r="RY65" s="30"/>
      <c r="RZ65" s="30"/>
      <c r="SA65" s="30"/>
      <c r="SB65" s="30"/>
      <c r="SC65" s="30"/>
      <c r="SD65" s="30"/>
      <c r="SE65" s="30"/>
      <c r="SF65" s="30"/>
      <c r="SG65" s="30"/>
      <c r="SH65" s="30"/>
      <c r="SI65" s="30"/>
      <c r="SJ65" s="30"/>
      <c r="SK65" s="30"/>
      <c r="SL65" s="30"/>
      <c r="SM65" s="30"/>
      <c r="SN65" s="30"/>
      <c r="SO65" s="30"/>
      <c r="SP65" s="30"/>
      <c r="SQ65" s="30"/>
      <c r="SR65" s="30"/>
      <c r="SS65" s="30"/>
      <c r="ST65" s="30"/>
      <c r="SU65" s="30"/>
      <c r="SV65" s="30"/>
      <c r="SW65" s="30"/>
      <c r="SX65" s="30"/>
      <c r="SY65" s="30"/>
      <c r="SZ65" s="30"/>
      <c r="TA65" s="30"/>
      <c r="TB65" s="30"/>
      <c r="TC65" s="30"/>
      <c r="TD65" s="30"/>
      <c r="TE65" s="30"/>
      <c r="TF65" s="30"/>
      <c r="TG65" s="30"/>
      <c r="TH65" s="30"/>
      <c r="TI65" s="30"/>
      <c r="TJ65" s="30"/>
      <c r="TK65" s="30"/>
      <c r="TL65" s="30"/>
      <c r="TM65" s="30"/>
      <c r="TN65" s="30"/>
      <c r="TO65" s="30"/>
      <c r="TP65" s="30"/>
      <c r="TQ65" s="30"/>
      <c r="TR65" s="30"/>
      <c r="TS65" s="30"/>
      <c r="TT65" s="30"/>
      <c r="TU65" s="30"/>
      <c r="TV65" s="30"/>
      <c r="TW65" s="30"/>
      <c r="TX65" s="30"/>
      <c r="TY65" s="30"/>
      <c r="TZ65" s="30"/>
      <c r="UA65" s="30"/>
      <c r="UB65" s="30"/>
      <c r="UC65" s="30"/>
      <c r="UD65" s="30"/>
      <c r="UE65" s="30"/>
      <c r="UF65" s="30"/>
      <c r="UG65" s="30"/>
      <c r="UH65" s="30"/>
      <c r="UI65" s="30"/>
      <c r="UJ65" s="30"/>
      <c r="UK65" s="30"/>
      <c r="UL65" s="30"/>
      <c r="UM65" s="30"/>
      <c r="UN65" s="30"/>
      <c r="UO65" s="30"/>
      <c r="UP65" s="30"/>
      <c r="UQ65" s="30"/>
      <c r="UR65" s="30"/>
      <c r="US65" s="30"/>
      <c r="UT65" s="30"/>
      <c r="UU65" s="30"/>
      <c r="UV65" s="30"/>
      <c r="UW65" s="30"/>
      <c r="UX65" s="30"/>
      <c r="UY65" s="30"/>
      <c r="UZ65" s="30"/>
      <c r="VA65" s="30"/>
      <c r="VB65" s="30"/>
      <c r="VC65" s="30"/>
      <c r="VD65" s="30"/>
      <c r="VE65" s="30"/>
      <c r="VF65" s="30"/>
      <c r="VG65" s="30"/>
      <c r="VH65" s="30"/>
      <c r="VI65" s="30"/>
      <c r="VJ65" s="30"/>
      <c r="VK65" s="30"/>
      <c r="VL65" s="30"/>
      <c r="VM65" s="30"/>
      <c r="VN65" s="30"/>
      <c r="VO65" s="30"/>
      <c r="VP65" s="30"/>
      <c r="VQ65" s="30"/>
      <c r="VR65" s="30"/>
      <c r="VS65" s="30"/>
      <c r="VT65" s="30"/>
      <c r="VU65" s="30"/>
      <c r="VV65" s="30"/>
      <c r="VW65" s="30"/>
      <c r="VX65" s="30"/>
      <c r="VY65" s="30"/>
      <c r="VZ65" s="30"/>
      <c r="WA65" s="30"/>
      <c r="WB65" s="30"/>
      <c r="WC65" s="30"/>
      <c r="WD65" s="30"/>
      <c r="WE65" s="30"/>
      <c r="WF65" s="30"/>
      <c r="WG65" s="30"/>
      <c r="WH65" s="30"/>
      <c r="WI65" s="30"/>
      <c r="WJ65" s="30"/>
      <c r="WK65" s="30"/>
      <c r="WL65" s="30"/>
      <c r="WM65" s="30"/>
      <c r="WN65" s="30"/>
      <c r="WO65" s="30"/>
      <c r="WP65" s="30"/>
      <c r="WQ65" s="30"/>
      <c r="WR65" s="30"/>
      <c r="WS65" s="30"/>
      <c r="WT65" s="30"/>
      <c r="WU65" s="30"/>
      <c r="WV65" s="30"/>
      <c r="WW65" s="30"/>
      <c r="WX65" s="30"/>
      <c r="WY65" s="30"/>
      <c r="WZ65" s="30"/>
      <c r="XA65" s="30"/>
      <c r="XB65" s="30"/>
      <c r="XC65" s="30"/>
      <c r="XD65" s="30"/>
      <c r="XE65" s="30"/>
      <c r="XF65" s="30"/>
      <c r="XG65" s="30"/>
      <c r="XH65" s="30"/>
      <c r="XI65" s="30"/>
      <c r="XJ65" s="30"/>
      <c r="XK65" s="30"/>
      <c r="XL65" s="30"/>
      <c r="XM65" s="30"/>
      <c r="XN65" s="30"/>
      <c r="XO65" s="30"/>
      <c r="XP65" s="30"/>
      <c r="XQ65" s="30"/>
      <c r="XR65" s="30"/>
      <c r="XS65" s="30"/>
      <c r="XT65" s="30"/>
      <c r="XU65" s="30"/>
      <c r="XV65" s="30"/>
      <c r="XW65" s="30"/>
      <c r="XX65" s="30"/>
      <c r="XY65" s="30"/>
      <c r="XZ65" s="30"/>
      <c r="YA65" s="30"/>
      <c r="YB65" s="30"/>
      <c r="YC65" s="30"/>
      <c r="YD65" s="30"/>
      <c r="YE65" s="30"/>
      <c r="YF65" s="30"/>
      <c r="YG65" s="30"/>
      <c r="YH65" s="30"/>
      <c r="YI65" s="30"/>
      <c r="YJ65" s="30"/>
      <c r="YK65" s="30"/>
      <c r="YL65" s="30"/>
      <c r="YM65" s="30"/>
    </row>
    <row r="66" spans="2:663" ht="15.75" customHeight="1" x14ac:dyDescent="0.2">
      <c r="B66" s="19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RG66" s="7"/>
      <c r="RH66" s="7"/>
      <c r="RI66" s="7"/>
      <c r="RJ66" s="7"/>
      <c r="RK66" s="7"/>
      <c r="RL66" s="7"/>
      <c r="RM66" s="7"/>
      <c r="RN66" s="7"/>
      <c r="RO66" s="7"/>
      <c r="RP66" s="7"/>
      <c r="RQ66" s="7"/>
      <c r="RR66" s="7"/>
      <c r="RS66" s="7"/>
      <c r="RT66" s="7"/>
      <c r="RU66" s="7"/>
      <c r="RV66" s="7"/>
      <c r="RW66" s="7"/>
      <c r="RX66" s="7"/>
      <c r="RY66" s="7"/>
      <c r="RZ66" s="7"/>
      <c r="SA66" s="7"/>
      <c r="SB66" s="7"/>
      <c r="SC66" s="7"/>
      <c r="SD66" s="7"/>
      <c r="SE66" s="7"/>
      <c r="SF66" s="7"/>
      <c r="SG66" s="7"/>
      <c r="SH66" s="7"/>
      <c r="SI66" s="7"/>
      <c r="SJ66" s="7"/>
      <c r="SK66" s="7"/>
      <c r="SL66" s="7"/>
      <c r="SM66" s="7"/>
      <c r="SN66" s="7"/>
      <c r="SO66" s="7"/>
      <c r="SP66" s="7"/>
      <c r="SQ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TD66" s="7"/>
      <c r="TE66" s="7"/>
      <c r="TF66" s="7"/>
      <c r="TG66" s="7"/>
      <c r="TH66" s="7"/>
      <c r="TI66" s="7"/>
      <c r="TJ66" s="7"/>
      <c r="TK66" s="7"/>
      <c r="TL66" s="7"/>
      <c r="TM66" s="7"/>
      <c r="TN66" s="7"/>
      <c r="TO66" s="7"/>
      <c r="TP66" s="7"/>
      <c r="TQ66" s="7"/>
      <c r="TR66" s="7"/>
      <c r="TS66" s="7"/>
      <c r="TT66" s="7"/>
      <c r="TU66" s="7"/>
      <c r="TV66" s="7"/>
      <c r="TW66" s="7"/>
      <c r="TX66" s="7"/>
      <c r="TY66" s="7"/>
      <c r="TZ66" s="7"/>
      <c r="UA66" s="7"/>
      <c r="UB66" s="7"/>
      <c r="UC66" s="7"/>
      <c r="XD66" s="7"/>
    </row>
    <row r="67" spans="2:663" ht="15.75" customHeight="1" x14ac:dyDescent="0.2">
      <c r="PZ67" s="7">
        <f>PZ19/55.8</f>
        <v>130994.9548387097</v>
      </c>
      <c r="QB67" s="7"/>
      <c r="QC67" s="7"/>
      <c r="QD67" s="7"/>
      <c r="QE67" s="7"/>
      <c r="QF67" s="7">
        <f>QF19*31</f>
        <v>105987527.18999997</v>
      </c>
      <c r="QG67" s="7"/>
      <c r="QH67" s="7"/>
      <c r="QI67" s="7"/>
      <c r="QJ67" s="7"/>
      <c r="QK67" s="7"/>
      <c r="QL67" s="7"/>
      <c r="QM67" s="7"/>
      <c r="QN67" s="196">
        <f t="shared" ref="QN67:QO67" si="108">SUM($PK$19:QN19)</f>
        <v>100517629.03999998</v>
      </c>
      <c r="QO67" s="196">
        <f t="shared" si="108"/>
        <v>104276388.50999998</v>
      </c>
      <c r="QP67" s="196"/>
      <c r="QQ67" s="196"/>
      <c r="QR67" s="196"/>
      <c r="QS67" s="196"/>
      <c r="QT67" s="196"/>
      <c r="QU67" s="196"/>
      <c r="QV67" s="196"/>
      <c r="QW67" s="196"/>
      <c r="QX67" s="196"/>
      <c r="QY67" s="196"/>
      <c r="QZ67" s="196"/>
      <c r="RA67" s="196"/>
      <c r="RB67" s="196"/>
      <c r="RC67" s="196"/>
      <c r="RD67" s="196"/>
      <c r="RE67" s="196"/>
      <c r="RF67" s="196"/>
      <c r="RG67" s="196"/>
      <c r="RH67" s="196"/>
      <c r="RI67" s="196"/>
      <c r="RJ67" s="196"/>
      <c r="RK67" s="196"/>
      <c r="RL67" s="196"/>
      <c r="RM67" s="196"/>
      <c r="RN67" s="196"/>
      <c r="RO67" s="196"/>
      <c r="RP67" s="196"/>
      <c r="RQ67" s="196"/>
      <c r="RR67" s="196"/>
      <c r="RS67" s="196"/>
      <c r="RT67" s="196"/>
      <c r="RU67" s="196"/>
      <c r="RV67" s="196"/>
      <c r="RW67" s="196"/>
      <c r="RX67" s="196"/>
      <c r="RY67" s="196"/>
      <c r="RZ67" s="196"/>
      <c r="SA67" s="196"/>
      <c r="SB67" s="196"/>
      <c r="SC67" s="196"/>
      <c r="SD67" s="196"/>
      <c r="SE67" s="196"/>
      <c r="SF67" s="196"/>
      <c r="SG67" s="196"/>
      <c r="SH67" s="196"/>
      <c r="SI67" s="196"/>
      <c r="SJ67" s="196"/>
      <c r="SK67" s="196"/>
      <c r="SL67" s="196"/>
      <c r="SM67" s="196"/>
      <c r="SN67" s="196"/>
      <c r="SO67" s="196"/>
      <c r="SP67" s="196"/>
      <c r="SQ67" s="196"/>
      <c r="SR67" s="196"/>
      <c r="SS67" s="196"/>
      <c r="ST67" s="196"/>
      <c r="SU67" s="196"/>
      <c r="SV67" s="196"/>
      <c r="SW67" s="196"/>
      <c r="SX67" s="196"/>
      <c r="SY67" s="196"/>
      <c r="SZ67" s="196"/>
      <c r="TA67" s="196"/>
      <c r="TB67" s="196"/>
      <c r="TC67" s="196"/>
      <c r="TD67" s="196"/>
      <c r="TE67" s="196"/>
      <c r="TF67" s="196"/>
      <c r="TG67" s="196"/>
      <c r="TH67" s="196"/>
      <c r="TI67" s="196"/>
      <c r="TJ67" s="196"/>
      <c r="TK67" s="196"/>
      <c r="TL67" s="196"/>
      <c r="TM67" s="196"/>
      <c r="TN67" s="196"/>
      <c r="TO67" s="196"/>
      <c r="TP67" s="196"/>
      <c r="TQ67" s="196"/>
      <c r="TR67" s="196"/>
      <c r="TS67" s="196"/>
      <c r="TT67" s="196"/>
      <c r="TU67" s="196"/>
      <c r="TV67" s="196"/>
      <c r="TW67" s="196"/>
      <c r="TX67" s="196"/>
      <c r="TY67" s="196"/>
      <c r="TZ67" s="196"/>
      <c r="UA67" s="196"/>
      <c r="UB67" s="196"/>
      <c r="WZ67" s="197"/>
    </row>
    <row r="68" spans="2:663" ht="15.75" customHeight="1" x14ac:dyDescent="0.2">
      <c r="PZ68" s="7">
        <f>PZ67*31</f>
        <v>4060843.6000000006</v>
      </c>
      <c r="QB68" s="7"/>
      <c r="QC68" s="7"/>
      <c r="QD68" s="7"/>
      <c r="QE68" s="7"/>
      <c r="QF68" s="7">
        <f>QF67/55.8</f>
        <v>1899418.0499999996</v>
      </c>
      <c r="QG68" s="7"/>
      <c r="QH68" s="7"/>
      <c r="QI68" s="7"/>
      <c r="QJ68" s="7"/>
      <c r="QK68" s="7"/>
      <c r="QL68" s="7"/>
      <c r="QM68" s="7"/>
      <c r="QN68" s="197">
        <f t="shared" ref="QN68:QO68" si="109">QN67/55.8</f>
        <v>1801391.2014336914</v>
      </c>
      <c r="QO68" s="197">
        <f t="shared" si="109"/>
        <v>1868752.4822580642</v>
      </c>
      <c r="QP68" s="197"/>
      <c r="QQ68" s="197"/>
      <c r="QR68" s="197"/>
      <c r="QS68" s="197"/>
      <c r="QT68" s="197"/>
      <c r="QU68" s="197"/>
      <c r="QV68" s="197"/>
      <c r="QW68" s="197"/>
      <c r="QX68" s="197"/>
      <c r="QY68" s="197"/>
      <c r="QZ68" s="197"/>
      <c r="RA68" s="197"/>
      <c r="RB68" s="197"/>
      <c r="RC68" s="197"/>
      <c r="RD68" s="197"/>
      <c r="RE68" s="197"/>
      <c r="RF68" s="197"/>
      <c r="RG68" s="197"/>
      <c r="RH68" s="197"/>
      <c r="RI68" s="197"/>
      <c r="RJ68" s="197"/>
      <c r="RK68" s="197"/>
      <c r="RL68" s="197"/>
      <c r="RM68" s="197"/>
      <c r="RN68" s="197"/>
      <c r="RO68" s="197"/>
      <c r="RP68" s="197"/>
      <c r="RQ68" s="197"/>
      <c r="RR68" s="197"/>
      <c r="RS68" s="197"/>
      <c r="RT68" s="197"/>
      <c r="RU68" s="197"/>
      <c r="RV68" s="197"/>
      <c r="RW68" s="197"/>
      <c r="RX68" s="197"/>
      <c r="RY68" s="197"/>
      <c r="RZ68" s="197"/>
      <c r="SA68" s="197"/>
      <c r="SB68" s="197"/>
      <c r="SC68" s="197"/>
      <c r="SD68" s="197"/>
      <c r="SE68" s="197"/>
      <c r="SF68" s="197"/>
      <c r="SG68" s="197"/>
      <c r="SH68" s="197"/>
      <c r="SI68" s="197"/>
      <c r="SJ68" s="197"/>
      <c r="SK68" s="197"/>
      <c r="SL68" s="197"/>
      <c r="SM68" s="197"/>
      <c r="SN68" s="197"/>
      <c r="SO68" s="197"/>
      <c r="SP68" s="197"/>
      <c r="SQ68" s="197"/>
      <c r="SR68" s="197"/>
      <c r="SS68" s="197"/>
      <c r="ST68" s="197"/>
      <c r="SU68" s="197"/>
      <c r="SV68" s="197"/>
      <c r="SW68" s="197"/>
      <c r="SX68" s="197"/>
      <c r="SY68" s="197"/>
      <c r="SZ68" s="197"/>
      <c r="TA68" s="197"/>
      <c r="TB68" s="197"/>
      <c r="TC68" s="197"/>
      <c r="TD68" s="197"/>
      <c r="TE68" s="197"/>
      <c r="TF68" s="197"/>
      <c r="TG68" s="197"/>
      <c r="TH68" s="197"/>
      <c r="TI68" s="197"/>
      <c r="TJ68" s="197"/>
      <c r="TK68" s="197"/>
      <c r="TL68" s="197"/>
      <c r="TM68" s="197"/>
      <c r="TN68" s="197"/>
      <c r="TO68" s="197"/>
      <c r="TP68" s="197"/>
      <c r="TQ68" s="197"/>
      <c r="TR68" s="197"/>
      <c r="TS68" s="197"/>
      <c r="TT68" s="197"/>
      <c r="TU68" s="197"/>
      <c r="TV68" s="197"/>
      <c r="TW68" s="197"/>
      <c r="TX68" s="197"/>
      <c r="TY68" s="197"/>
      <c r="TZ68" s="197"/>
      <c r="UA68" s="197"/>
      <c r="UB68" s="197"/>
      <c r="WT68" s="196">
        <f>WT42-WT55</f>
        <v>5879907.5099999998</v>
      </c>
    </row>
    <row r="69" spans="2:663" ht="15.75" customHeight="1" x14ac:dyDescent="0.2"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RH69" s="7"/>
      <c r="RI69" s="7"/>
      <c r="RJ69" s="7"/>
      <c r="RK69" s="7"/>
      <c r="RL69" s="7"/>
      <c r="RM69" s="7"/>
      <c r="RN69" s="7"/>
      <c r="RO69" s="7"/>
      <c r="RP69" s="7"/>
      <c r="RQ69" s="7"/>
      <c r="RR69" s="7"/>
      <c r="RS69" s="7"/>
      <c r="RT69" s="7"/>
      <c r="RU69" s="7"/>
      <c r="RV69" s="7"/>
      <c r="RW69" s="7"/>
      <c r="RX69" s="7"/>
      <c r="RY69" s="7"/>
      <c r="RZ69" s="7"/>
      <c r="SA69" s="7"/>
      <c r="SB69" s="7"/>
      <c r="SC69" s="7"/>
      <c r="SD69" s="7"/>
      <c r="SE69" s="7"/>
      <c r="SF69" s="7"/>
      <c r="SG69" s="7"/>
      <c r="SH69" s="7"/>
      <c r="SI69" s="7"/>
      <c r="SJ69" s="7"/>
      <c r="SK69" s="7"/>
      <c r="SL69" s="7"/>
      <c r="SM69" s="7"/>
      <c r="SN69" s="7"/>
      <c r="SO69" s="7"/>
      <c r="SP69" s="7"/>
      <c r="SQ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TD69" s="7"/>
      <c r="TE69" s="7"/>
      <c r="TF69" s="7"/>
      <c r="TG69" s="7"/>
      <c r="TH69" s="7"/>
      <c r="TI69" s="7"/>
      <c r="TJ69" s="7"/>
      <c r="TK69" s="7"/>
      <c r="TL69" s="7"/>
      <c r="TM69" s="7"/>
      <c r="TN69" s="7"/>
      <c r="TO69" s="7"/>
      <c r="TP69" s="7"/>
      <c r="TQ69" s="7"/>
      <c r="TR69" s="7"/>
      <c r="TS69" s="7"/>
      <c r="TT69" s="7"/>
      <c r="TU69" s="7"/>
      <c r="TV69" s="7"/>
      <c r="TW69" s="7"/>
      <c r="TX69" s="7"/>
      <c r="TY69" s="7"/>
      <c r="TZ69" s="7"/>
      <c r="UA69" s="7"/>
      <c r="UB69" s="7"/>
      <c r="WT69" s="196">
        <f>WT29-WT55</f>
        <v>180235984.56999999</v>
      </c>
    </row>
    <row r="70" spans="2:663" ht="15.75" customHeight="1" x14ac:dyDescent="0.2"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RH70" s="7"/>
      <c r="RI70" s="7"/>
      <c r="RJ70" s="7"/>
      <c r="RK70" s="7"/>
      <c r="RL70" s="7"/>
      <c r="RM70" s="7"/>
      <c r="RN70" s="7"/>
      <c r="RO70" s="7"/>
      <c r="RP70" s="7"/>
      <c r="RQ70" s="7"/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7"/>
      <c r="SL70" s="7"/>
      <c r="SM70" s="7"/>
      <c r="SN70" s="7"/>
      <c r="SO70" s="7"/>
      <c r="SP70" s="7"/>
      <c r="SQ70" s="7"/>
      <c r="SR70" s="7"/>
      <c r="SS70" s="7"/>
      <c r="ST70" s="7"/>
      <c r="SU70" s="7"/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  <c r="TU70" s="7"/>
      <c r="TV70" s="7"/>
      <c r="TW70" s="7"/>
      <c r="TX70" s="7"/>
      <c r="TY70" s="7"/>
      <c r="TZ70" s="7"/>
      <c r="UA70" s="7"/>
      <c r="UB70" s="7"/>
      <c r="WT70" s="7">
        <f>WT68/WT69</f>
        <v>3.2623382750276278E-2</v>
      </c>
    </row>
    <row r="71" spans="2:663" ht="15.75" customHeight="1" x14ac:dyDescent="0.2">
      <c r="QN71" s="196">
        <f t="shared" ref="QN71:QO71" si="110">SUM($PK$38:QN38)</f>
        <v>1302388.6225353149</v>
      </c>
      <c r="QO71" s="196">
        <f t="shared" si="110"/>
        <v>1364533.4223690997</v>
      </c>
      <c r="QP71" s="196"/>
      <c r="QQ71" s="196"/>
      <c r="QR71" s="196"/>
      <c r="QS71" s="196"/>
      <c r="QT71" s="196"/>
      <c r="QU71" s="196"/>
      <c r="QV71" s="196"/>
      <c r="QW71" s="196"/>
      <c r="QX71" s="196"/>
      <c r="QY71" s="196"/>
      <c r="QZ71" s="196"/>
      <c r="RA71" s="196"/>
      <c r="RB71" s="196"/>
      <c r="RC71" s="196"/>
      <c r="RD71" s="196"/>
      <c r="RE71" s="196"/>
      <c r="RF71" s="196"/>
      <c r="RG71" s="196"/>
      <c r="RH71" s="196"/>
      <c r="RI71" s="196"/>
      <c r="RJ71" s="196"/>
      <c r="RK71" s="196"/>
      <c r="RL71" s="196"/>
      <c r="RM71" s="196"/>
      <c r="RN71" s="196"/>
      <c r="RO71" s="196"/>
      <c r="RP71" s="196"/>
      <c r="RQ71" s="196"/>
      <c r="RR71" s="196"/>
      <c r="RS71" s="196"/>
      <c r="RT71" s="196"/>
      <c r="RU71" s="196"/>
      <c r="RV71" s="196"/>
      <c r="RW71" s="196"/>
      <c r="RX71" s="196"/>
      <c r="RY71" s="196"/>
      <c r="RZ71" s="196"/>
      <c r="SA71" s="196"/>
      <c r="SB71" s="196"/>
      <c r="SC71" s="196"/>
      <c r="SD71" s="196"/>
      <c r="SE71" s="196"/>
      <c r="SF71" s="196"/>
      <c r="SG71" s="196"/>
      <c r="SH71" s="196"/>
      <c r="SI71" s="196"/>
      <c r="SJ71" s="196"/>
      <c r="SK71" s="196"/>
      <c r="SL71" s="196"/>
      <c r="SM71" s="196"/>
      <c r="SN71" s="196"/>
      <c r="SO71" s="196"/>
      <c r="SP71" s="196"/>
      <c r="SQ71" s="196"/>
      <c r="SR71" s="196"/>
      <c r="SS71" s="196"/>
      <c r="ST71" s="196"/>
      <c r="SU71" s="196"/>
      <c r="SV71" s="196"/>
      <c r="SW71" s="196"/>
      <c r="SX71" s="196"/>
      <c r="SY71" s="196"/>
      <c r="SZ71" s="196"/>
      <c r="TA71" s="196"/>
      <c r="TB71" s="196"/>
      <c r="TC71" s="196"/>
      <c r="TD71" s="196"/>
      <c r="TE71" s="196"/>
      <c r="TF71" s="196"/>
      <c r="TG71" s="196"/>
      <c r="TH71" s="196"/>
      <c r="TI71" s="196"/>
      <c r="TJ71" s="196"/>
      <c r="TK71" s="196"/>
      <c r="TL71" s="196"/>
      <c r="TM71" s="196"/>
      <c r="TN71" s="196"/>
      <c r="TO71" s="196"/>
      <c r="TP71" s="196"/>
      <c r="TQ71" s="196"/>
      <c r="TR71" s="196"/>
      <c r="TS71" s="196"/>
      <c r="TT71" s="196"/>
      <c r="TU71" s="196"/>
      <c r="TV71" s="196"/>
      <c r="TW71" s="196"/>
      <c r="TX71" s="196"/>
      <c r="TY71" s="196"/>
      <c r="TZ71" s="196"/>
      <c r="UA71" s="196"/>
      <c r="UB71" s="196"/>
    </row>
    <row r="72" spans="2:663" ht="15.75" customHeight="1" x14ac:dyDescent="0.2">
      <c r="PW72" s="7"/>
      <c r="PX72" s="7"/>
      <c r="PY72" s="7"/>
      <c r="QB72" s="7"/>
      <c r="QN72" s="197">
        <f t="shared" ref="QN72:QO72" si="111">QN71/55.8</f>
        <v>23340.297894898118</v>
      </c>
      <c r="QO72" s="197">
        <f t="shared" si="111"/>
        <v>24454.003985109313</v>
      </c>
      <c r="QP72" s="197"/>
      <c r="QQ72" s="197"/>
      <c r="QR72" s="197"/>
      <c r="QS72" s="197"/>
      <c r="QT72" s="197"/>
      <c r="QU72" s="197"/>
      <c r="QV72" s="197"/>
      <c r="QW72" s="197"/>
      <c r="QX72" s="197"/>
      <c r="QY72" s="197"/>
      <c r="QZ72" s="197"/>
      <c r="RA72" s="197"/>
      <c r="RB72" s="197"/>
      <c r="RC72" s="197"/>
      <c r="RD72" s="197"/>
      <c r="RE72" s="197"/>
      <c r="RF72" s="197"/>
      <c r="RG72" s="197"/>
      <c r="RH72" s="197"/>
      <c r="RI72" s="197"/>
      <c r="RJ72" s="197"/>
      <c r="RK72" s="197"/>
      <c r="RL72" s="197"/>
      <c r="RM72" s="197"/>
      <c r="RN72" s="197"/>
      <c r="RO72" s="197"/>
      <c r="RP72" s="197"/>
      <c r="RQ72" s="197"/>
      <c r="RR72" s="197"/>
      <c r="RS72" s="197"/>
      <c r="RT72" s="197"/>
      <c r="RU72" s="197"/>
      <c r="RV72" s="197"/>
      <c r="RW72" s="197"/>
      <c r="RX72" s="197"/>
      <c r="RY72" s="197"/>
      <c r="RZ72" s="197"/>
      <c r="SA72" s="197"/>
      <c r="SB72" s="197"/>
      <c r="SC72" s="197"/>
      <c r="SD72" s="197"/>
      <c r="SE72" s="197"/>
      <c r="SF72" s="197"/>
      <c r="SG72" s="197"/>
      <c r="SH72" s="197"/>
      <c r="SI72" s="197"/>
      <c r="SJ72" s="197"/>
      <c r="SK72" s="197"/>
      <c r="SL72" s="197"/>
      <c r="SM72" s="197"/>
      <c r="SN72" s="197"/>
      <c r="SO72" s="197"/>
      <c r="SP72" s="197"/>
      <c r="SQ72" s="197"/>
      <c r="SR72" s="197"/>
      <c r="SS72" s="197"/>
      <c r="ST72" s="197"/>
      <c r="SU72" s="197"/>
      <c r="SV72" s="197"/>
      <c r="SW72" s="197"/>
      <c r="SX72" s="197"/>
      <c r="SY72" s="197"/>
      <c r="SZ72" s="197"/>
      <c r="TA72" s="197"/>
      <c r="TB72" s="197"/>
      <c r="TC72" s="197"/>
      <c r="TD72" s="197"/>
      <c r="TE72" s="197"/>
      <c r="TF72" s="197"/>
      <c r="TG72" s="197"/>
      <c r="TH72" s="197"/>
      <c r="TI72" s="197"/>
      <c r="TJ72" s="197"/>
      <c r="TK72" s="197"/>
      <c r="TL72" s="197"/>
      <c r="TM72" s="197"/>
      <c r="TN72" s="197"/>
      <c r="TO72" s="197"/>
      <c r="TP72" s="197"/>
      <c r="TQ72" s="197"/>
      <c r="TR72" s="197"/>
      <c r="TS72" s="197"/>
      <c r="TT72" s="197"/>
      <c r="TU72" s="197"/>
      <c r="TV72" s="197"/>
      <c r="TW72" s="197"/>
      <c r="TX72" s="197"/>
      <c r="TY72" s="197"/>
      <c r="TZ72" s="197"/>
      <c r="UA72" s="197"/>
      <c r="UB72" s="197"/>
    </row>
    <row r="73" spans="2:663" ht="15.75" customHeight="1" x14ac:dyDescent="0.2">
      <c r="PW73" s="197"/>
      <c r="PX73" s="197"/>
      <c r="PY73" s="197"/>
      <c r="PZ73" s="197"/>
      <c r="QA73" s="197"/>
      <c r="QB73" s="197"/>
      <c r="QC73" s="197"/>
      <c r="QD73" s="197"/>
      <c r="QE73" s="197"/>
      <c r="QF73" s="197"/>
      <c r="QG73" s="197"/>
      <c r="QH73" s="197"/>
      <c r="QI73" s="197"/>
      <c r="QJ73" s="197"/>
      <c r="QK73" s="197"/>
      <c r="QL73" s="197"/>
      <c r="QM73" s="197"/>
      <c r="QN73" s="197">
        <f t="shared" ref="QN73:QO73" si="112">QN72*12</f>
        <v>280083.57473877742</v>
      </c>
      <c r="QO73" s="197">
        <f t="shared" si="112"/>
        <v>293448.04782131175</v>
      </c>
      <c r="QP73" s="197"/>
      <c r="QQ73" s="197"/>
      <c r="QR73" s="197"/>
      <c r="QS73" s="197"/>
      <c r="QT73" s="197"/>
      <c r="QU73" s="197"/>
      <c r="QV73" s="197"/>
      <c r="QW73" s="197"/>
      <c r="QX73" s="197"/>
      <c r="QY73" s="197"/>
      <c r="QZ73" s="197"/>
      <c r="RA73" s="197"/>
      <c r="RB73" s="197"/>
      <c r="RC73" s="197"/>
      <c r="RD73" s="197"/>
      <c r="RE73" s="197"/>
      <c r="RF73" s="197"/>
      <c r="RG73" s="197"/>
      <c r="RH73" s="197"/>
      <c r="RI73" s="197"/>
      <c r="RJ73" s="197"/>
      <c r="RK73" s="197"/>
      <c r="RL73" s="197"/>
      <c r="RM73" s="197"/>
      <c r="RN73" s="197"/>
      <c r="RO73" s="197"/>
      <c r="RP73" s="197"/>
      <c r="RQ73" s="197"/>
      <c r="RR73" s="197"/>
      <c r="RS73" s="197"/>
      <c r="RT73" s="197"/>
      <c r="RU73" s="197"/>
      <c r="RV73" s="197"/>
      <c r="RW73" s="197"/>
      <c r="RX73" s="197"/>
      <c r="RY73" s="197"/>
      <c r="RZ73" s="197"/>
      <c r="SA73" s="197"/>
      <c r="SB73" s="197"/>
      <c r="SC73" s="197"/>
      <c r="SD73" s="197"/>
      <c r="SE73" s="197"/>
      <c r="SF73" s="197"/>
      <c r="SG73" s="197"/>
      <c r="SH73" s="197"/>
      <c r="SI73" s="197"/>
      <c r="SJ73" s="197"/>
      <c r="SK73" s="197"/>
      <c r="SL73" s="197"/>
      <c r="SM73" s="197"/>
      <c r="SN73" s="197"/>
      <c r="SO73" s="197"/>
      <c r="SP73" s="197"/>
      <c r="SQ73" s="197"/>
      <c r="SR73" s="197"/>
      <c r="SS73" s="197"/>
      <c r="ST73" s="197"/>
      <c r="SU73" s="197"/>
      <c r="SV73" s="197"/>
      <c r="SW73" s="197"/>
      <c r="SX73" s="197"/>
      <c r="SY73" s="197"/>
      <c r="SZ73" s="197"/>
      <c r="TA73" s="197"/>
      <c r="TB73" s="197"/>
      <c r="TC73" s="197"/>
      <c r="TD73" s="197"/>
      <c r="TE73" s="197"/>
      <c r="TF73" s="197"/>
      <c r="TG73" s="197"/>
      <c r="TH73" s="197"/>
      <c r="TI73" s="197"/>
      <c r="TJ73" s="197"/>
      <c r="TK73" s="197"/>
      <c r="TL73" s="197"/>
      <c r="TM73" s="197"/>
      <c r="TN73" s="197"/>
      <c r="TO73" s="197"/>
      <c r="TP73" s="197"/>
      <c r="TQ73" s="197"/>
      <c r="TR73" s="197"/>
      <c r="TS73" s="197"/>
      <c r="TT73" s="197"/>
      <c r="TU73" s="197"/>
      <c r="TV73" s="197"/>
      <c r="TW73" s="197"/>
      <c r="TX73" s="197"/>
      <c r="TY73" s="197"/>
      <c r="TZ73" s="197"/>
      <c r="UA73" s="197"/>
      <c r="UB73" s="197"/>
    </row>
    <row r="74" spans="2:663" ht="15.75" customHeight="1" x14ac:dyDescent="0.2">
      <c r="PW74" s="197"/>
      <c r="PX74" s="197"/>
      <c r="PY74" s="197"/>
      <c r="PZ74" s="197"/>
      <c r="QA74" s="197"/>
      <c r="QB74" s="197"/>
      <c r="QC74" s="197"/>
      <c r="QD74" s="197"/>
      <c r="QE74" s="197"/>
      <c r="QF74" s="197"/>
      <c r="QG74" s="197"/>
      <c r="QH74" s="197"/>
      <c r="QI74" s="197"/>
      <c r="QJ74" s="197"/>
      <c r="QK74" s="197"/>
      <c r="QL74" s="197"/>
      <c r="QM74" s="197"/>
      <c r="QN74" s="197"/>
      <c r="QO74" s="197"/>
      <c r="QP74" s="197"/>
      <c r="QQ74" s="197"/>
      <c r="QR74" s="197"/>
      <c r="QS74" s="197"/>
      <c r="QT74" s="197"/>
      <c r="QU74" s="197"/>
      <c r="QV74" s="197"/>
      <c r="QW74" s="197"/>
      <c r="QX74" s="197"/>
      <c r="QY74" s="197"/>
      <c r="QZ74" s="197"/>
      <c r="RA74" s="197"/>
      <c r="RB74" s="197"/>
      <c r="RC74" s="197"/>
      <c r="RD74" s="197"/>
      <c r="RE74" s="197"/>
      <c r="RF74" s="197"/>
      <c r="RG74" s="197"/>
      <c r="RH74" s="197"/>
      <c r="RI74" s="197"/>
      <c r="RJ74" s="197"/>
      <c r="RK74" s="197"/>
      <c r="RL74" s="197"/>
      <c r="RM74" s="197"/>
      <c r="RN74" s="197"/>
      <c r="RO74" s="197"/>
      <c r="RP74" s="197"/>
      <c r="RQ74" s="197"/>
      <c r="RR74" s="197"/>
      <c r="RS74" s="197"/>
      <c r="RT74" s="197"/>
      <c r="RU74" s="197"/>
      <c r="RV74" s="197"/>
      <c r="RW74" s="197"/>
      <c r="RX74" s="197"/>
      <c r="RY74" s="197"/>
      <c r="RZ74" s="197"/>
      <c r="SA74" s="197"/>
      <c r="SB74" s="197"/>
      <c r="SC74" s="197"/>
      <c r="SD74" s="197"/>
      <c r="SE74" s="197"/>
      <c r="SF74" s="197"/>
      <c r="SG74" s="197"/>
      <c r="SH74" s="197"/>
      <c r="SI74" s="197"/>
      <c r="SJ74" s="197"/>
      <c r="SK74" s="197"/>
      <c r="SL74" s="197"/>
      <c r="SM74" s="197"/>
      <c r="SN74" s="197"/>
      <c r="SO74" s="197"/>
      <c r="SP74" s="197"/>
      <c r="SQ74" s="197"/>
      <c r="SR74" s="197"/>
      <c r="SS74" s="197"/>
      <c r="ST74" s="197"/>
      <c r="SU74" s="197"/>
      <c r="SV74" s="197"/>
      <c r="SW74" s="197"/>
      <c r="SX74" s="197"/>
      <c r="SY74" s="197"/>
      <c r="SZ74" s="197"/>
      <c r="TA74" s="197"/>
      <c r="TB74" s="197"/>
      <c r="TC74" s="197"/>
      <c r="TD74" s="197"/>
      <c r="TE74" s="197"/>
      <c r="TF74" s="197"/>
      <c r="TG74" s="197"/>
      <c r="TH74" s="197"/>
      <c r="TI74" s="197"/>
      <c r="TJ74" s="197"/>
      <c r="TK74" s="197"/>
      <c r="TL74" s="197"/>
      <c r="TM74" s="197"/>
      <c r="TN74" s="197"/>
      <c r="TO74" s="197"/>
      <c r="TP74" s="197"/>
      <c r="TQ74" s="197"/>
      <c r="TR74" s="197"/>
      <c r="TS74" s="197"/>
      <c r="TT74" s="197"/>
      <c r="TU74" s="197"/>
      <c r="TV74" s="197"/>
      <c r="TW74" s="197"/>
      <c r="TX74" s="197"/>
      <c r="TY74" s="197"/>
      <c r="TZ74" s="197"/>
      <c r="UA74" s="197"/>
      <c r="UB74" s="197"/>
    </row>
    <row r="75" spans="2:663" ht="15.75" customHeight="1" x14ac:dyDescent="0.2">
      <c r="QO75" s="43">
        <f>AVERAGE(PK8:QO8)</f>
        <v>5514.8064516129034</v>
      </c>
      <c r="QP75" s="43"/>
      <c r="QQ75" s="43"/>
      <c r="QR75" s="43"/>
      <c r="QS75" s="43"/>
      <c r="QT75" s="43"/>
      <c r="QU75" s="43"/>
      <c r="QV75" s="43"/>
      <c r="QW75" s="43"/>
      <c r="QX75" s="43"/>
      <c r="QY75" s="43"/>
      <c r="QZ75" s="43"/>
      <c r="RA75" s="43"/>
      <c r="RB75" s="43"/>
      <c r="RC75" s="43"/>
      <c r="RD75" s="43"/>
      <c r="RE75" s="43"/>
      <c r="RF75" s="43"/>
      <c r="RG75" s="43"/>
      <c r="RH75" s="43"/>
      <c r="RI75" s="43"/>
      <c r="RJ75" s="43"/>
      <c r="RK75" s="43"/>
      <c r="RL75" s="43"/>
      <c r="RM75" s="43"/>
      <c r="RN75" s="43"/>
      <c r="RO75" s="43"/>
      <c r="RP75" s="43"/>
      <c r="RQ75" s="43"/>
      <c r="RR75" s="43"/>
      <c r="RS75" s="43"/>
      <c r="RT75" s="43"/>
      <c r="RU75" s="43"/>
      <c r="RV75" s="43"/>
      <c r="RW75" s="43"/>
      <c r="RX75" s="43"/>
      <c r="RY75" s="43"/>
      <c r="RZ75" s="43"/>
      <c r="SA75" s="43"/>
      <c r="SB75" s="43"/>
      <c r="SC75" s="43"/>
      <c r="SD75" s="43"/>
      <c r="SE75" s="43"/>
      <c r="SF75" s="43"/>
      <c r="SG75" s="43"/>
      <c r="SH75" s="43"/>
      <c r="SI75" s="43"/>
      <c r="SJ75" s="43"/>
      <c r="SK75" s="43"/>
      <c r="SL75" s="43"/>
      <c r="SM75" s="43"/>
      <c r="SN75" s="43"/>
      <c r="SO75" s="43"/>
      <c r="SP75" s="43"/>
      <c r="SQ75" s="43"/>
      <c r="SR75" s="43"/>
      <c r="SS75" s="43"/>
      <c r="ST75" s="43"/>
      <c r="SU75" s="43"/>
      <c r="SV75" s="43"/>
      <c r="SW75" s="43"/>
      <c r="SX75" s="43"/>
      <c r="SY75" s="43"/>
      <c r="SZ75" s="43"/>
      <c r="TA75" s="43"/>
      <c r="TB75" s="43"/>
      <c r="TC75" s="43"/>
      <c r="TD75" s="43"/>
      <c r="TE75" s="43"/>
      <c r="TF75" s="43"/>
      <c r="TG75" s="43"/>
      <c r="TH75" s="43"/>
      <c r="TI75" s="43"/>
      <c r="TJ75" s="43"/>
      <c r="TK75" s="43"/>
      <c r="TL75" s="43"/>
      <c r="TM75" s="43"/>
      <c r="TN75" s="43"/>
      <c r="TO75" s="43"/>
      <c r="TP75" s="43"/>
      <c r="TQ75" s="43"/>
      <c r="TR75" s="43"/>
      <c r="TS75" s="43"/>
      <c r="TT75" s="43"/>
      <c r="TU75" s="43"/>
      <c r="TV75" s="43"/>
      <c r="TW75" s="43"/>
      <c r="TX75" s="43"/>
      <c r="TY75" s="43"/>
      <c r="TZ75" s="43"/>
      <c r="UA75" s="43"/>
      <c r="UB75" s="43"/>
    </row>
    <row r="76" spans="2:663" ht="15.75" customHeight="1" x14ac:dyDescent="0.2">
      <c r="QO76" s="46">
        <v>4000</v>
      </c>
      <c r="QP76" s="46"/>
      <c r="QQ76" s="46"/>
      <c r="QR76" s="46"/>
      <c r="QS76" s="46"/>
      <c r="QT76" s="46"/>
      <c r="QU76" s="46"/>
      <c r="QV76" s="46"/>
      <c r="QW76" s="46"/>
      <c r="QX76" s="46"/>
      <c r="QY76" s="46"/>
      <c r="QZ76" s="46"/>
      <c r="RA76" s="46"/>
      <c r="RB76" s="46"/>
      <c r="RC76" s="46"/>
      <c r="RD76" s="46"/>
      <c r="RE76" s="46"/>
      <c r="RF76" s="46"/>
      <c r="RG76" s="46"/>
      <c r="RH76" s="46"/>
      <c r="RI76" s="46"/>
      <c r="RJ76" s="46"/>
      <c r="RK76" s="46"/>
      <c r="RL76" s="46"/>
      <c r="RM76" s="46"/>
      <c r="RN76" s="46"/>
      <c r="RO76" s="46"/>
      <c r="RP76" s="46"/>
      <c r="RQ76" s="46"/>
      <c r="RR76" s="46"/>
      <c r="RS76" s="46"/>
      <c r="RT76" s="46"/>
      <c r="RU76" s="46"/>
      <c r="RV76" s="46"/>
      <c r="RW76" s="46"/>
      <c r="RX76" s="46"/>
      <c r="RY76" s="46"/>
      <c r="RZ76" s="46"/>
      <c r="SA76" s="46"/>
      <c r="SB76" s="46"/>
      <c r="SC76" s="46"/>
      <c r="SD76" s="46"/>
      <c r="SE76" s="46"/>
      <c r="SF76" s="46"/>
      <c r="SG76" s="46"/>
      <c r="SH76" s="46"/>
      <c r="SI76" s="46"/>
      <c r="SJ76" s="46"/>
      <c r="SK76" s="46"/>
      <c r="SL76" s="46"/>
      <c r="SM76" s="46"/>
      <c r="SN76" s="46"/>
      <c r="SO76" s="46"/>
      <c r="SP76" s="46"/>
      <c r="SQ76" s="46"/>
      <c r="SR76" s="46"/>
      <c r="SS76" s="46"/>
      <c r="ST76" s="46"/>
      <c r="SU76" s="46"/>
      <c r="SV76" s="46"/>
      <c r="SW76" s="46"/>
      <c r="SX76" s="46"/>
      <c r="SY76" s="46"/>
      <c r="SZ76" s="46"/>
      <c r="TA76" s="46"/>
      <c r="TB76" s="46"/>
      <c r="TC76" s="46"/>
      <c r="TD76" s="46"/>
      <c r="TE76" s="46"/>
      <c r="TF76" s="46"/>
      <c r="TG76" s="46"/>
      <c r="TH76" s="46"/>
      <c r="TI76" s="46"/>
      <c r="TJ76" s="46"/>
      <c r="TK76" s="46"/>
      <c r="TL76" s="46"/>
      <c r="TM76" s="46"/>
      <c r="TN76" s="46"/>
      <c r="TO76" s="46"/>
      <c r="TP76" s="46"/>
      <c r="TQ76" s="46"/>
      <c r="TR76" s="46"/>
      <c r="TS76" s="46"/>
      <c r="TT76" s="46"/>
      <c r="TU76" s="46"/>
      <c r="TV76" s="46"/>
      <c r="TW76" s="46"/>
      <c r="TX76" s="46"/>
      <c r="TY76" s="46"/>
      <c r="TZ76" s="46"/>
      <c r="UA76" s="46"/>
      <c r="UB76" s="46"/>
    </row>
    <row r="77" spans="2:663" ht="15.75" customHeight="1" x14ac:dyDescent="0.2">
      <c r="QO77" s="7">
        <f>QO76/QO75</f>
        <v>0.72532010599032515</v>
      </c>
      <c r="QP77" s="7"/>
      <c r="QQ77" s="7"/>
      <c r="QR77" s="7"/>
      <c r="QS77" s="7"/>
      <c r="QT77" s="7"/>
      <c r="QU77" s="7"/>
      <c r="QV77" s="7"/>
      <c r="QW77" s="7"/>
      <c r="QX77" s="7"/>
      <c r="QY77" s="7"/>
      <c r="QZ77" s="7"/>
      <c r="RA77" s="7"/>
      <c r="RB77" s="7"/>
      <c r="RC77" s="7"/>
      <c r="RD77" s="7"/>
      <c r="RE77" s="7"/>
      <c r="RF77" s="7"/>
      <c r="RG77" s="7"/>
      <c r="RH77" s="7"/>
      <c r="RI77" s="7"/>
      <c r="RJ77" s="7"/>
      <c r="RK77" s="7"/>
      <c r="RL77" s="7"/>
      <c r="RM77" s="7"/>
      <c r="RN77" s="7"/>
      <c r="RO77" s="7"/>
      <c r="RP77" s="7"/>
      <c r="RQ77" s="7"/>
      <c r="RR77" s="7"/>
      <c r="RS77" s="7"/>
      <c r="RT77" s="7"/>
      <c r="RU77" s="7"/>
      <c r="RV77" s="7"/>
      <c r="RW77" s="7"/>
      <c r="RX77" s="7"/>
      <c r="RY77" s="7"/>
      <c r="RZ77" s="7"/>
      <c r="SA77" s="7"/>
      <c r="SB77" s="7"/>
      <c r="SC77" s="7"/>
      <c r="SD77" s="7"/>
      <c r="SE77" s="7"/>
      <c r="SF77" s="7"/>
      <c r="SG77" s="7"/>
      <c r="SH77" s="7"/>
      <c r="SI77" s="7"/>
      <c r="SJ77" s="7"/>
      <c r="SK77" s="7"/>
      <c r="SL77" s="7"/>
      <c r="SM77" s="7"/>
      <c r="SN77" s="7"/>
      <c r="SO77" s="7"/>
      <c r="SP77" s="7"/>
      <c r="SQ77" s="7"/>
      <c r="SR77" s="7"/>
      <c r="SS77" s="7"/>
      <c r="ST77" s="7"/>
      <c r="SU77" s="7"/>
      <c r="SV77" s="7"/>
      <c r="SW77" s="7"/>
      <c r="SX77" s="7"/>
      <c r="SY77" s="7"/>
      <c r="SZ77" s="7"/>
      <c r="TA77" s="7"/>
      <c r="TB77" s="7"/>
      <c r="TC77" s="7"/>
      <c r="TD77" s="7"/>
      <c r="TE77" s="7"/>
      <c r="TF77" s="7"/>
      <c r="TG77" s="7"/>
      <c r="TH77" s="7"/>
      <c r="TI77" s="7"/>
      <c r="TJ77" s="7"/>
      <c r="TK77" s="7"/>
      <c r="TL77" s="7"/>
      <c r="TM77" s="7"/>
      <c r="TN77" s="7"/>
      <c r="TO77" s="7"/>
      <c r="TP77" s="7"/>
      <c r="TQ77" s="7"/>
      <c r="TR77" s="7"/>
      <c r="TS77" s="7"/>
      <c r="TT77" s="7"/>
      <c r="TU77" s="7"/>
      <c r="TV77" s="7"/>
      <c r="TW77" s="7"/>
      <c r="TX77" s="7"/>
      <c r="TY77" s="7"/>
      <c r="TZ77" s="7"/>
      <c r="UA77" s="7"/>
      <c r="UB77" s="7"/>
    </row>
    <row r="78" spans="2:663" ht="15.75" customHeight="1" x14ac:dyDescent="0.2"/>
    <row r="79" spans="2:663" ht="15.75" customHeight="1" x14ac:dyDescent="0.2"/>
    <row r="80" spans="2:663" ht="15.75" customHeight="1" x14ac:dyDescent="0.2">
      <c r="QO80" s="43">
        <f>SUM(PK22:QO22)</f>
        <v>74398</v>
      </c>
      <c r="QP80" s="43"/>
      <c r="QQ80" s="43"/>
      <c r="QR80" s="43"/>
      <c r="QS80" s="43"/>
      <c r="QT80" s="43"/>
      <c r="QU80" s="43"/>
      <c r="QV80" s="43"/>
      <c r="QW80" s="43"/>
      <c r="QX80" s="43"/>
      <c r="QY80" s="43"/>
      <c r="QZ80" s="43"/>
      <c r="RA80" s="43"/>
      <c r="RB80" s="43"/>
      <c r="RC80" s="43"/>
      <c r="RD80" s="43"/>
      <c r="RE80" s="43"/>
      <c r="RF80" s="43"/>
      <c r="RG80" s="43"/>
      <c r="RH80" s="43"/>
      <c r="RI80" s="43"/>
      <c r="RJ80" s="43"/>
      <c r="RK80" s="43"/>
      <c r="RL80" s="43"/>
      <c r="RM80" s="43"/>
      <c r="RN80" s="43"/>
      <c r="RO80" s="43"/>
      <c r="RP80" s="43"/>
      <c r="RQ80" s="43"/>
      <c r="RR80" s="43"/>
      <c r="RS80" s="43"/>
      <c r="RT80" s="43"/>
      <c r="RU80" s="43"/>
      <c r="RV80" s="43"/>
      <c r="RW80" s="43"/>
      <c r="RX80" s="43"/>
      <c r="RY80" s="43"/>
      <c r="RZ80" s="43"/>
      <c r="SA80" s="43"/>
      <c r="SB80" s="43"/>
      <c r="SC80" s="43"/>
      <c r="SD80" s="43"/>
      <c r="SE80" s="43"/>
      <c r="SF80" s="43"/>
      <c r="SG80" s="43"/>
      <c r="SH80" s="43"/>
      <c r="SI80" s="43"/>
      <c r="SJ80" s="43"/>
      <c r="SK80" s="43"/>
      <c r="SL80" s="43"/>
      <c r="SM80" s="43"/>
      <c r="SN80" s="43"/>
      <c r="SO80" s="43"/>
      <c r="SP80" s="43"/>
      <c r="SQ80" s="43"/>
      <c r="SR80" s="43"/>
      <c r="SS80" s="43"/>
      <c r="ST80" s="43"/>
      <c r="SU80" s="43"/>
      <c r="SV80" s="43"/>
      <c r="SW80" s="43"/>
      <c r="SX80" s="43"/>
      <c r="SY80" s="43"/>
      <c r="SZ80" s="43"/>
      <c r="TA80" s="43"/>
      <c r="TB80" s="43"/>
      <c r="TC80" s="43"/>
      <c r="TD80" s="43"/>
      <c r="TE80" s="43"/>
      <c r="TF80" s="43"/>
      <c r="TG80" s="43"/>
      <c r="TH80" s="43"/>
      <c r="TI80" s="43"/>
      <c r="TJ80" s="43"/>
      <c r="TK80" s="43"/>
      <c r="TL80" s="43"/>
      <c r="TM80" s="43"/>
      <c r="TN80" s="43"/>
      <c r="TO80" s="43"/>
      <c r="TP80" s="43"/>
      <c r="TQ80" s="43"/>
      <c r="TR80" s="43"/>
      <c r="TS80" s="43"/>
      <c r="TT80" s="43"/>
      <c r="TU80" s="43"/>
      <c r="TV80" s="43"/>
      <c r="TW80" s="43"/>
      <c r="TX80" s="43"/>
      <c r="TY80" s="43"/>
      <c r="TZ80" s="43"/>
      <c r="UA80" s="43"/>
      <c r="UB80" s="43"/>
    </row>
    <row r="81" spans="457:548" ht="15.75" customHeight="1" x14ac:dyDescent="0.2">
      <c r="QO81" s="46">
        <v>3997</v>
      </c>
      <c r="QP81" s="46"/>
      <c r="QQ81" s="46"/>
      <c r="QR81" s="46"/>
      <c r="QS81" s="46"/>
      <c r="QT81" s="46"/>
      <c r="QU81" s="46"/>
      <c r="QV81" s="46"/>
      <c r="QW81" s="46"/>
      <c r="QX81" s="46"/>
      <c r="QY81" s="46"/>
      <c r="QZ81" s="46"/>
      <c r="RA81" s="46"/>
      <c r="RB81" s="46"/>
      <c r="RC81" s="46"/>
      <c r="RD81" s="46"/>
      <c r="RE81" s="46"/>
      <c r="RF81" s="46"/>
      <c r="RG81" s="46"/>
      <c r="RH81" s="46"/>
      <c r="RI81" s="46"/>
      <c r="RJ81" s="46"/>
      <c r="RK81" s="46"/>
      <c r="RL81" s="46"/>
      <c r="RM81" s="46"/>
      <c r="RN81" s="46"/>
      <c r="RO81" s="46"/>
      <c r="RP81" s="46"/>
      <c r="RQ81" s="46"/>
      <c r="RR81" s="46"/>
      <c r="RS81" s="46"/>
      <c r="RT81" s="46"/>
      <c r="RU81" s="46"/>
      <c r="RV81" s="46"/>
      <c r="RW81" s="46"/>
      <c r="RX81" s="46"/>
      <c r="RY81" s="46"/>
      <c r="RZ81" s="46"/>
      <c r="SA81" s="46"/>
      <c r="SB81" s="46"/>
      <c r="SC81" s="46"/>
      <c r="SD81" s="46"/>
      <c r="SE81" s="46"/>
      <c r="SF81" s="46"/>
      <c r="SG81" s="46"/>
      <c r="SH81" s="46"/>
      <c r="SI81" s="46"/>
      <c r="SJ81" s="46"/>
      <c r="SK81" s="46"/>
      <c r="SL81" s="46"/>
      <c r="SM81" s="46"/>
      <c r="SN81" s="46"/>
      <c r="SO81" s="46"/>
      <c r="SP81" s="46"/>
      <c r="SQ81" s="46"/>
      <c r="SR81" s="46"/>
      <c r="SS81" s="46"/>
      <c r="ST81" s="46"/>
      <c r="SU81" s="46"/>
      <c r="SV81" s="46"/>
      <c r="SW81" s="46"/>
      <c r="SX81" s="46"/>
      <c r="SY81" s="46"/>
      <c r="SZ81" s="46"/>
      <c r="TA81" s="46"/>
      <c r="TB81" s="46"/>
      <c r="TC81" s="46"/>
      <c r="TD81" s="46"/>
      <c r="TE81" s="46"/>
      <c r="TF81" s="46"/>
      <c r="TG81" s="46"/>
      <c r="TH81" s="46"/>
      <c r="TI81" s="46"/>
      <c r="TJ81" s="46"/>
      <c r="TK81" s="46"/>
      <c r="TL81" s="46"/>
      <c r="TM81" s="46"/>
      <c r="TN81" s="46"/>
      <c r="TO81" s="46"/>
      <c r="TP81" s="46"/>
      <c r="TQ81" s="46"/>
      <c r="TR81" s="46"/>
      <c r="TS81" s="46"/>
      <c r="TT81" s="46"/>
      <c r="TU81" s="46"/>
      <c r="TV81" s="46"/>
      <c r="TW81" s="46"/>
      <c r="TX81" s="46"/>
      <c r="TY81" s="46"/>
      <c r="TZ81" s="46"/>
      <c r="UA81" s="46"/>
      <c r="UB81" s="46"/>
    </row>
    <row r="82" spans="457:548" ht="15.75" customHeight="1" x14ac:dyDescent="0.2">
      <c r="QO82" s="7">
        <f>QO80/QO81</f>
        <v>18.613460095071304</v>
      </c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  <c r="TU82" s="7"/>
      <c r="TV82" s="7"/>
      <c r="TW82" s="7"/>
      <c r="TX82" s="7"/>
      <c r="TY82" s="7"/>
      <c r="TZ82" s="7"/>
      <c r="UA82" s="7"/>
      <c r="UB82" s="7"/>
    </row>
    <row r="83" spans="457:548" ht="15.75" customHeight="1" x14ac:dyDescent="0.2"/>
    <row r="84" spans="457:548" ht="15.75" customHeight="1" x14ac:dyDescent="0.2"/>
    <row r="85" spans="457:548" ht="15.75" customHeight="1" x14ac:dyDescent="0.2"/>
    <row r="86" spans="457:548" ht="15.75" customHeight="1" x14ac:dyDescent="0.2"/>
    <row r="87" spans="457:548" ht="15.75" customHeight="1" x14ac:dyDescent="0.2"/>
    <row r="88" spans="457:548" ht="15.75" customHeight="1" x14ac:dyDescent="0.2"/>
    <row r="89" spans="457:548" ht="15.75" customHeight="1" x14ac:dyDescent="0.2"/>
    <row r="90" spans="457:548" ht="15.75" customHeight="1" x14ac:dyDescent="0.2"/>
    <row r="91" spans="457:548" ht="15.75" customHeight="1" x14ac:dyDescent="0.2"/>
    <row r="92" spans="457:548" ht="15.75" customHeight="1" x14ac:dyDescent="0.2"/>
    <row r="93" spans="457:548" ht="15.75" customHeight="1" x14ac:dyDescent="0.2"/>
    <row r="94" spans="457:548" ht="15.75" customHeight="1" x14ac:dyDescent="0.2"/>
    <row r="95" spans="457:548" ht="15.75" customHeight="1" x14ac:dyDescent="0.2"/>
    <row r="96" spans="457:54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</sheetData>
  <conditionalFormatting sqref="C10:WT10 C13:WT14 C20:WT20 C23:WT23 C39:WT39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09"/>
  <sheetViews>
    <sheetView showGridLines="0" workbookViewId="0">
      <pane xSplit="3" topLeftCell="X1" activePane="topRight" state="frozen"/>
      <selection pane="topRight" activeCell="B4" sqref="B4:AM39"/>
    </sheetView>
  </sheetViews>
  <sheetFormatPr baseColWidth="10" defaultColWidth="11.1640625" defaultRowHeight="15" customHeight="1" x14ac:dyDescent="0.2"/>
  <cols>
    <col min="1" max="1" width="2.1640625" customWidth="1"/>
    <col min="2" max="18" width="10.83203125" customWidth="1"/>
    <col min="19" max="19" width="11" customWidth="1"/>
    <col min="20" max="35" width="10.83203125" customWidth="1"/>
    <col min="36" max="39" width="11.1640625" customWidth="1"/>
  </cols>
  <sheetData>
    <row r="1" spans="1:39" ht="15.75" customHeight="1" x14ac:dyDescent="0.2">
      <c r="B1" s="6"/>
    </row>
    <row r="2" spans="1:39" ht="15.75" customHeight="1" x14ac:dyDescent="0.2">
      <c r="B2" s="9"/>
      <c r="C2" s="11" t="s">
        <v>8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15.75" customHeight="1" x14ac:dyDescent="0.2">
      <c r="B3" s="17"/>
      <c r="C3" s="19" t="s">
        <v>15</v>
      </c>
      <c r="D3" s="20">
        <v>45200</v>
      </c>
      <c r="E3" s="20">
        <v>45231</v>
      </c>
      <c r="F3" s="20">
        <v>45261</v>
      </c>
      <c r="G3" s="20">
        <v>45292</v>
      </c>
      <c r="H3" s="20">
        <v>45323</v>
      </c>
      <c r="I3" s="20">
        <v>45352</v>
      </c>
      <c r="J3" s="20">
        <v>45383</v>
      </c>
      <c r="K3" s="20">
        <v>45413</v>
      </c>
      <c r="L3" s="20">
        <v>45444</v>
      </c>
      <c r="M3" s="20">
        <v>45474</v>
      </c>
      <c r="N3" s="20">
        <v>45505</v>
      </c>
      <c r="O3" s="20">
        <v>45536</v>
      </c>
      <c r="P3" s="20">
        <v>45566</v>
      </c>
      <c r="Q3" s="20">
        <v>45597</v>
      </c>
      <c r="R3" s="20">
        <v>45627</v>
      </c>
      <c r="S3" s="20">
        <v>45658</v>
      </c>
      <c r="T3" s="20">
        <v>45689</v>
      </c>
      <c r="U3" s="20">
        <v>45717</v>
      </c>
      <c r="V3" s="20">
        <v>45748</v>
      </c>
      <c r="W3" s="20">
        <v>45778</v>
      </c>
      <c r="X3" s="20">
        <v>45809</v>
      </c>
      <c r="Y3" s="20">
        <v>45863</v>
      </c>
      <c r="Z3" s="20">
        <v>45894</v>
      </c>
      <c r="AA3" s="20">
        <v>45925</v>
      </c>
      <c r="AB3" s="20">
        <v>45931</v>
      </c>
      <c r="AC3" s="20">
        <v>45962</v>
      </c>
      <c r="AD3" s="20">
        <v>46022</v>
      </c>
      <c r="AE3" s="20">
        <v>46053</v>
      </c>
      <c r="AF3" s="20">
        <v>46081</v>
      </c>
      <c r="AG3" s="20">
        <v>46112</v>
      </c>
      <c r="AH3" s="20">
        <v>46142</v>
      </c>
      <c r="AI3" s="20">
        <v>46173</v>
      </c>
      <c r="AJ3" s="20">
        <v>46203</v>
      </c>
      <c r="AK3" s="20">
        <v>46234</v>
      </c>
      <c r="AL3" s="20">
        <v>46265</v>
      </c>
      <c r="AM3" s="20">
        <v>46295</v>
      </c>
    </row>
    <row r="4" spans="1:39" ht="15.75" customHeight="1" x14ac:dyDescent="0.2">
      <c r="A4" s="4"/>
      <c r="B4" s="23" t="s">
        <v>27</v>
      </c>
      <c r="C4" s="23" t="s">
        <v>31</v>
      </c>
      <c r="D4" s="25">
        <v>0</v>
      </c>
      <c r="E4" s="28">
        <f t="shared" ref="E4:V4" si="0">D4+1</f>
        <v>1</v>
      </c>
      <c r="F4" s="28">
        <f t="shared" si="0"/>
        <v>2</v>
      </c>
      <c r="G4" s="28">
        <f t="shared" si="0"/>
        <v>3</v>
      </c>
      <c r="H4" s="28">
        <f t="shared" si="0"/>
        <v>4</v>
      </c>
      <c r="I4" s="28">
        <f t="shared" si="0"/>
        <v>5</v>
      </c>
      <c r="J4" s="28">
        <f t="shared" si="0"/>
        <v>6</v>
      </c>
      <c r="K4" s="28">
        <f t="shared" si="0"/>
        <v>7</v>
      </c>
      <c r="L4" s="28">
        <f t="shared" si="0"/>
        <v>8</v>
      </c>
      <c r="M4" s="28">
        <f t="shared" si="0"/>
        <v>9</v>
      </c>
      <c r="N4" s="28">
        <f t="shared" si="0"/>
        <v>10</v>
      </c>
      <c r="O4" s="28">
        <f t="shared" si="0"/>
        <v>11</v>
      </c>
      <c r="P4" s="28">
        <f t="shared" si="0"/>
        <v>12</v>
      </c>
      <c r="Q4" s="28">
        <f t="shared" si="0"/>
        <v>13</v>
      </c>
      <c r="R4" s="28">
        <f t="shared" si="0"/>
        <v>14</v>
      </c>
      <c r="S4" s="28">
        <f t="shared" si="0"/>
        <v>15</v>
      </c>
      <c r="T4" s="28">
        <f t="shared" si="0"/>
        <v>16</v>
      </c>
      <c r="U4" s="28">
        <f t="shared" si="0"/>
        <v>17</v>
      </c>
      <c r="V4" s="28">
        <f t="shared" si="0"/>
        <v>18</v>
      </c>
      <c r="W4" s="28">
        <v>19</v>
      </c>
      <c r="X4" s="28">
        <v>20</v>
      </c>
      <c r="Y4" s="28">
        <v>21</v>
      </c>
      <c r="Z4" s="28">
        <v>22</v>
      </c>
      <c r="AA4" s="28">
        <v>23</v>
      </c>
      <c r="AB4" s="28">
        <v>24</v>
      </c>
      <c r="AC4" s="28">
        <v>25</v>
      </c>
      <c r="AD4" s="28">
        <v>26</v>
      </c>
      <c r="AE4" s="28">
        <v>27</v>
      </c>
      <c r="AF4" s="28">
        <v>28</v>
      </c>
      <c r="AG4" s="28">
        <v>29</v>
      </c>
      <c r="AH4" s="28">
        <v>30</v>
      </c>
      <c r="AI4" s="28">
        <v>31</v>
      </c>
      <c r="AJ4" s="28">
        <v>32</v>
      </c>
      <c r="AK4" s="28">
        <v>33</v>
      </c>
      <c r="AL4" s="28">
        <v>34</v>
      </c>
      <c r="AM4" s="28">
        <v>35</v>
      </c>
    </row>
    <row r="5" spans="1:39" ht="15.75" customHeight="1" x14ac:dyDescent="0.2">
      <c r="B5" s="32">
        <v>4</v>
      </c>
      <c r="C5" s="34">
        <v>45200</v>
      </c>
      <c r="D5" s="35">
        <v>1</v>
      </c>
      <c r="E5" s="36">
        <v>1</v>
      </c>
      <c r="F5" s="36">
        <v>1</v>
      </c>
      <c r="G5" s="36">
        <v>1</v>
      </c>
      <c r="H5" s="36">
        <v>1</v>
      </c>
      <c r="I5" s="36">
        <v>1</v>
      </c>
      <c r="J5" s="36">
        <v>1</v>
      </c>
      <c r="K5" s="36">
        <v>0.75</v>
      </c>
      <c r="L5" s="36">
        <v>1</v>
      </c>
      <c r="M5" s="36">
        <v>1</v>
      </c>
      <c r="N5" s="36">
        <v>1</v>
      </c>
      <c r="O5" s="36">
        <v>1</v>
      </c>
      <c r="P5" s="36">
        <v>1</v>
      </c>
      <c r="Q5" s="36">
        <v>1</v>
      </c>
      <c r="R5" s="36">
        <v>1</v>
      </c>
      <c r="S5" s="36">
        <v>1</v>
      </c>
      <c r="T5" s="36">
        <v>1</v>
      </c>
      <c r="U5" s="36">
        <v>1</v>
      </c>
      <c r="V5" s="36">
        <v>1</v>
      </c>
      <c r="W5" s="36">
        <v>1</v>
      </c>
      <c r="X5" s="36">
        <v>1</v>
      </c>
      <c r="Y5" s="36">
        <v>1</v>
      </c>
      <c r="Z5" s="36">
        <v>1</v>
      </c>
      <c r="AA5" s="36">
        <v>1</v>
      </c>
      <c r="AB5" s="36">
        <v>1</v>
      </c>
      <c r="AC5" s="36">
        <v>1</v>
      </c>
      <c r="AD5" s="36">
        <v>1</v>
      </c>
      <c r="AE5" s="36">
        <v>1</v>
      </c>
      <c r="AF5" s="36">
        <v>1</v>
      </c>
      <c r="AG5" s="36">
        <v>1</v>
      </c>
      <c r="AH5" s="36">
        <v>1</v>
      </c>
      <c r="AI5" s="36">
        <v>1</v>
      </c>
      <c r="AJ5" s="36">
        <v>1</v>
      </c>
      <c r="AK5" s="36">
        <v>1</v>
      </c>
      <c r="AL5" s="36">
        <v>1</v>
      </c>
      <c r="AM5" s="36">
        <v>1</v>
      </c>
    </row>
    <row r="6" spans="1:39" ht="15.75" customHeight="1" x14ac:dyDescent="0.2">
      <c r="B6" s="32">
        <v>5</v>
      </c>
      <c r="C6" s="34">
        <v>45261</v>
      </c>
      <c r="D6" s="35">
        <v>1</v>
      </c>
      <c r="E6" s="36">
        <v>1</v>
      </c>
      <c r="F6" s="36">
        <v>0.8</v>
      </c>
      <c r="G6" s="36">
        <v>0.8</v>
      </c>
      <c r="H6" s="36">
        <v>1</v>
      </c>
      <c r="I6" s="36">
        <v>1</v>
      </c>
      <c r="J6" s="36">
        <v>0.8</v>
      </c>
      <c r="K6" s="36">
        <v>0.8</v>
      </c>
      <c r="L6" s="36">
        <v>0.8</v>
      </c>
      <c r="M6" s="36">
        <v>0.8</v>
      </c>
      <c r="N6" s="36">
        <v>1</v>
      </c>
      <c r="O6" s="36">
        <v>1</v>
      </c>
      <c r="P6" s="36">
        <v>1</v>
      </c>
      <c r="Q6" s="36">
        <v>1</v>
      </c>
      <c r="R6" s="36">
        <v>1</v>
      </c>
      <c r="S6" s="36">
        <v>1</v>
      </c>
      <c r="T6" s="36">
        <v>1</v>
      </c>
      <c r="U6" s="36">
        <v>1</v>
      </c>
      <c r="V6" s="36">
        <v>1</v>
      </c>
      <c r="W6" s="36">
        <v>1</v>
      </c>
      <c r="X6" s="36">
        <v>1</v>
      </c>
      <c r="Y6" s="36">
        <v>1</v>
      </c>
      <c r="Z6" s="36">
        <v>1</v>
      </c>
      <c r="AA6" s="36">
        <v>1</v>
      </c>
      <c r="AB6" s="36">
        <v>1</v>
      </c>
      <c r="AC6" s="36">
        <v>1</v>
      </c>
      <c r="AD6" s="36">
        <v>1</v>
      </c>
      <c r="AE6" s="36">
        <v>1</v>
      </c>
      <c r="AF6" s="36">
        <v>1</v>
      </c>
      <c r="AG6" s="36">
        <v>1</v>
      </c>
      <c r="AH6" s="36">
        <v>1</v>
      </c>
      <c r="AI6" s="36">
        <v>1</v>
      </c>
      <c r="AJ6" s="36">
        <v>1</v>
      </c>
      <c r="AK6" s="36">
        <v>1</v>
      </c>
      <c r="AL6" s="36"/>
      <c r="AM6" s="36"/>
    </row>
    <row r="7" spans="1:39" ht="15.75" customHeight="1" x14ac:dyDescent="0.2">
      <c r="B7" s="38">
        <v>6</v>
      </c>
      <c r="C7" s="39">
        <v>45292</v>
      </c>
      <c r="D7" s="35">
        <v>1</v>
      </c>
      <c r="E7" s="36">
        <v>0.5</v>
      </c>
      <c r="F7" s="36">
        <v>0.66666666666666663</v>
      </c>
      <c r="G7" s="36">
        <v>0.66666666666666663</v>
      </c>
      <c r="H7" s="36">
        <v>1</v>
      </c>
      <c r="I7" s="36">
        <v>0.83333333333333337</v>
      </c>
      <c r="J7" s="36">
        <v>0.83333333333333337</v>
      </c>
      <c r="K7" s="36">
        <v>0.83333333333333337</v>
      </c>
      <c r="L7" s="36">
        <v>0.83333333333333337</v>
      </c>
      <c r="M7" s="36">
        <v>0.83333333333333337</v>
      </c>
      <c r="N7" s="36">
        <v>0.83333333333333337</v>
      </c>
      <c r="O7" s="36">
        <v>0.83333333333333337</v>
      </c>
      <c r="P7" s="36">
        <v>1</v>
      </c>
      <c r="Q7" s="36">
        <v>1</v>
      </c>
      <c r="R7" s="36">
        <v>1</v>
      </c>
      <c r="S7" s="36">
        <v>0.83333333333333337</v>
      </c>
      <c r="T7" s="36">
        <v>1</v>
      </c>
      <c r="U7" s="36">
        <v>1</v>
      </c>
      <c r="V7" s="36">
        <v>1</v>
      </c>
      <c r="W7" s="36">
        <v>1</v>
      </c>
      <c r="X7" s="36">
        <v>1</v>
      </c>
      <c r="Y7" s="36">
        <v>1</v>
      </c>
      <c r="Z7" s="36">
        <v>1</v>
      </c>
      <c r="AA7" s="36">
        <v>1</v>
      </c>
      <c r="AB7" s="36">
        <v>1</v>
      </c>
      <c r="AC7" s="36">
        <v>1</v>
      </c>
      <c r="AD7" s="36">
        <v>1</v>
      </c>
      <c r="AE7" s="36">
        <v>1</v>
      </c>
      <c r="AF7" s="36">
        <v>1</v>
      </c>
      <c r="AG7" s="36">
        <v>1</v>
      </c>
      <c r="AH7" s="36">
        <v>1</v>
      </c>
      <c r="AI7" s="36">
        <v>0.83333333333333337</v>
      </c>
      <c r="AJ7" s="36">
        <v>1</v>
      </c>
      <c r="AK7" s="36"/>
      <c r="AL7" s="36"/>
      <c r="AM7" s="36"/>
    </row>
    <row r="8" spans="1:39" ht="15.75" customHeight="1" x14ac:dyDescent="0.2">
      <c r="B8" s="38">
        <v>1</v>
      </c>
      <c r="C8" s="39">
        <v>45323</v>
      </c>
      <c r="D8" s="35">
        <v>1</v>
      </c>
      <c r="E8" s="36">
        <v>1</v>
      </c>
      <c r="F8" s="36">
        <v>1</v>
      </c>
      <c r="G8" s="36">
        <v>1</v>
      </c>
      <c r="H8" s="36">
        <v>1</v>
      </c>
      <c r="I8" s="36">
        <v>1</v>
      </c>
      <c r="J8" s="36">
        <v>1</v>
      </c>
      <c r="K8" s="36">
        <v>1</v>
      </c>
      <c r="L8" s="36">
        <v>1</v>
      </c>
      <c r="M8" s="36">
        <v>1</v>
      </c>
      <c r="N8" s="36">
        <v>1</v>
      </c>
      <c r="O8" s="36">
        <v>1</v>
      </c>
      <c r="P8" s="36">
        <v>1</v>
      </c>
      <c r="Q8" s="36">
        <v>1</v>
      </c>
      <c r="R8" s="36">
        <v>1</v>
      </c>
      <c r="S8" s="36">
        <v>1</v>
      </c>
      <c r="T8" s="36">
        <v>1</v>
      </c>
      <c r="U8" s="36">
        <v>1</v>
      </c>
      <c r="V8" s="36">
        <v>1</v>
      </c>
      <c r="W8" s="36">
        <v>1</v>
      </c>
      <c r="X8" s="36">
        <v>1</v>
      </c>
      <c r="Y8" s="36">
        <v>1</v>
      </c>
      <c r="Z8" s="36">
        <v>1</v>
      </c>
      <c r="AA8" s="36">
        <v>1</v>
      </c>
      <c r="AB8" s="36">
        <v>1</v>
      </c>
      <c r="AC8" s="36">
        <v>1</v>
      </c>
      <c r="AD8" s="36">
        <v>1</v>
      </c>
      <c r="AE8" s="36">
        <v>1</v>
      </c>
      <c r="AF8" s="36">
        <v>1</v>
      </c>
      <c r="AG8" s="36">
        <v>1</v>
      </c>
      <c r="AH8" s="36">
        <v>1</v>
      </c>
      <c r="AI8" s="36">
        <v>1</v>
      </c>
      <c r="AJ8" s="36"/>
      <c r="AK8" s="36"/>
      <c r="AL8" s="36"/>
      <c r="AM8" s="36"/>
    </row>
    <row r="9" spans="1:39" ht="15.75" customHeight="1" x14ac:dyDescent="0.2">
      <c r="B9" s="38">
        <v>20</v>
      </c>
      <c r="C9" s="39">
        <v>45352</v>
      </c>
      <c r="D9" s="35">
        <v>1</v>
      </c>
      <c r="E9" s="36">
        <v>1</v>
      </c>
      <c r="F9" s="36">
        <v>1</v>
      </c>
      <c r="G9" s="36">
        <v>1</v>
      </c>
      <c r="H9" s="36">
        <v>0.95</v>
      </c>
      <c r="I9" s="36">
        <v>0.9</v>
      </c>
      <c r="J9" s="36">
        <v>0.95</v>
      </c>
      <c r="K9" s="36">
        <v>0.9</v>
      </c>
      <c r="L9" s="36">
        <v>0.9</v>
      </c>
      <c r="M9" s="36">
        <v>0.85</v>
      </c>
      <c r="N9" s="36">
        <v>0.9</v>
      </c>
      <c r="O9" s="36">
        <v>0.95</v>
      </c>
      <c r="P9" s="36">
        <v>0.95</v>
      </c>
      <c r="Q9" s="36">
        <v>0.95</v>
      </c>
      <c r="R9" s="36">
        <v>0.95</v>
      </c>
      <c r="S9" s="36">
        <v>0.9</v>
      </c>
      <c r="T9" s="36">
        <v>0.95</v>
      </c>
      <c r="U9" s="36">
        <v>0.95</v>
      </c>
      <c r="V9" s="36">
        <v>0.95</v>
      </c>
      <c r="W9" s="36">
        <v>1</v>
      </c>
      <c r="X9" s="36">
        <v>0.9</v>
      </c>
      <c r="Y9" s="36">
        <v>0.95</v>
      </c>
      <c r="Z9" s="36">
        <v>0.95</v>
      </c>
      <c r="AA9" s="36">
        <v>0.95</v>
      </c>
      <c r="AB9" s="36">
        <v>0.95</v>
      </c>
      <c r="AC9" s="36">
        <v>0.9</v>
      </c>
      <c r="AD9" s="36">
        <v>0.95</v>
      </c>
      <c r="AE9" s="36">
        <v>0.9</v>
      </c>
      <c r="AF9" s="36">
        <v>0.9</v>
      </c>
      <c r="AG9" s="36">
        <v>0.9</v>
      </c>
      <c r="AH9" s="36">
        <v>0.95</v>
      </c>
      <c r="AI9" s="36"/>
      <c r="AJ9" s="36"/>
      <c r="AK9" s="36"/>
      <c r="AL9" s="36"/>
      <c r="AM9" s="36"/>
    </row>
    <row r="10" spans="1:39" ht="15.75" customHeight="1" x14ac:dyDescent="0.2">
      <c r="B10" s="38">
        <v>12</v>
      </c>
      <c r="C10" s="39">
        <v>45383</v>
      </c>
      <c r="D10" s="35">
        <v>1</v>
      </c>
      <c r="E10" s="36">
        <v>0.75</v>
      </c>
      <c r="F10" s="36">
        <v>0.66666666666666663</v>
      </c>
      <c r="G10" s="36">
        <v>0.75</v>
      </c>
      <c r="H10" s="36">
        <v>0.66666666666666663</v>
      </c>
      <c r="I10" s="36">
        <v>0.66666666666666663</v>
      </c>
      <c r="J10" s="36">
        <v>0.66666666666666663</v>
      </c>
      <c r="K10" s="36">
        <v>0.75</v>
      </c>
      <c r="L10" s="36">
        <v>0.66666666666666663</v>
      </c>
      <c r="M10" s="36">
        <v>0.66666666666666663</v>
      </c>
      <c r="N10" s="36">
        <v>0.75</v>
      </c>
      <c r="O10" s="36">
        <v>0.83333333333333337</v>
      </c>
      <c r="P10" s="36">
        <v>0.66666666666666663</v>
      </c>
      <c r="Q10" s="36">
        <v>0.5</v>
      </c>
      <c r="R10" s="36">
        <v>0.5</v>
      </c>
      <c r="S10" s="36">
        <v>0.5</v>
      </c>
      <c r="T10" s="36">
        <v>0.5</v>
      </c>
      <c r="U10" s="36">
        <v>0.58333333333333337</v>
      </c>
      <c r="V10" s="36">
        <v>0.57999999999999996</v>
      </c>
      <c r="W10" s="36">
        <v>0.66666666666666663</v>
      </c>
      <c r="X10" s="36">
        <v>0.66666666666666663</v>
      </c>
      <c r="Y10" s="36">
        <v>0.75</v>
      </c>
      <c r="Z10" s="36">
        <v>0.58333333333333337</v>
      </c>
      <c r="AA10" s="36">
        <v>0.66666666666666663</v>
      </c>
      <c r="AB10" s="36">
        <v>0.66666666666666663</v>
      </c>
      <c r="AC10" s="36">
        <v>0.83333333333333337</v>
      </c>
      <c r="AD10" s="36">
        <v>0.66666666666666663</v>
      </c>
      <c r="AE10" s="36">
        <v>0.75</v>
      </c>
      <c r="AF10" s="36">
        <v>0.66666666666666663</v>
      </c>
      <c r="AG10" s="36">
        <v>0.75</v>
      </c>
      <c r="AH10" s="36"/>
      <c r="AI10" s="36"/>
      <c r="AJ10" s="36"/>
      <c r="AK10" s="36"/>
      <c r="AL10" s="36"/>
      <c r="AM10" s="36"/>
    </row>
    <row r="11" spans="1:39" ht="15.75" customHeight="1" x14ac:dyDescent="0.2">
      <c r="B11" s="38">
        <v>13</v>
      </c>
      <c r="C11" s="39">
        <v>45413</v>
      </c>
      <c r="D11" s="35">
        <v>1</v>
      </c>
      <c r="E11" s="36">
        <v>0.84615384615384615</v>
      </c>
      <c r="F11" s="36">
        <v>0.92307692307692313</v>
      </c>
      <c r="G11" s="36">
        <v>0.84615384615384615</v>
      </c>
      <c r="H11" s="36">
        <v>0.92307692307692313</v>
      </c>
      <c r="I11" s="36">
        <v>0.84615384615384615</v>
      </c>
      <c r="J11" s="36">
        <v>0.84615384615384615</v>
      </c>
      <c r="K11" s="36">
        <v>0.84615384615384615</v>
      </c>
      <c r="L11" s="36">
        <v>0.76923076923076927</v>
      </c>
      <c r="M11" s="36">
        <v>0.76923076923076927</v>
      </c>
      <c r="N11" s="36">
        <v>0.76923076923076927</v>
      </c>
      <c r="O11" s="36">
        <v>0.84615384615384615</v>
      </c>
      <c r="P11" s="36">
        <v>0.84615384615384615</v>
      </c>
      <c r="Q11" s="36">
        <v>0.77</v>
      </c>
      <c r="R11" s="36">
        <v>0.76923076923076927</v>
      </c>
      <c r="S11" s="36">
        <v>0.69230769230769229</v>
      </c>
      <c r="T11" s="36">
        <v>0.84615384615384615</v>
      </c>
      <c r="U11" s="36">
        <v>0.85</v>
      </c>
      <c r="V11" s="36">
        <v>0.76923076923076927</v>
      </c>
      <c r="W11" s="36">
        <v>0.84615384615384615</v>
      </c>
      <c r="X11" s="36">
        <v>0.85</v>
      </c>
      <c r="Y11" s="36">
        <v>0.84615384615384615</v>
      </c>
      <c r="Z11" s="36">
        <v>0.84615384615384615</v>
      </c>
      <c r="AA11" s="36">
        <v>0.76923076923076927</v>
      </c>
      <c r="AB11" s="36">
        <v>0.84615384615384615</v>
      </c>
      <c r="AC11" s="36">
        <v>0.84615384615384615</v>
      </c>
      <c r="AD11" s="36">
        <v>0.76923076923076927</v>
      </c>
      <c r="AE11" s="36">
        <v>0.76923076923076927</v>
      </c>
      <c r="AF11" s="36">
        <v>0.69230769230769229</v>
      </c>
      <c r="AG11" s="36"/>
      <c r="AH11" s="36"/>
      <c r="AI11" s="36"/>
      <c r="AJ11" s="36"/>
      <c r="AK11" s="36"/>
      <c r="AL11" s="36"/>
      <c r="AM11" s="36"/>
    </row>
    <row r="12" spans="1:39" ht="15.75" customHeight="1" x14ac:dyDescent="0.2">
      <c r="B12" s="38">
        <v>46</v>
      </c>
      <c r="C12" s="42">
        <v>45444</v>
      </c>
      <c r="D12" s="35">
        <v>1</v>
      </c>
      <c r="E12" s="36">
        <v>0.95833333333333337</v>
      </c>
      <c r="F12" s="36">
        <v>0.875</v>
      </c>
      <c r="G12" s="36">
        <v>0.89583333333333337</v>
      </c>
      <c r="H12" s="36">
        <v>0.89583333333333337</v>
      </c>
      <c r="I12" s="36">
        <v>0.85416666666666663</v>
      </c>
      <c r="J12" s="36">
        <v>0.83333333333333337</v>
      </c>
      <c r="K12" s="36">
        <v>0.79166666666666663</v>
      </c>
      <c r="L12" s="36">
        <v>0.72916666666666663</v>
      </c>
      <c r="M12" s="36">
        <v>0.72916666666666663</v>
      </c>
      <c r="N12" s="36">
        <v>0.77083333333333337</v>
      </c>
      <c r="O12" s="36">
        <v>0.72916666666666663</v>
      </c>
      <c r="P12" s="36">
        <v>0.73</v>
      </c>
      <c r="Q12" s="36">
        <v>0.66666666666666663</v>
      </c>
      <c r="R12" s="36">
        <v>0.66666666666666663</v>
      </c>
      <c r="S12" s="36">
        <v>0.75</v>
      </c>
      <c r="T12" s="36">
        <v>0.77</v>
      </c>
      <c r="U12" s="36">
        <v>0.75</v>
      </c>
      <c r="V12" s="36">
        <v>0.77083333333333337</v>
      </c>
      <c r="W12" s="36">
        <v>0.75</v>
      </c>
      <c r="X12" s="36">
        <v>0.72916666666666663</v>
      </c>
      <c r="Y12" s="36">
        <v>0.72916666666666663</v>
      </c>
      <c r="Z12" s="36">
        <v>0.78260869565217395</v>
      </c>
      <c r="AA12" s="36">
        <v>0.76086956521739135</v>
      </c>
      <c r="AB12" s="36">
        <v>0.86956521739130432</v>
      </c>
      <c r="AC12" s="36">
        <v>0.78260869565217395</v>
      </c>
      <c r="AD12" s="36">
        <v>0.80434782608695654</v>
      </c>
      <c r="AE12" s="36">
        <v>0.80434782608695654</v>
      </c>
      <c r="AF12" s="36"/>
      <c r="AG12" s="36"/>
      <c r="AH12" s="36"/>
      <c r="AI12" s="36"/>
      <c r="AJ12" s="36"/>
      <c r="AK12" s="36"/>
      <c r="AL12" s="36"/>
      <c r="AM12" s="36"/>
    </row>
    <row r="13" spans="1:39" ht="15.75" customHeight="1" x14ac:dyDescent="0.2">
      <c r="B13" s="38">
        <v>43</v>
      </c>
      <c r="C13" s="42">
        <v>45474</v>
      </c>
      <c r="D13" s="35">
        <v>1</v>
      </c>
      <c r="E13" s="36">
        <v>0.8</v>
      </c>
      <c r="F13" s="36">
        <v>0.77777777777777779</v>
      </c>
      <c r="G13" s="36">
        <v>0.73333333333333328</v>
      </c>
      <c r="H13" s="36">
        <v>0.68888888888888888</v>
      </c>
      <c r="I13" s="36">
        <v>0.75555555555555554</v>
      </c>
      <c r="J13" s="36">
        <v>0.71111111111111114</v>
      </c>
      <c r="K13" s="36">
        <v>0.64444444444444449</v>
      </c>
      <c r="L13" s="36">
        <v>0.62222222222222223</v>
      </c>
      <c r="M13" s="36">
        <v>0.62222222222222223</v>
      </c>
      <c r="N13" s="36">
        <v>0.64444444444444449</v>
      </c>
      <c r="O13" s="36">
        <v>0.64</v>
      </c>
      <c r="P13" s="36">
        <v>0.62222222222222223</v>
      </c>
      <c r="Q13" s="36">
        <v>0.6</v>
      </c>
      <c r="R13" s="36">
        <v>0.62222222222222223</v>
      </c>
      <c r="S13" s="36">
        <v>0.56000000000000005</v>
      </c>
      <c r="T13" s="36">
        <v>0.66666666666666663</v>
      </c>
      <c r="U13" s="36">
        <v>0.64444444444444449</v>
      </c>
      <c r="V13" s="36">
        <v>0.62</v>
      </c>
      <c r="W13" s="36">
        <v>0.62222222222222223</v>
      </c>
      <c r="X13" s="36">
        <v>0.57777777777777772</v>
      </c>
      <c r="Y13" s="36">
        <v>0.67441860465116277</v>
      </c>
      <c r="Z13" s="36">
        <v>0.72093023255813948</v>
      </c>
      <c r="AA13" s="36">
        <v>0.53488372093023251</v>
      </c>
      <c r="AB13" s="36">
        <v>0.53488372093023251</v>
      </c>
      <c r="AC13" s="36">
        <v>0.58139534883720934</v>
      </c>
      <c r="AD13" s="36">
        <v>0.55813953488372092</v>
      </c>
      <c r="AE13" s="36"/>
      <c r="AF13" s="36"/>
      <c r="AG13" s="36"/>
      <c r="AH13" s="36"/>
      <c r="AI13" s="36"/>
      <c r="AJ13" s="36"/>
      <c r="AK13" s="36"/>
      <c r="AL13" s="36"/>
      <c r="AM13" s="36"/>
    </row>
    <row r="14" spans="1:39" ht="15.75" customHeight="1" x14ac:dyDescent="0.2">
      <c r="B14" s="38">
        <v>35</v>
      </c>
      <c r="C14" s="39">
        <v>45505</v>
      </c>
      <c r="D14" s="35">
        <v>1</v>
      </c>
      <c r="E14" s="36">
        <v>0.89189189189189189</v>
      </c>
      <c r="F14" s="36">
        <v>0.94594594594594594</v>
      </c>
      <c r="G14" s="36">
        <v>0.81081081081081086</v>
      </c>
      <c r="H14" s="36">
        <v>0.81081081081081086</v>
      </c>
      <c r="I14" s="36">
        <v>0.78378378378378377</v>
      </c>
      <c r="J14" s="36">
        <v>0.72972972972972971</v>
      </c>
      <c r="K14" s="36">
        <v>0.67567567567567566</v>
      </c>
      <c r="L14" s="36">
        <v>0.70270270270270274</v>
      </c>
      <c r="M14" s="36">
        <v>0.67567567567567566</v>
      </c>
      <c r="N14" s="36">
        <v>0.65</v>
      </c>
      <c r="O14" s="36">
        <v>0.6216216216216216</v>
      </c>
      <c r="P14" s="36">
        <v>0.6216216216216216</v>
      </c>
      <c r="Q14" s="36">
        <v>0.64864864864864868</v>
      </c>
      <c r="R14" s="36">
        <v>0.62</v>
      </c>
      <c r="S14" s="36">
        <v>0.6216216216216216</v>
      </c>
      <c r="T14" s="36">
        <v>0.56756756756756754</v>
      </c>
      <c r="U14" s="36">
        <v>0.56999999999999995</v>
      </c>
      <c r="V14" s="36">
        <v>0.48648648648648651</v>
      </c>
      <c r="W14" s="36">
        <v>0.51351351351351349</v>
      </c>
      <c r="X14" s="36">
        <v>0.51428571428571423</v>
      </c>
      <c r="Y14" s="36">
        <v>0.54285714285714282</v>
      </c>
      <c r="Z14" s="36">
        <v>0.54285714285714282</v>
      </c>
      <c r="AA14" s="36">
        <v>0.54285714285714282</v>
      </c>
      <c r="AB14" s="36">
        <v>0.54285714285714282</v>
      </c>
      <c r="AC14" s="36">
        <v>0.54285714285714282</v>
      </c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1:39" ht="15.75" customHeight="1" x14ac:dyDescent="0.2">
      <c r="B15" s="38">
        <v>29</v>
      </c>
      <c r="C15" s="39">
        <v>45536</v>
      </c>
      <c r="D15" s="35">
        <v>1</v>
      </c>
      <c r="E15" s="36">
        <v>0.72413793103448276</v>
      </c>
      <c r="F15" s="36">
        <v>0.68965517241379315</v>
      </c>
      <c r="G15" s="36">
        <v>0.86206896551724133</v>
      </c>
      <c r="H15" s="36">
        <v>0.75862068965517238</v>
      </c>
      <c r="I15" s="36">
        <v>0.7931034482758621</v>
      </c>
      <c r="J15" s="36">
        <v>0.75862068965517238</v>
      </c>
      <c r="K15" s="36">
        <v>0.75862068965517238</v>
      </c>
      <c r="L15" s="36">
        <v>0.75862068965517238</v>
      </c>
      <c r="M15" s="36">
        <v>0.66</v>
      </c>
      <c r="N15" s="36">
        <v>0.72413793103448276</v>
      </c>
      <c r="O15" s="36">
        <v>0.72413793103448276</v>
      </c>
      <c r="P15" s="36">
        <v>0.68965517241379315</v>
      </c>
      <c r="Q15" s="36">
        <v>0.66</v>
      </c>
      <c r="R15" s="36">
        <v>0.68965517241379315</v>
      </c>
      <c r="S15" s="36">
        <v>0.72413793103448276</v>
      </c>
      <c r="T15" s="36">
        <v>0.76</v>
      </c>
      <c r="U15" s="36">
        <v>0.68965517241379315</v>
      </c>
      <c r="V15" s="36">
        <v>0.68965517241379315</v>
      </c>
      <c r="W15" s="36">
        <v>0.72413793103448276</v>
      </c>
      <c r="X15" s="36">
        <v>0.72413793103448276</v>
      </c>
      <c r="Y15" s="36">
        <v>0.75862068965517238</v>
      </c>
      <c r="Z15" s="36">
        <v>0.68965517241379315</v>
      </c>
      <c r="AA15" s="36">
        <v>0.68965517241379315</v>
      </c>
      <c r="AB15" s="36">
        <v>0.65517241379310343</v>
      </c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</row>
    <row r="16" spans="1:39" ht="15.75" customHeight="1" x14ac:dyDescent="0.2">
      <c r="B16" s="38">
        <v>46</v>
      </c>
      <c r="C16" s="39">
        <v>45566</v>
      </c>
      <c r="D16" s="35">
        <v>1</v>
      </c>
      <c r="E16" s="36">
        <v>0.91489361702127658</v>
      </c>
      <c r="F16" s="36">
        <v>0.87234042553191493</v>
      </c>
      <c r="G16" s="36">
        <v>0.87234042553191493</v>
      </c>
      <c r="H16" s="36">
        <v>0.80851063829787229</v>
      </c>
      <c r="I16" s="36">
        <v>0.8936170212765957</v>
      </c>
      <c r="J16" s="36">
        <v>0.87234042553191493</v>
      </c>
      <c r="K16" s="36">
        <v>0.80851063829787229</v>
      </c>
      <c r="L16" s="36">
        <v>0.79</v>
      </c>
      <c r="M16" s="36">
        <v>0.78723404255319152</v>
      </c>
      <c r="N16" s="36">
        <v>0.78723404255319152</v>
      </c>
      <c r="O16" s="36">
        <v>0.80851063829787229</v>
      </c>
      <c r="P16" s="36">
        <v>0.97</v>
      </c>
      <c r="Q16" s="36">
        <v>0.76595744680851063</v>
      </c>
      <c r="R16" s="36">
        <v>0.76595744680851063</v>
      </c>
      <c r="S16" s="36">
        <v>0.72</v>
      </c>
      <c r="T16" s="36">
        <v>0.7021276595744681</v>
      </c>
      <c r="U16" s="36">
        <v>0.7021276595744681</v>
      </c>
      <c r="V16" s="36">
        <v>0.76086956521739135</v>
      </c>
      <c r="W16" s="36">
        <v>0.78260869565217395</v>
      </c>
      <c r="X16" s="36">
        <v>0.76086956521739135</v>
      </c>
      <c r="Y16" s="36">
        <v>0.71739130434782605</v>
      </c>
      <c r="Z16" s="36">
        <v>0.82608695652173914</v>
      </c>
      <c r="AA16" s="36">
        <v>0.76086956521739135</v>
      </c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</row>
    <row r="17" spans="2:39" ht="15.75" customHeight="1" x14ac:dyDescent="0.2">
      <c r="B17" s="38">
        <v>30</v>
      </c>
      <c r="C17" s="39">
        <v>45597</v>
      </c>
      <c r="D17" s="35">
        <v>1</v>
      </c>
      <c r="E17" s="36">
        <v>0.93548387096774188</v>
      </c>
      <c r="F17" s="36">
        <v>0.93548387096774188</v>
      </c>
      <c r="G17" s="36">
        <v>1</v>
      </c>
      <c r="H17" s="36">
        <v>0.967741935483871</v>
      </c>
      <c r="I17" s="36">
        <v>0.93548387096774188</v>
      </c>
      <c r="J17" s="36">
        <v>0.83870967741935487</v>
      </c>
      <c r="K17" s="36">
        <v>0.87</v>
      </c>
      <c r="L17" s="36">
        <v>0.87096774193548387</v>
      </c>
      <c r="M17" s="36">
        <v>0.83870967741935487</v>
      </c>
      <c r="N17" s="36">
        <v>0.87096774193548387</v>
      </c>
      <c r="O17" s="36">
        <v>0.84</v>
      </c>
      <c r="P17" s="36">
        <v>0.90322580645161288</v>
      </c>
      <c r="Q17" s="36">
        <v>0.87096774193548387</v>
      </c>
      <c r="R17" s="36">
        <v>0.84</v>
      </c>
      <c r="S17" s="36">
        <v>0.74193548387096775</v>
      </c>
      <c r="T17" s="36">
        <v>0.77419354838709675</v>
      </c>
      <c r="U17" s="36">
        <v>0.77419354838709675</v>
      </c>
      <c r="V17" s="36">
        <v>0.77419354838709675</v>
      </c>
      <c r="W17" s="36">
        <v>0.74193548387096775</v>
      </c>
      <c r="X17" s="36">
        <v>0.76666666666666672</v>
      </c>
      <c r="Y17" s="36">
        <v>0.76666666666666672</v>
      </c>
      <c r="Z17" s="36">
        <v>0.8</v>
      </c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</row>
    <row r="18" spans="2:39" ht="15.75" customHeight="1" x14ac:dyDescent="0.2">
      <c r="B18" s="45">
        <v>42</v>
      </c>
      <c r="C18" s="39">
        <v>45627</v>
      </c>
      <c r="D18" s="35">
        <v>1</v>
      </c>
      <c r="E18" s="36">
        <v>0.8666666666666667</v>
      </c>
      <c r="F18" s="36">
        <v>0.82222222222222219</v>
      </c>
      <c r="G18" s="36">
        <v>0.82222222222222219</v>
      </c>
      <c r="H18" s="36">
        <v>0.8</v>
      </c>
      <c r="I18" s="36">
        <v>0.75555555555555554</v>
      </c>
      <c r="J18" s="36">
        <v>0.78</v>
      </c>
      <c r="K18" s="36">
        <v>0.75555555555555554</v>
      </c>
      <c r="L18" s="36">
        <v>0.71111111111111114</v>
      </c>
      <c r="M18" s="36">
        <v>0.8</v>
      </c>
      <c r="N18" s="36">
        <v>0.8</v>
      </c>
      <c r="O18" s="36">
        <v>0.75555555555555554</v>
      </c>
      <c r="P18" s="36">
        <v>0.75555555555555554</v>
      </c>
      <c r="Q18" s="36">
        <v>0.67</v>
      </c>
      <c r="R18" s="36">
        <v>0.68888888888888888</v>
      </c>
      <c r="S18" s="36">
        <v>0.68888888888888888</v>
      </c>
      <c r="T18" s="36">
        <v>0.68181818181818177</v>
      </c>
      <c r="U18" s="36">
        <v>0.68181818181818177</v>
      </c>
      <c r="V18" s="36">
        <v>0.66666666666666663</v>
      </c>
      <c r="W18" s="36">
        <v>0.69047619047619047</v>
      </c>
      <c r="X18" s="36">
        <v>0.69047619047619047</v>
      </c>
      <c r="Y18" s="36">
        <v>0.6428571428571429</v>
      </c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</row>
    <row r="19" spans="2:39" ht="15.75" customHeight="1" x14ac:dyDescent="0.2">
      <c r="B19" s="45">
        <v>109</v>
      </c>
      <c r="C19" s="47">
        <v>45658</v>
      </c>
      <c r="D19" s="35">
        <v>1</v>
      </c>
      <c r="E19" s="36">
        <v>0.89473684210526316</v>
      </c>
      <c r="F19" s="36">
        <v>0.88596491228070173</v>
      </c>
      <c r="G19" s="36">
        <v>0.8771929824561403</v>
      </c>
      <c r="H19" s="36">
        <v>0.85087719298245612</v>
      </c>
      <c r="I19" s="36">
        <v>0.81</v>
      </c>
      <c r="J19" s="36">
        <v>0.77192982456140347</v>
      </c>
      <c r="K19" s="36">
        <v>0.78947368421052633</v>
      </c>
      <c r="L19" s="36">
        <v>0.74561403508771928</v>
      </c>
      <c r="M19" s="36">
        <v>0.76</v>
      </c>
      <c r="N19" s="36">
        <v>0.72807017543859653</v>
      </c>
      <c r="O19" s="36">
        <v>0.72807017543859653</v>
      </c>
      <c r="P19" s="36">
        <v>0.75</v>
      </c>
      <c r="Q19" s="36">
        <v>0.71052631578947367</v>
      </c>
      <c r="R19" s="36">
        <v>0.72807017543859653</v>
      </c>
      <c r="S19" s="36">
        <v>0.7</v>
      </c>
      <c r="T19" s="36">
        <v>0.74545454545454548</v>
      </c>
      <c r="U19" s="36">
        <v>0.73636363636363633</v>
      </c>
      <c r="V19" s="36">
        <v>0.70642201834862384</v>
      </c>
      <c r="W19" s="36">
        <v>0.73394495412844041</v>
      </c>
      <c r="X19" s="36">
        <v>0.72477064220183485</v>
      </c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</row>
    <row r="20" spans="2:39" ht="15.75" customHeight="1" x14ac:dyDescent="0.2">
      <c r="B20" s="45">
        <v>100</v>
      </c>
      <c r="C20" s="47">
        <v>45689</v>
      </c>
      <c r="D20" s="35">
        <v>1</v>
      </c>
      <c r="E20" s="36">
        <v>0.87850467289719625</v>
      </c>
      <c r="F20" s="36">
        <v>0.80373831775700932</v>
      </c>
      <c r="G20" s="36">
        <v>0.83177570093457942</v>
      </c>
      <c r="H20" s="36">
        <v>0.84</v>
      </c>
      <c r="I20" s="36">
        <v>0.76635514018691586</v>
      </c>
      <c r="J20" s="36">
        <v>0.7289719626168224</v>
      </c>
      <c r="K20" s="36">
        <v>0.7570093457943925</v>
      </c>
      <c r="L20" s="36">
        <v>0.71</v>
      </c>
      <c r="M20" s="36">
        <v>0.7289719626168224</v>
      </c>
      <c r="N20" s="36">
        <v>0.71028037383177567</v>
      </c>
      <c r="O20" s="36">
        <v>0.68</v>
      </c>
      <c r="P20" s="36">
        <v>0.69158878504672894</v>
      </c>
      <c r="Q20" s="36">
        <v>0.66355140186915884</v>
      </c>
      <c r="R20" s="36">
        <v>0.65346534653465349</v>
      </c>
      <c r="S20" s="36">
        <v>0.71287128712871284</v>
      </c>
      <c r="T20" s="36">
        <v>0.71</v>
      </c>
      <c r="U20" s="36">
        <v>0.67</v>
      </c>
      <c r="V20" s="36">
        <v>0.71</v>
      </c>
      <c r="W20" s="36">
        <v>0.68</v>
      </c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</row>
    <row r="21" spans="2:39" ht="15.75" customHeight="1" x14ac:dyDescent="0.2">
      <c r="B21" s="45">
        <v>94</v>
      </c>
      <c r="C21" s="47">
        <v>45717</v>
      </c>
      <c r="D21" s="35">
        <v>1</v>
      </c>
      <c r="E21" s="36">
        <v>0.83673469387755106</v>
      </c>
      <c r="F21" s="36">
        <v>0.80612244897959184</v>
      </c>
      <c r="G21" s="36">
        <v>0.79</v>
      </c>
      <c r="H21" s="36">
        <v>0.82653061224489799</v>
      </c>
      <c r="I21" s="36">
        <v>0.75510204081632648</v>
      </c>
      <c r="J21" s="36">
        <v>0.79591836734693877</v>
      </c>
      <c r="K21" s="36">
        <v>0.72</v>
      </c>
      <c r="L21" s="36">
        <v>0.7142857142857143</v>
      </c>
      <c r="M21" s="36">
        <v>0.73469387755102045</v>
      </c>
      <c r="N21" s="36">
        <v>0.69</v>
      </c>
      <c r="O21" s="36">
        <v>0.66326530612244894</v>
      </c>
      <c r="P21" s="36">
        <v>0.65306122448979587</v>
      </c>
      <c r="Q21" s="36">
        <v>0.67368421052631577</v>
      </c>
      <c r="R21" s="36">
        <v>0.68421052631578949</v>
      </c>
      <c r="S21" s="36">
        <v>0.67021276595744683</v>
      </c>
      <c r="T21" s="36">
        <v>0.67021276595744683</v>
      </c>
      <c r="U21" s="36">
        <v>0.65957446808510634</v>
      </c>
      <c r="V21" s="36">
        <v>0.63829787234042556</v>
      </c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</row>
    <row r="22" spans="2:39" ht="15.75" customHeight="1" x14ac:dyDescent="0.2">
      <c r="B22" s="45">
        <v>168</v>
      </c>
      <c r="C22" s="47">
        <v>45748</v>
      </c>
      <c r="D22" s="35">
        <v>1</v>
      </c>
      <c r="E22" s="36">
        <v>0.89595375722543358</v>
      </c>
      <c r="F22" s="36">
        <v>0.88</v>
      </c>
      <c r="G22" s="36">
        <v>0.84393063583815031</v>
      </c>
      <c r="H22" s="36">
        <v>0.76878612716763006</v>
      </c>
      <c r="I22" s="36">
        <v>0.78612716763005785</v>
      </c>
      <c r="J22" s="36">
        <v>0.75</v>
      </c>
      <c r="K22" s="36">
        <v>0.75722543352601157</v>
      </c>
      <c r="L22" s="36">
        <v>0.75722543352601157</v>
      </c>
      <c r="M22" s="36">
        <v>0.71</v>
      </c>
      <c r="N22" s="36">
        <v>0.69364161849710981</v>
      </c>
      <c r="O22" s="36">
        <v>0.68208092485549132</v>
      </c>
      <c r="P22" s="36">
        <v>0.69822485207100593</v>
      </c>
      <c r="Q22" s="36">
        <v>0.68047337278106512</v>
      </c>
      <c r="R22" s="36">
        <v>0.69822485207100593</v>
      </c>
      <c r="S22" s="36">
        <v>0.70238095238095233</v>
      </c>
      <c r="T22" s="36">
        <v>0.70833333333333337</v>
      </c>
      <c r="U22" s="36">
        <v>0.68452380952380953</v>
      </c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</row>
    <row r="23" spans="2:39" ht="15.75" customHeight="1" x14ac:dyDescent="0.2">
      <c r="B23" s="45">
        <v>262</v>
      </c>
      <c r="C23" s="39">
        <v>45778</v>
      </c>
      <c r="D23" s="35">
        <v>1</v>
      </c>
      <c r="E23" s="36">
        <v>0.91</v>
      </c>
      <c r="F23" s="36">
        <v>0.89179104477611937</v>
      </c>
      <c r="G23" s="36">
        <v>0.85447761194029848</v>
      </c>
      <c r="H23" s="36">
        <v>0.82835820895522383</v>
      </c>
      <c r="I23" s="36">
        <v>0.8</v>
      </c>
      <c r="J23" s="36">
        <v>0.82089552238805974</v>
      </c>
      <c r="K23" s="36">
        <v>0.80970149253731338</v>
      </c>
      <c r="L23" s="36">
        <v>0.78</v>
      </c>
      <c r="M23" s="36">
        <v>0.72388059701492535</v>
      </c>
      <c r="N23" s="36">
        <v>0.71641791044776115</v>
      </c>
      <c r="O23" s="36">
        <v>0.7245283018867924</v>
      </c>
      <c r="P23" s="36">
        <v>0.70188679245283014</v>
      </c>
      <c r="Q23" s="36">
        <v>0.74045801526717558</v>
      </c>
      <c r="R23" s="36">
        <v>0.73664122137404575</v>
      </c>
      <c r="S23" s="36">
        <v>0.73664122137404575</v>
      </c>
      <c r="T23" s="36">
        <v>0.69847328244274809</v>
      </c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</row>
    <row r="24" spans="2:39" ht="15.75" customHeight="1" x14ac:dyDescent="0.2">
      <c r="B24" s="48">
        <v>437</v>
      </c>
      <c r="C24" s="39">
        <v>45809</v>
      </c>
      <c r="D24" s="35">
        <v>1</v>
      </c>
      <c r="E24" s="36">
        <v>0.87665198237885467</v>
      </c>
      <c r="F24" s="36">
        <v>0.83700440528634357</v>
      </c>
      <c r="G24" s="36">
        <v>0.80616740088105732</v>
      </c>
      <c r="H24" s="36">
        <v>0.83</v>
      </c>
      <c r="I24" s="36">
        <v>0.77533039647577096</v>
      </c>
      <c r="J24" s="36">
        <v>0.77973568281938321</v>
      </c>
      <c r="K24" s="36">
        <v>0.75</v>
      </c>
      <c r="L24" s="36">
        <v>0.72687224669603523</v>
      </c>
      <c r="M24" s="36">
        <v>0.73788546255506604</v>
      </c>
      <c r="N24" s="36">
        <v>0.75514874141876431</v>
      </c>
      <c r="O24" s="36">
        <v>0.77116704805491987</v>
      </c>
      <c r="P24" s="36">
        <v>0.74828375286041193</v>
      </c>
      <c r="Q24" s="36">
        <v>0.73684210526315785</v>
      </c>
      <c r="R24" s="36">
        <v>0.74370709382151035</v>
      </c>
      <c r="S24" s="36">
        <v>0.73226544622425627</v>
      </c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</row>
    <row r="25" spans="2:39" ht="15.75" customHeight="1" x14ac:dyDescent="0.2">
      <c r="B25" s="48">
        <v>321</v>
      </c>
      <c r="C25" s="39">
        <v>45863</v>
      </c>
      <c r="D25" s="35">
        <v>1</v>
      </c>
      <c r="E25" s="36">
        <v>0.88358208955223883</v>
      </c>
      <c r="F25" s="36">
        <v>0.83880597014925373</v>
      </c>
      <c r="G25" s="36">
        <v>0.85</v>
      </c>
      <c r="H25" s="36">
        <v>0.82089552238805974</v>
      </c>
      <c r="I25" s="36">
        <v>0.77611940298507465</v>
      </c>
      <c r="J25" s="36">
        <v>0.76</v>
      </c>
      <c r="K25" s="36">
        <v>0.73731343283582085</v>
      </c>
      <c r="L25" s="36">
        <v>0.75223880597014925</v>
      </c>
      <c r="M25" s="36">
        <v>0.75308641975308643</v>
      </c>
      <c r="N25" s="36">
        <v>0.71913580246913578</v>
      </c>
      <c r="O25" s="36">
        <v>0.75077881619937692</v>
      </c>
      <c r="P25" s="36">
        <v>0.76635514018691586</v>
      </c>
      <c r="Q25" s="36">
        <v>0.75077881619937692</v>
      </c>
      <c r="R25" s="36">
        <v>0.74143302180685355</v>
      </c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</row>
    <row r="26" spans="2:39" ht="15.75" customHeight="1" x14ac:dyDescent="0.2">
      <c r="B26" s="48">
        <v>438</v>
      </c>
      <c r="C26" s="39">
        <v>45894</v>
      </c>
      <c r="D26" s="35">
        <v>1</v>
      </c>
      <c r="E26" s="36">
        <v>0.85809312638580926</v>
      </c>
      <c r="F26" s="36">
        <v>0.84</v>
      </c>
      <c r="G26" s="36">
        <v>0.82483370288248337</v>
      </c>
      <c r="H26" s="36">
        <v>0.81152993348115299</v>
      </c>
      <c r="I26" s="36">
        <v>0.77</v>
      </c>
      <c r="J26" s="36">
        <v>0.73614190687361414</v>
      </c>
      <c r="K26" s="36">
        <v>0.73614190687361414</v>
      </c>
      <c r="L26" s="36">
        <v>0.73922902494331066</v>
      </c>
      <c r="M26" s="36">
        <v>0.74603174603174605</v>
      </c>
      <c r="N26" s="36">
        <v>0.74943052391799547</v>
      </c>
      <c r="O26" s="36">
        <v>0.74657534246575341</v>
      </c>
      <c r="P26" s="36">
        <v>0.75342465753424659</v>
      </c>
      <c r="Q26" s="36">
        <v>0.73515981735159819</v>
      </c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</row>
    <row r="27" spans="2:39" ht="15.75" customHeight="1" x14ac:dyDescent="0.2">
      <c r="B27" s="48">
        <v>467</v>
      </c>
      <c r="C27" s="39">
        <v>45925</v>
      </c>
      <c r="D27" s="35">
        <v>1</v>
      </c>
      <c r="E27" s="36">
        <v>0.87</v>
      </c>
      <c r="F27" s="36">
        <v>0.85169491525423724</v>
      </c>
      <c r="G27" s="36">
        <v>0.82203389830508478</v>
      </c>
      <c r="H27" s="36">
        <v>0.77</v>
      </c>
      <c r="I27" s="36">
        <v>0.77</v>
      </c>
      <c r="J27" s="36">
        <v>0.77</v>
      </c>
      <c r="K27" s="36">
        <v>0.77</v>
      </c>
      <c r="L27" s="36">
        <v>0.77</v>
      </c>
      <c r="M27" s="36">
        <v>0.77</v>
      </c>
      <c r="N27" s="36">
        <v>0.77</v>
      </c>
      <c r="O27" s="36">
        <v>0.77</v>
      </c>
      <c r="P27" s="36">
        <v>0.77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</row>
    <row r="28" spans="2:39" ht="15.75" customHeight="1" x14ac:dyDescent="0.2">
      <c r="B28" s="48">
        <v>160</v>
      </c>
      <c r="C28" s="39">
        <v>45931</v>
      </c>
      <c r="D28" s="35">
        <v>1</v>
      </c>
      <c r="E28" s="36">
        <v>0.77300613496932513</v>
      </c>
      <c r="F28" s="36">
        <v>0.74846625766871167</v>
      </c>
      <c r="G28" s="36">
        <v>0.77</v>
      </c>
      <c r="H28" s="36">
        <v>0.77</v>
      </c>
      <c r="I28" s="36">
        <v>0.77</v>
      </c>
      <c r="J28" s="36">
        <v>0.77</v>
      </c>
      <c r="K28" s="36">
        <v>0.77</v>
      </c>
      <c r="L28" s="36">
        <v>0.77</v>
      </c>
      <c r="M28" s="36">
        <v>0.77</v>
      </c>
      <c r="N28" s="36">
        <v>0.77</v>
      </c>
      <c r="O28" s="36">
        <v>0.77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</row>
    <row r="29" spans="2:39" ht="15.75" customHeight="1" x14ac:dyDescent="0.2">
      <c r="B29" s="48">
        <v>101</v>
      </c>
      <c r="C29" s="39">
        <v>45962</v>
      </c>
      <c r="D29" s="35">
        <v>1</v>
      </c>
      <c r="E29" s="36">
        <v>0.74509803921568629</v>
      </c>
      <c r="F29" s="36">
        <v>0.7</v>
      </c>
      <c r="G29" s="36">
        <v>0.70588235294117652</v>
      </c>
      <c r="H29" s="36">
        <v>0.68627450980392157</v>
      </c>
      <c r="I29" s="36">
        <v>0.6633663366336634</v>
      </c>
      <c r="J29" s="36">
        <v>0.63366336633663367</v>
      </c>
      <c r="K29" s="36">
        <v>0.68316831683168322</v>
      </c>
      <c r="L29" s="36">
        <v>0.65346534653465349</v>
      </c>
      <c r="M29" s="36">
        <v>0.64356435643564358</v>
      </c>
      <c r="N29" s="36">
        <v>0.6633663366336634</v>
      </c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</row>
    <row r="30" spans="2:39" ht="15.75" customHeight="1" x14ac:dyDescent="0.2">
      <c r="B30" s="48">
        <v>294</v>
      </c>
      <c r="C30" s="39">
        <v>46022</v>
      </c>
      <c r="D30" s="35">
        <v>1</v>
      </c>
      <c r="E30" s="36">
        <v>0.82</v>
      </c>
      <c r="F30" s="36">
        <v>0.7830508474576271</v>
      </c>
      <c r="G30" s="36">
        <v>0.83389830508474572</v>
      </c>
      <c r="H30" s="36">
        <v>0.77210884353741494</v>
      </c>
      <c r="I30" s="36">
        <v>0.80612244897959184</v>
      </c>
      <c r="J30" s="36">
        <v>0.77551020408163263</v>
      </c>
      <c r="K30" s="36">
        <v>0.7857142857142857</v>
      </c>
      <c r="L30" s="36">
        <v>0.76530612244897955</v>
      </c>
      <c r="M30" s="36">
        <v>0.77891156462585032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</row>
    <row r="31" spans="2:39" ht="15.75" customHeight="1" x14ac:dyDescent="0.2">
      <c r="B31" s="48">
        <v>137</v>
      </c>
      <c r="C31" s="39">
        <v>46053</v>
      </c>
      <c r="D31" s="35">
        <v>1</v>
      </c>
      <c r="E31" s="36">
        <v>0.79562043795620441</v>
      </c>
      <c r="F31" s="36">
        <v>0.75182481751824815</v>
      </c>
      <c r="G31" s="36">
        <v>0.78102189781021902</v>
      </c>
      <c r="H31" s="36">
        <v>0.79562043795620441</v>
      </c>
      <c r="I31" s="36">
        <v>0.73722627737226276</v>
      </c>
      <c r="J31" s="36">
        <v>0.79562043795620441</v>
      </c>
      <c r="K31" s="36">
        <v>0.73722627737226276</v>
      </c>
      <c r="L31" s="36">
        <v>0.75182481751824815</v>
      </c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</row>
    <row r="32" spans="2:39" ht="15.75" customHeight="1" x14ac:dyDescent="0.2">
      <c r="B32" s="48">
        <v>771</v>
      </c>
      <c r="C32" s="39">
        <v>46081</v>
      </c>
      <c r="D32" s="35">
        <v>1</v>
      </c>
      <c r="E32" s="36">
        <v>0.87322121604139713</v>
      </c>
      <c r="F32" s="36">
        <v>0.86545924967658472</v>
      </c>
      <c r="G32" s="36">
        <v>0.84605433376455363</v>
      </c>
      <c r="H32" s="36">
        <v>0.8274967574578469</v>
      </c>
      <c r="I32" s="36">
        <v>0.81971465629053175</v>
      </c>
      <c r="J32" s="36">
        <v>0.8119325551232166</v>
      </c>
      <c r="K32" s="36">
        <v>0.78988326848249024</v>
      </c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</row>
    <row r="33" spans="2:39" ht="15.75" customHeight="1" x14ac:dyDescent="0.2">
      <c r="B33" s="48">
        <v>889</v>
      </c>
      <c r="C33" s="39">
        <v>46112</v>
      </c>
      <c r="D33" s="35">
        <v>1</v>
      </c>
      <c r="E33" s="36">
        <v>0.85297418630751964</v>
      </c>
      <c r="F33" s="36">
        <v>0.82940516273849607</v>
      </c>
      <c r="G33" s="36">
        <v>0.80089988751406072</v>
      </c>
      <c r="H33" s="36">
        <v>0.77390326209223848</v>
      </c>
      <c r="I33" s="36">
        <v>0.78402699662542186</v>
      </c>
      <c r="J33" s="36">
        <v>0.77165354330708658</v>
      </c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</row>
    <row r="34" spans="2:39" ht="15.75" customHeight="1" x14ac:dyDescent="0.2">
      <c r="B34" s="48">
        <v>1277</v>
      </c>
      <c r="C34" s="39">
        <v>46142</v>
      </c>
      <c r="D34" s="35">
        <v>1</v>
      </c>
      <c r="E34" s="36">
        <v>0.85613760750586398</v>
      </c>
      <c r="F34" s="36">
        <v>0.82251759186864737</v>
      </c>
      <c r="G34" s="36">
        <v>0.7963978073610023</v>
      </c>
      <c r="H34" s="36">
        <v>0.79561472200469852</v>
      </c>
      <c r="I34" s="36">
        <v>0.77603758809710255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</row>
    <row r="35" spans="2:39" ht="15.75" customHeight="1" x14ac:dyDescent="0.2">
      <c r="B35" s="48">
        <v>1093</v>
      </c>
      <c r="C35" s="39">
        <v>46173</v>
      </c>
      <c r="D35" s="35">
        <v>1</v>
      </c>
      <c r="E35" s="36">
        <v>0.82250686184812438</v>
      </c>
      <c r="F35" s="36">
        <v>0.79322964318389755</v>
      </c>
      <c r="G35" s="36">
        <v>0.78682525160109784</v>
      </c>
      <c r="H35" s="36">
        <v>0.77218664226898448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</row>
    <row r="36" spans="2:39" ht="15.75" customHeight="1" x14ac:dyDescent="0.2">
      <c r="B36" s="48">
        <v>1640</v>
      </c>
      <c r="C36" s="39">
        <v>46203</v>
      </c>
      <c r="D36" s="35">
        <v>1</v>
      </c>
      <c r="E36" s="36">
        <v>0.82317073170731703</v>
      </c>
      <c r="F36" s="36">
        <v>0.81829268292682922</v>
      </c>
      <c r="G36" s="36">
        <v>0.79146341463414638</v>
      </c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</row>
    <row r="37" spans="2:39" ht="15.75" customHeight="1" x14ac:dyDescent="0.2">
      <c r="B37" s="48">
        <v>1102</v>
      </c>
      <c r="C37" s="39">
        <v>46234</v>
      </c>
      <c r="D37" s="35">
        <v>1.0018148820326678</v>
      </c>
      <c r="E37" s="36">
        <v>0.82758620689655171</v>
      </c>
      <c r="F37" s="36">
        <v>0.76860254083484569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</row>
    <row r="38" spans="2:39" ht="15.75" customHeight="1" x14ac:dyDescent="0.2">
      <c r="B38" s="48">
        <v>933</v>
      </c>
      <c r="C38" s="39">
        <v>46265</v>
      </c>
      <c r="D38" s="35">
        <v>1</v>
      </c>
      <c r="E38" s="36">
        <v>0.79957127545551987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</row>
    <row r="39" spans="2:39" ht="15.75" customHeight="1" x14ac:dyDescent="0.2">
      <c r="B39" s="48">
        <v>2402</v>
      </c>
      <c r="C39" s="39">
        <v>46295</v>
      </c>
      <c r="D39" s="35">
        <v>1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</row>
    <row r="40" spans="2:39" ht="15.75" customHeight="1" x14ac:dyDescent="0.2">
      <c r="B40" s="6"/>
    </row>
    <row r="41" spans="2:39" ht="15.75" customHeight="1" x14ac:dyDescent="0.2">
      <c r="B41" s="6" t="s">
        <v>65</v>
      </c>
      <c r="D41" s="56">
        <f t="shared" ref="D41:AM41" si="1">AVERAGE(D5:D40)</f>
        <v>1.0000518537723619</v>
      </c>
      <c r="E41" s="56">
        <f t="shared" si="1"/>
        <v>0.85531502998220887</v>
      </c>
      <c r="F41" s="56">
        <f t="shared" si="1"/>
        <v>0.83305474180687245</v>
      </c>
      <c r="G41" s="56">
        <f t="shared" si="1"/>
        <v>0.8335088996099429</v>
      </c>
      <c r="H41" s="56">
        <f t="shared" si="1"/>
        <v>0.83259137608239575</v>
      </c>
      <c r="I41" s="56">
        <f t="shared" si="1"/>
        <v>0.81276494001094435</v>
      </c>
      <c r="J41" s="56">
        <f t="shared" si="1"/>
        <v>0.79627490297742964</v>
      </c>
      <c r="K41" s="56">
        <f t="shared" si="1"/>
        <v>0.77774351049860579</v>
      </c>
      <c r="L41" s="56">
        <f t="shared" si="1"/>
        <v>0.77000309076055351</v>
      </c>
      <c r="M41" s="56">
        <f t="shared" si="1"/>
        <v>0.76497173232123228</v>
      </c>
      <c r="N41" s="56">
        <f t="shared" si="1"/>
        <v>0.77862692314079363</v>
      </c>
      <c r="O41" s="56">
        <f t="shared" si="1"/>
        <v>0.78617828504250353</v>
      </c>
      <c r="P41" s="56">
        <f t="shared" si="1"/>
        <v>0.79512722155335869</v>
      </c>
      <c r="Q41" s="56">
        <f t="shared" si="1"/>
        <v>0.76335066177757416</v>
      </c>
      <c r="R41" s="56">
        <f t="shared" si="1"/>
        <v>0.76658920969491917</v>
      </c>
      <c r="S41" s="56">
        <f t="shared" si="1"/>
        <v>0.74932983120612007</v>
      </c>
      <c r="T41" s="56">
        <f t="shared" si="1"/>
        <v>0.77636849459767898</v>
      </c>
      <c r="U41" s="56">
        <f t="shared" si="1"/>
        <v>0.77477968077465942</v>
      </c>
      <c r="V41" s="56">
        <f t="shared" si="1"/>
        <v>0.77192090778968148</v>
      </c>
      <c r="W41" s="56">
        <f t="shared" si="1"/>
        <v>0.79697871898240646</v>
      </c>
      <c r="X41" s="56">
        <f t="shared" si="1"/>
        <v>0.79365452139955939</v>
      </c>
      <c r="Y41" s="56">
        <f t="shared" si="1"/>
        <v>0.81272371884683048</v>
      </c>
      <c r="Z41" s="56">
        <f t="shared" si="1"/>
        <v>0.82627887534539757</v>
      </c>
      <c r="AA41" s="56">
        <f t="shared" si="1"/>
        <v>0.80625271687778233</v>
      </c>
      <c r="AB41" s="56">
        <f t="shared" si="1"/>
        <v>0.82411809161748151</v>
      </c>
      <c r="AC41" s="56">
        <f t="shared" si="1"/>
        <v>0.84863483668337059</v>
      </c>
      <c r="AD41" s="56">
        <f t="shared" si="1"/>
        <v>0.86093164409645706</v>
      </c>
      <c r="AE41" s="56">
        <f t="shared" si="1"/>
        <v>0.9029473244147157</v>
      </c>
      <c r="AF41" s="56">
        <f t="shared" si="1"/>
        <v>0.89413919413919429</v>
      </c>
      <c r="AG41" s="56">
        <f t="shared" si="1"/>
        <v>0.94166666666666676</v>
      </c>
      <c r="AH41" s="56">
        <f t="shared" si="1"/>
        <v>0.99</v>
      </c>
      <c r="AI41" s="56">
        <f t="shared" si="1"/>
        <v>0.95833333333333337</v>
      </c>
      <c r="AJ41" s="56">
        <f t="shared" si="1"/>
        <v>1</v>
      </c>
      <c r="AK41" s="56">
        <f t="shared" si="1"/>
        <v>1</v>
      </c>
      <c r="AL41" s="56">
        <f t="shared" si="1"/>
        <v>1</v>
      </c>
      <c r="AM41" s="56">
        <f t="shared" si="1"/>
        <v>1</v>
      </c>
    </row>
    <row r="42" spans="2:39" ht="15.75" customHeight="1" x14ac:dyDescent="0.2">
      <c r="B42" s="6"/>
    </row>
    <row r="43" spans="2:39" ht="15.75" customHeight="1" x14ac:dyDescent="0.2">
      <c r="B43" s="6"/>
    </row>
    <row r="44" spans="2:39" ht="15.75" customHeight="1" x14ac:dyDescent="0.2">
      <c r="B44" s="9"/>
      <c r="C44" s="11" t="s">
        <v>67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pans="2:39" ht="15.75" customHeight="1" x14ac:dyDescent="0.2">
      <c r="B45" s="17"/>
      <c r="C45" s="19" t="s">
        <v>68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pans="2:39" ht="15.75" customHeight="1" x14ac:dyDescent="0.2">
      <c r="B46" s="57" t="s">
        <v>27</v>
      </c>
      <c r="C46" s="57" t="s">
        <v>31</v>
      </c>
      <c r="D46" s="58">
        <v>0</v>
      </c>
      <c r="E46" s="58">
        <v>1</v>
      </c>
      <c r="F46" s="58">
        <v>2</v>
      </c>
      <c r="G46" s="58">
        <v>3</v>
      </c>
      <c r="H46" s="58">
        <v>4</v>
      </c>
      <c r="I46" s="58">
        <v>5</v>
      </c>
      <c r="J46" s="58">
        <v>6</v>
      </c>
      <c r="K46" s="58">
        <v>7</v>
      </c>
      <c r="L46" s="58">
        <v>8</v>
      </c>
      <c r="M46" s="58">
        <v>9</v>
      </c>
      <c r="N46" s="58">
        <v>10</v>
      </c>
      <c r="O46" s="58">
        <v>11</v>
      </c>
      <c r="P46" s="58">
        <v>12</v>
      </c>
      <c r="Q46" s="58">
        <v>13</v>
      </c>
      <c r="R46" s="58">
        <v>14</v>
      </c>
      <c r="S46" s="58">
        <v>15</v>
      </c>
      <c r="T46" s="58">
        <v>16</v>
      </c>
      <c r="U46" s="58">
        <v>17</v>
      </c>
      <c r="V46" s="58">
        <v>18</v>
      </c>
      <c r="W46" s="58">
        <v>19</v>
      </c>
      <c r="X46" s="58">
        <v>20</v>
      </c>
      <c r="Y46" s="58">
        <v>21</v>
      </c>
      <c r="Z46" s="58">
        <v>22</v>
      </c>
      <c r="AA46" s="58">
        <v>23</v>
      </c>
      <c r="AB46" s="58">
        <v>24</v>
      </c>
      <c r="AC46" s="28">
        <v>25</v>
      </c>
      <c r="AD46" s="28">
        <v>26</v>
      </c>
      <c r="AE46" s="28">
        <v>27</v>
      </c>
      <c r="AF46" s="28">
        <f>AF4</f>
        <v>28</v>
      </c>
      <c r="AG46" s="28">
        <v>29</v>
      </c>
      <c r="AH46" s="28">
        <f t="shared" ref="AH46:AJ46" si="2">AH4</f>
        <v>30</v>
      </c>
      <c r="AI46" s="28">
        <f t="shared" si="2"/>
        <v>31</v>
      </c>
      <c r="AJ46" s="28">
        <f t="shared" si="2"/>
        <v>32</v>
      </c>
      <c r="AK46" s="28">
        <v>33</v>
      </c>
      <c r="AL46" s="28">
        <v>34</v>
      </c>
      <c r="AM46" s="28">
        <v>35</v>
      </c>
    </row>
    <row r="47" spans="2:39" ht="15.75" customHeight="1" x14ac:dyDescent="0.2">
      <c r="B47" s="38">
        <v>1</v>
      </c>
      <c r="C47" s="39">
        <v>45170</v>
      </c>
      <c r="D47" s="59">
        <v>28.808635976041636</v>
      </c>
      <c r="E47" s="60">
        <v>2.5232752776528846</v>
      </c>
      <c r="F47" s="60">
        <v>2.9543102896276499</v>
      </c>
      <c r="G47" s="60">
        <v>9.5986830754805617</v>
      </c>
      <c r="H47" s="60">
        <v>2.0534062755454943</v>
      </c>
      <c r="I47" s="60">
        <v>10.503804874981515</v>
      </c>
      <c r="J47" s="60">
        <v>4.3189964157706096E-2</v>
      </c>
      <c r="K47" s="60">
        <v>0</v>
      </c>
      <c r="L47" s="60">
        <v>59.36211831007143</v>
      </c>
      <c r="M47" s="60">
        <v>91.485268207972169</v>
      </c>
      <c r="N47" s="60">
        <v>286.28655216111355</v>
      </c>
      <c r="O47" s="60">
        <v>62.806483469996024</v>
      </c>
      <c r="P47" s="60">
        <v>240.56815987988824</v>
      </c>
      <c r="Q47" s="60">
        <v>182.12430201311386</v>
      </c>
      <c r="R47" s="60">
        <v>152.08332627010631</v>
      </c>
      <c r="S47" s="60">
        <v>136.23254069515198</v>
      </c>
      <c r="T47" s="60">
        <v>86.230625489418031</v>
      </c>
      <c r="U47" s="60">
        <v>132.7537252157646</v>
      </c>
      <c r="V47" s="60">
        <v>120.10467723426821</v>
      </c>
      <c r="W47" s="60">
        <v>210.41683143268429</v>
      </c>
      <c r="X47" s="60">
        <v>125.51725911752348</v>
      </c>
      <c r="Y47" s="60">
        <v>253.17047863162122</v>
      </c>
      <c r="Z47" s="60">
        <v>203.52259672591254</v>
      </c>
      <c r="AA47" s="60">
        <v>266.97852157710855</v>
      </c>
      <c r="AB47" s="60">
        <v>188.61825070152381</v>
      </c>
      <c r="AC47" s="60">
        <v>147.53270500483893</v>
      </c>
      <c r="AD47" s="60">
        <v>139.3670042301471</v>
      </c>
      <c r="AE47" s="60">
        <v>166.83834025610446</v>
      </c>
      <c r="AF47" s="60">
        <v>127.32979596555809</v>
      </c>
      <c r="AG47" s="60">
        <v>249.58032587286147</v>
      </c>
      <c r="AH47" s="60">
        <v>99.174609686026074</v>
      </c>
      <c r="AI47" s="60">
        <v>178.91194309819792</v>
      </c>
      <c r="AJ47" s="60">
        <v>430.49759218503203</v>
      </c>
      <c r="AK47" s="60">
        <v>470.25358422939075</v>
      </c>
      <c r="AL47" s="60">
        <v>407.55985663082441</v>
      </c>
      <c r="AM47" s="60">
        <v>261.0503584229391</v>
      </c>
    </row>
    <row r="48" spans="2:39" ht="15.75" customHeight="1" x14ac:dyDescent="0.2">
      <c r="B48" s="38">
        <v>3</v>
      </c>
      <c r="C48" s="39">
        <v>45200</v>
      </c>
      <c r="D48" s="59">
        <v>2.2434886499402631</v>
      </c>
      <c r="E48" s="60">
        <v>1.0607006104915544</v>
      </c>
      <c r="F48" s="60">
        <v>10.296111835798984</v>
      </c>
      <c r="G48" s="60">
        <v>8.8359561418224093</v>
      </c>
      <c r="H48" s="60">
        <v>6.1342099250069095</v>
      </c>
      <c r="I48" s="60">
        <v>9.4639900044632554</v>
      </c>
      <c r="J48" s="60">
        <v>11.691301477485919</v>
      </c>
      <c r="K48" s="60">
        <v>10.127337409416942</v>
      </c>
      <c r="L48" s="60">
        <v>14.562341880343823</v>
      </c>
      <c r="M48" s="60">
        <v>15.47854949065829</v>
      </c>
      <c r="N48" s="60">
        <v>20.631221237377318</v>
      </c>
      <c r="O48" s="60">
        <v>11.818560254733848</v>
      </c>
      <c r="P48" s="60">
        <v>19.765580075063511</v>
      </c>
      <c r="Q48" s="60">
        <v>36.295897578221037</v>
      </c>
      <c r="R48" s="60">
        <v>23.05021001965525</v>
      </c>
      <c r="S48" s="60">
        <v>19.448154911260136</v>
      </c>
      <c r="T48" s="60">
        <v>8.4253850508990151</v>
      </c>
      <c r="U48" s="60">
        <v>16.776757326493009</v>
      </c>
      <c r="V48" s="60">
        <v>15.62915008424471</v>
      </c>
      <c r="W48" s="60">
        <v>27.182517237894597</v>
      </c>
      <c r="X48" s="60">
        <v>18.386424592420546</v>
      </c>
      <c r="Y48" s="60">
        <v>44.800084820978526</v>
      </c>
      <c r="Z48" s="60">
        <v>16.262376318476441</v>
      </c>
      <c r="AA48" s="60">
        <v>8.5534228848113454</v>
      </c>
      <c r="AB48" s="60">
        <v>20.589574563701881</v>
      </c>
      <c r="AC48" s="60">
        <v>21.110242005733248</v>
      </c>
      <c r="AD48" s="60">
        <v>22.412225916830437</v>
      </c>
      <c r="AE48" s="60">
        <v>26.140810747671221</v>
      </c>
      <c r="AF48" s="60">
        <v>17.64808074365552</v>
      </c>
      <c r="AG48" s="60">
        <v>21.094623197888929</v>
      </c>
      <c r="AH48" s="60">
        <v>10.899096861903436</v>
      </c>
      <c r="AI48" s="60">
        <v>23.557838504696207</v>
      </c>
      <c r="AJ48" s="60">
        <v>15.497885847690656</v>
      </c>
      <c r="AK48" s="60">
        <v>14.166308243727599</v>
      </c>
      <c r="AL48" s="60">
        <v>16.119534050179212</v>
      </c>
      <c r="AM48" s="60">
        <v>17.67395459976105</v>
      </c>
    </row>
    <row r="49" spans="2:39" ht="15.75" customHeight="1" x14ac:dyDescent="0.2">
      <c r="B49" s="38">
        <v>6</v>
      </c>
      <c r="C49" s="39">
        <v>45261</v>
      </c>
      <c r="D49" s="59">
        <v>2.0806052085888433</v>
      </c>
      <c r="E49" s="60">
        <v>3.1065759301572466</v>
      </c>
      <c r="F49" s="60">
        <v>4.9819352244346895</v>
      </c>
      <c r="G49" s="60">
        <v>12.922370912042997</v>
      </c>
      <c r="H49" s="60">
        <v>23.778571046371621</v>
      </c>
      <c r="I49" s="60">
        <v>137.16886965412422</v>
      </c>
      <c r="J49" s="60">
        <v>41.300980766632222</v>
      </c>
      <c r="K49" s="60">
        <v>106.8732739209251</v>
      </c>
      <c r="L49" s="60">
        <v>37.043021191410332</v>
      </c>
      <c r="M49" s="60">
        <v>54.401839855076396</v>
      </c>
      <c r="N49" s="60">
        <v>62.582601458794052</v>
      </c>
      <c r="O49" s="60">
        <v>33.670624864701466</v>
      </c>
      <c r="P49" s="60">
        <v>40.025413346618521</v>
      </c>
      <c r="Q49" s="60">
        <v>51.323155825004257</v>
      </c>
      <c r="R49" s="60">
        <v>42.509454336353535</v>
      </c>
      <c r="S49" s="60">
        <v>40.212524815189525</v>
      </c>
      <c r="T49" s="60">
        <v>109.95587316905521</v>
      </c>
      <c r="U49" s="60">
        <v>87.38910670070824</v>
      </c>
      <c r="V49" s="60">
        <v>106.08288188445466</v>
      </c>
      <c r="W49" s="60">
        <v>154.41534876467648</v>
      </c>
      <c r="X49" s="60">
        <v>115.07891906420322</v>
      </c>
      <c r="Y49" s="60">
        <v>113.61057621371843</v>
      </c>
      <c r="Z49" s="60">
        <v>113.6454923780731</v>
      </c>
      <c r="AA49" s="60">
        <v>91.221338625755266</v>
      </c>
      <c r="AB49" s="60">
        <v>55.538282331157859</v>
      </c>
      <c r="AC49" s="60">
        <v>70.470619893643629</v>
      </c>
      <c r="AD49" s="60">
        <v>39.283636661658399</v>
      </c>
      <c r="AE49" s="62">
        <v>52.624302110335144</v>
      </c>
      <c r="AF49" s="60">
        <v>39.802177459057852</v>
      </c>
      <c r="AG49" s="60">
        <v>76.595879101049789</v>
      </c>
      <c r="AH49" s="60">
        <v>40.406596894552791</v>
      </c>
      <c r="AI49" s="60">
        <v>86.876911589008387</v>
      </c>
      <c r="AJ49" s="60">
        <v>74.281362007168468</v>
      </c>
      <c r="AK49" s="60">
        <v>66.220788530465967</v>
      </c>
      <c r="AL49" s="60"/>
      <c r="AM49" s="60"/>
    </row>
    <row r="50" spans="2:39" ht="15.75" customHeight="1" x14ac:dyDescent="0.2">
      <c r="B50" s="38">
        <v>7</v>
      </c>
      <c r="C50" s="39">
        <v>45292</v>
      </c>
      <c r="D50" s="59">
        <v>2.855090845721822</v>
      </c>
      <c r="E50" s="60">
        <v>4.3749866682623955</v>
      </c>
      <c r="F50" s="60">
        <v>15.286398806435422</v>
      </c>
      <c r="G50" s="60">
        <v>5.0946250171803342</v>
      </c>
      <c r="H50" s="60">
        <v>5.1554145010003438</v>
      </c>
      <c r="I50" s="60">
        <v>8.5360274668064502</v>
      </c>
      <c r="J50" s="60">
        <v>12.003340268680367</v>
      </c>
      <c r="K50" s="60">
        <v>7.5362074828651249</v>
      </c>
      <c r="L50" s="60">
        <v>5.8082852203132189</v>
      </c>
      <c r="M50" s="60">
        <v>2.1724844329987278</v>
      </c>
      <c r="N50" s="60">
        <v>5.6748659616781243</v>
      </c>
      <c r="O50" s="60">
        <v>7.3465136586321789</v>
      </c>
      <c r="P50" s="60">
        <v>15.108825304834435</v>
      </c>
      <c r="Q50" s="60">
        <v>8.8304324684581736</v>
      </c>
      <c r="R50" s="60">
        <v>5.3601837557297403</v>
      </c>
      <c r="S50" s="60">
        <v>3.1355947273447606</v>
      </c>
      <c r="T50" s="60">
        <v>3.0835654486003032</v>
      </c>
      <c r="U50" s="60">
        <v>7.8213967493169401</v>
      </c>
      <c r="V50" s="60">
        <v>8.4024082754920979</v>
      </c>
      <c r="W50" s="60">
        <v>25.042922946668227</v>
      </c>
      <c r="X50" s="60">
        <v>3.0142775049754693</v>
      </c>
      <c r="Y50" s="60">
        <v>2.9233733363756005</v>
      </c>
      <c r="Z50" s="60">
        <v>8.286794971473503</v>
      </c>
      <c r="AA50" s="60">
        <v>21.758786552697707</v>
      </c>
      <c r="AB50" s="60">
        <v>4.0570141923386203</v>
      </c>
      <c r="AC50" s="60">
        <v>13.681223452323259</v>
      </c>
      <c r="AD50" s="60">
        <v>47.732098422347697</v>
      </c>
      <c r="AE50" s="60">
        <v>6.4827339234506161</v>
      </c>
      <c r="AF50" s="60">
        <v>4.0550909637884569</v>
      </c>
      <c r="AG50" s="60">
        <v>29.411215000798244</v>
      </c>
      <c r="AH50" s="60">
        <v>21.25277777777778</v>
      </c>
      <c r="AI50" s="60">
        <v>7.4819354838709664</v>
      </c>
      <c r="AJ50" s="60">
        <v>5.0442652329749098</v>
      </c>
      <c r="AK50" s="60"/>
      <c r="AL50" s="60"/>
      <c r="AM50" s="60"/>
    </row>
    <row r="51" spans="2:39" ht="15.75" customHeight="1" x14ac:dyDescent="0.2">
      <c r="B51" s="38">
        <v>27</v>
      </c>
      <c r="C51" s="39">
        <v>45352</v>
      </c>
      <c r="D51" s="59">
        <v>9.7943651193978098</v>
      </c>
      <c r="E51" s="60">
        <v>11.519396303937292</v>
      </c>
      <c r="F51" s="60">
        <v>10.58556701963991</v>
      </c>
      <c r="G51" s="60">
        <v>26.861816525753941</v>
      </c>
      <c r="H51" s="60">
        <v>12.697197800426018</v>
      </c>
      <c r="I51" s="60">
        <v>26.181862981176003</v>
      </c>
      <c r="J51" s="60">
        <v>23.652652340756909</v>
      </c>
      <c r="K51" s="60">
        <v>25.694110681845956</v>
      </c>
      <c r="L51" s="60">
        <v>23.032002323037808</v>
      </c>
      <c r="M51" s="60">
        <v>16.701008393915195</v>
      </c>
      <c r="N51" s="60">
        <v>20.729565152907767</v>
      </c>
      <c r="O51" s="60">
        <v>27.299305649805284</v>
      </c>
      <c r="P51" s="60">
        <v>14.53835045251247</v>
      </c>
      <c r="Q51" s="60">
        <v>19.719311390781343</v>
      </c>
      <c r="R51" s="60">
        <v>18.351821416176413</v>
      </c>
      <c r="S51" s="60">
        <v>23.0313233165908</v>
      </c>
      <c r="T51" s="60">
        <v>14.12266470796934</v>
      </c>
      <c r="U51" s="60">
        <v>24.514318717869305</v>
      </c>
      <c r="V51" s="60">
        <v>8.1117428695963927</v>
      </c>
      <c r="W51" s="60">
        <v>21.282897468673312</v>
      </c>
      <c r="X51" s="60">
        <v>19.771208734375843</v>
      </c>
      <c r="Y51" s="60">
        <v>19.321704351796498</v>
      </c>
      <c r="Z51" s="60">
        <v>26.275348794572174</v>
      </c>
      <c r="AA51" s="60">
        <v>11.148551263346166</v>
      </c>
      <c r="AB51" s="60">
        <v>35.994130308927922</v>
      </c>
      <c r="AC51" s="60">
        <v>19.168975404604378</v>
      </c>
      <c r="AD51" s="60">
        <v>35.318485820897806</v>
      </c>
      <c r="AE51" s="60">
        <v>39.246707172775864</v>
      </c>
      <c r="AF51" s="60">
        <v>29.166845878136201</v>
      </c>
      <c r="AG51" s="60">
        <v>41.333657620754394</v>
      </c>
      <c r="AH51" s="60">
        <v>35.403608667318338</v>
      </c>
      <c r="AI51" s="60"/>
      <c r="AJ51" s="60"/>
      <c r="AK51" s="60"/>
      <c r="AL51" s="60"/>
      <c r="AM51" s="60"/>
    </row>
    <row r="52" spans="2:39" ht="15.75" customHeight="1" x14ac:dyDescent="0.2">
      <c r="B52" s="38">
        <v>11</v>
      </c>
      <c r="C52" s="39">
        <v>45383</v>
      </c>
      <c r="D52" s="59">
        <v>2.3997050065401342</v>
      </c>
      <c r="E52" s="60">
        <v>5.4390654810639845</v>
      </c>
      <c r="F52" s="60">
        <v>5.6566128602166117</v>
      </c>
      <c r="G52" s="60">
        <v>9.6187880866425708</v>
      </c>
      <c r="H52" s="60">
        <v>3.6385585380030743</v>
      </c>
      <c r="I52" s="60">
        <v>14.878273171286367</v>
      </c>
      <c r="J52" s="60">
        <v>10.57359458064191</v>
      </c>
      <c r="K52" s="60">
        <v>4.3207665387265308</v>
      </c>
      <c r="L52" s="60">
        <v>15.084276576480816</v>
      </c>
      <c r="M52" s="60">
        <v>24.434459831435195</v>
      </c>
      <c r="N52" s="60">
        <v>16.728092949537238</v>
      </c>
      <c r="O52" s="60">
        <v>22.122546992664745</v>
      </c>
      <c r="P52" s="60">
        <v>20.929995712824113</v>
      </c>
      <c r="Q52" s="60">
        <v>19.460813071702315</v>
      </c>
      <c r="R52" s="60">
        <v>60.097049878204288</v>
      </c>
      <c r="S52" s="60">
        <v>90.406687700964795</v>
      </c>
      <c r="T52" s="60">
        <v>63.495734189403407</v>
      </c>
      <c r="U52" s="60">
        <v>50.12457222466319</v>
      </c>
      <c r="V52" s="60">
        <v>59.164599843479955</v>
      </c>
      <c r="W52" s="60">
        <v>37.274754325713488</v>
      </c>
      <c r="X52" s="60">
        <v>41.18142457508678</v>
      </c>
      <c r="Y52" s="60">
        <v>41.757650453412417</v>
      </c>
      <c r="Z52" s="60">
        <v>60.061222781524869</v>
      </c>
      <c r="AA52" s="60">
        <v>35.751751540361241</v>
      </c>
      <c r="AB52" s="60">
        <v>44.058182915970512</v>
      </c>
      <c r="AC52" s="60">
        <v>19.782580247086226</v>
      </c>
      <c r="AD52" s="60">
        <v>21.152643191362742</v>
      </c>
      <c r="AE52" s="60">
        <v>15.379510155316607</v>
      </c>
      <c r="AF52" s="60">
        <v>19.797081413210446</v>
      </c>
      <c r="AG52" s="60">
        <v>12.852083333333335</v>
      </c>
      <c r="AH52" s="60"/>
      <c r="AI52" s="60"/>
      <c r="AJ52" s="60"/>
      <c r="AK52" s="60"/>
      <c r="AL52" s="60"/>
      <c r="AM52" s="60"/>
    </row>
    <row r="53" spans="2:39" ht="15.75" customHeight="1" x14ac:dyDescent="0.2">
      <c r="B53" s="38">
        <v>25</v>
      </c>
      <c r="C53" s="39">
        <v>45413</v>
      </c>
      <c r="D53" s="59">
        <v>6.8644824727021483</v>
      </c>
      <c r="E53" s="60">
        <v>7.4052832920363141</v>
      </c>
      <c r="F53" s="60">
        <v>14.939079352646347</v>
      </c>
      <c r="G53" s="60">
        <v>9.2353616840590007</v>
      </c>
      <c r="H53" s="60">
        <v>11.542747964589219</v>
      </c>
      <c r="I53" s="60">
        <v>8.7589231949156918</v>
      </c>
      <c r="J53" s="60">
        <v>10.073290601349241</v>
      </c>
      <c r="K53" s="60">
        <v>13.402857305526515</v>
      </c>
      <c r="L53" s="60">
        <v>12.315294606135714</v>
      </c>
      <c r="M53" s="60">
        <v>8.2498585443995971</v>
      </c>
      <c r="N53" s="60">
        <v>16.049785814292797</v>
      </c>
      <c r="O53" s="60">
        <v>11.246664670638332</v>
      </c>
      <c r="P53" s="60">
        <v>13.550894087491177</v>
      </c>
      <c r="Q53" s="60">
        <v>14.727048653410908</v>
      </c>
      <c r="R53" s="60">
        <v>12.392259836238049</v>
      </c>
      <c r="S53" s="60">
        <v>14.897031512074317</v>
      </c>
      <c r="T53" s="60">
        <v>20.726087482279745</v>
      </c>
      <c r="U53" s="60">
        <v>13.334112447176333</v>
      </c>
      <c r="V53" s="60">
        <v>14.082043852186118</v>
      </c>
      <c r="W53" s="60">
        <v>16.158870899986628</v>
      </c>
      <c r="X53" s="60">
        <v>37.316985196520648</v>
      </c>
      <c r="Y53" s="60">
        <v>14.397925540634997</v>
      </c>
      <c r="Z53" s="60">
        <v>16.495591752398141</v>
      </c>
      <c r="AA53" s="60">
        <v>12.346887033088874</v>
      </c>
      <c r="AB53" s="60">
        <v>21.053216518667821</v>
      </c>
      <c r="AC53" s="60">
        <v>16.309399540073628</v>
      </c>
      <c r="AD53" s="60">
        <v>21.240213062524887</v>
      </c>
      <c r="AE53" s="60">
        <v>19.407602339181285</v>
      </c>
      <c r="AF53" s="60">
        <v>22.350228992433294</v>
      </c>
      <c r="AG53" s="60"/>
      <c r="AH53" s="60"/>
      <c r="AI53" s="60"/>
      <c r="AJ53" s="60"/>
      <c r="AK53" s="60"/>
      <c r="AL53" s="60"/>
      <c r="AM53" s="60"/>
    </row>
    <row r="54" spans="2:39" ht="15.75" customHeight="1" x14ac:dyDescent="0.2">
      <c r="B54" s="38">
        <v>50</v>
      </c>
      <c r="C54" s="39">
        <v>45444</v>
      </c>
      <c r="D54" s="59">
        <v>4.5390931872266469</v>
      </c>
      <c r="E54" s="60">
        <v>6.3837842423449285</v>
      </c>
      <c r="F54" s="60">
        <v>4.3888769483041941</v>
      </c>
      <c r="G54" s="60">
        <v>6.3081397931052026</v>
      </c>
      <c r="H54" s="60">
        <v>8.1015788261323021</v>
      </c>
      <c r="I54" s="60">
        <v>8.8083871163011072</v>
      </c>
      <c r="J54" s="60">
        <v>9.8514166359941129</v>
      </c>
      <c r="K54" s="60">
        <v>11.57894810485668</v>
      </c>
      <c r="L54" s="60">
        <v>6.6236512900929609</v>
      </c>
      <c r="M54" s="60">
        <v>8.3098443812148304</v>
      </c>
      <c r="N54" s="60">
        <v>13.51476432644567</v>
      </c>
      <c r="O54" s="60">
        <v>15.524013878789404</v>
      </c>
      <c r="P54" s="60">
        <v>12.022614704180837</v>
      </c>
      <c r="Q54" s="60">
        <v>9.7094458522653415</v>
      </c>
      <c r="R54" s="60">
        <v>9.4945972879222165</v>
      </c>
      <c r="S54" s="60">
        <v>11.003523306698067</v>
      </c>
      <c r="T54" s="60">
        <v>11.003523306698067</v>
      </c>
      <c r="U54" s="60">
        <v>11.720333389790001</v>
      </c>
      <c r="V54" s="60">
        <v>8.3591911915702255</v>
      </c>
      <c r="W54" s="60">
        <v>8.4492915820309005</v>
      </c>
      <c r="X54" s="60">
        <v>9.4209897897374084</v>
      </c>
      <c r="Y54" s="60">
        <v>10.314981878992448</v>
      </c>
      <c r="Z54" s="60">
        <v>15.964292673434437</v>
      </c>
      <c r="AA54" s="60">
        <v>22.990702807616202</v>
      </c>
      <c r="AB54" s="60">
        <v>18.977857972658832</v>
      </c>
      <c r="AC54" s="60">
        <v>19.312533941566194</v>
      </c>
      <c r="AD54" s="60">
        <v>19.680440348182273</v>
      </c>
      <c r="AE54" s="60">
        <v>19.068357066744163</v>
      </c>
      <c r="AF54" s="60"/>
      <c r="AG54" s="60"/>
      <c r="AH54" s="60"/>
      <c r="AI54" s="60"/>
      <c r="AJ54" s="60"/>
      <c r="AK54" s="60"/>
      <c r="AL54" s="60"/>
      <c r="AM54" s="60"/>
    </row>
    <row r="55" spans="2:39" ht="15.75" customHeight="1" x14ac:dyDescent="0.2">
      <c r="B55" s="38">
        <v>34</v>
      </c>
      <c r="C55" s="39">
        <v>45474</v>
      </c>
      <c r="D55" s="59">
        <v>2.86330334701529</v>
      </c>
      <c r="E55" s="60">
        <v>5.3800328519509559</v>
      </c>
      <c r="F55" s="60">
        <v>5.6122939587760223</v>
      </c>
      <c r="G55" s="60">
        <v>6.3867757494734763</v>
      </c>
      <c r="H55" s="60">
        <v>8.8545468763557</v>
      </c>
      <c r="I55" s="60">
        <v>10.361165137004555</v>
      </c>
      <c r="J55" s="60">
        <v>13.824381644071748</v>
      </c>
      <c r="K55" s="60">
        <v>11.962177301032364</v>
      </c>
      <c r="L55" s="60">
        <v>18.384044789453601</v>
      </c>
      <c r="M55" s="60">
        <v>19.493131803340408</v>
      </c>
      <c r="N55" s="60">
        <v>14.271827725364888</v>
      </c>
      <c r="O55" s="60">
        <v>14.330153337712281</v>
      </c>
      <c r="P55" s="60">
        <v>15.309734584305582</v>
      </c>
      <c r="Q55" s="60">
        <v>14.402496798851528</v>
      </c>
      <c r="R55" s="60">
        <v>15.77484110894518</v>
      </c>
      <c r="S55" s="60">
        <v>21.585184995285054</v>
      </c>
      <c r="T55" s="60">
        <v>11.384512372834902</v>
      </c>
      <c r="U55" s="60">
        <v>24.630361032779277</v>
      </c>
      <c r="V55" s="60">
        <v>18.379306881162638</v>
      </c>
      <c r="W55" s="60">
        <v>16.412018492425862</v>
      </c>
      <c r="X55" s="60">
        <v>33.119361284677986</v>
      </c>
      <c r="Y55" s="60">
        <v>22.341874157525801</v>
      </c>
      <c r="Z55" s="60">
        <v>25.082184086867535</v>
      </c>
      <c r="AA55" s="60">
        <v>27.533764186217876</v>
      </c>
      <c r="AB55" s="60">
        <v>30.097688790013592</v>
      </c>
      <c r="AC55" s="60">
        <v>24.977090800477896</v>
      </c>
      <c r="AD55" s="60">
        <v>27.85342973674453</v>
      </c>
      <c r="AE55" s="60"/>
      <c r="AF55" s="60"/>
      <c r="AG55" s="60"/>
      <c r="AH55" s="60"/>
      <c r="AI55" s="60"/>
      <c r="AJ55" s="60"/>
      <c r="AK55" s="60"/>
      <c r="AL55" s="60"/>
      <c r="AM55" s="60"/>
    </row>
    <row r="56" spans="2:39" ht="15.75" customHeight="1" x14ac:dyDescent="0.2">
      <c r="B56" s="38">
        <v>38</v>
      </c>
      <c r="C56" s="39">
        <v>45505</v>
      </c>
      <c r="D56" s="59">
        <v>3.7876743827248438</v>
      </c>
      <c r="E56" s="60">
        <v>4.5093281690338891</v>
      </c>
      <c r="F56" s="60">
        <v>7.8977648410582022</v>
      </c>
      <c r="G56" s="60">
        <v>11.832714633225649</v>
      </c>
      <c r="H56" s="60">
        <v>13.193364779734987</v>
      </c>
      <c r="I56" s="60">
        <v>15.960887903748446</v>
      </c>
      <c r="J56" s="60">
        <v>18.012975546262311</v>
      </c>
      <c r="K56" s="60">
        <v>22.159105292388293</v>
      </c>
      <c r="L56" s="60">
        <v>20.446371440833897</v>
      </c>
      <c r="M56" s="60">
        <v>22.352451096750681</v>
      </c>
      <c r="N56" s="60">
        <v>17.740245699476745</v>
      </c>
      <c r="O56" s="60">
        <v>20.096141081723964</v>
      </c>
      <c r="P56" s="60">
        <v>20.692027378160063</v>
      </c>
      <c r="Q56" s="60">
        <v>18.431168210330359</v>
      </c>
      <c r="R56" s="60">
        <v>21.658958459397851</v>
      </c>
      <c r="S56" s="60">
        <v>13.629207160198909</v>
      </c>
      <c r="T56" s="60">
        <v>12.308159285788335</v>
      </c>
      <c r="U56" s="60">
        <v>8.4298857874305035</v>
      </c>
      <c r="V56" s="60">
        <v>13.41893529349359</v>
      </c>
      <c r="W56" s="60">
        <v>15.521215660195358</v>
      </c>
      <c r="X56" s="60">
        <v>20.893035456033463</v>
      </c>
      <c r="Y56" s="60">
        <v>20.105771840075171</v>
      </c>
      <c r="Z56" s="60">
        <v>28.54508739892367</v>
      </c>
      <c r="AA56" s="60">
        <v>27.44263498670367</v>
      </c>
      <c r="AB56" s="60">
        <v>29.332308467741942</v>
      </c>
      <c r="AC56" s="60">
        <v>32.511475134408599</v>
      </c>
      <c r="AD56" s="60"/>
      <c r="AE56" s="60"/>
      <c r="AF56" s="60"/>
      <c r="AG56" s="60"/>
      <c r="AH56" s="60"/>
      <c r="AI56" s="60"/>
      <c r="AJ56" s="60"/>
      <c r="AK56" s="60"/>
      <c r="AL56" s="60"/>
      <c r="AM56" s="60"/>
    </row>
    <row r="57" spans="2:39" ht="15.75" customHeight="1" x14ac:dyDescent="0.2">
      <c r="B57" s="38">
        <v>24</v>
      </c>
      <c r="C57" s="39">
        <v>45536</v>
      </c>
      <c r="D57" s="59">
        <v>4.7044823964483733</v>
      </c>
      <c r="E57" s="60">
        <v>12.864578790390818</v>
      </c>
      <c r="F57" s="60">
        <v>11.119284623261168</v>
      </c>
      <c r="G57" s="60">
        <v>20.590847631292014</v>
      </c>
      <c r="H57" s="60">
        <v>8.9133087721302235</v>
      </c>
      <c r="I57" s="60">
        <v>6.642652812202976</v>
      </c>
      <c r="J57" s="60">
        <v>12.432366948594794</v>
      </c>
      <c r="K57" s="60">
        <v>11.200760939805754</v>
      </c>
      <c r="L57" s="60">
        <v>16.313624602690684</v>
      </c>
      <c r="M57" s="60">
        <v>18.281107616938833</v>
      </c>
      <c r="N57" s="60">
        <v>13.94681254126178</v>
      </c>
      <c r="O57" s="60">
        <v>9.5840595991398221</v>
      </c>
      <c r="P57" s="60">
        <v>26.224391537688856</v>
      </c>
      <c r="Q57" s="60">
        <v>15.892101193194421</v>
      </c>
      <c r="R57" s="60">
        <v>17.805745172366866</v>
      </c>
      <c r="S57" s="60">
        <v>14.270829061641004</v>
      </c>
      <c r="T57" s="60">
        <v>16.152993653009219</v>
      </c>
      <c r="U57" s="60">
        <v>13.688987701345011</v>
      </c>
      <c r="V57" s="60">
        <v>26.357921584451706</v>
      </c>
      <c r="W57" s="60">
        <v>15.765148918125405</v>
      </c>
      <c r="X57" s="60">
        <v>22.961974181885989</v>
      </c>
      <c r="Y57" s="60">
        <v>23.473652125644019</v>
      </c>
      <c r="Z57" s="60">
        <v>22.333776091081599</v>
      </c>
      <c r="AA57" s="60">
        <v>20.954353784524564</v>
      </c>
      <c r="AB57" s="60">
        <v>26.525945838311429</v>
      </c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</row>
    <row r="58" spans="2:39" ht="15.75" customHeight="1" x14ac:dyDescent="0.2">
      <c r="B58" s="38">
        <v>56</v>
      </c>
      <c r="C58" s="39">
        <v>45566</v>
      </c>
      <c r="D58" s="59">
        <v>3.2291954625251416</v>
      </c>
      <c r="E58" s="60">
        <v>4.7698016476195981</v>
      </c>
      <c r="F58" s="60">
        <v>6.997320735311753</v>
      </c>
      <c r="G58" s="60">
        <v>10.89696780072431</v>
      </c>
      <c r="H58" s="60">
        <v>5.2321608037441925</v>
      </c>
      <c r="I58" s="60">
        <v>8.8383920328488532</v>
      </c>
      <c r="J58" s="60">
        <v>6.632091195173917</v>
      </c>
      <c r="K58" s="60">
        <v>5.9214564620747225</v>
      </c>
      <c r="L58" s="60">
        <v>6.5157347266553947</v>
      </c>
      <c r="M58" s="60">
        <v>6.7213031853821246</v>
      </c>
      <c r="N58" s="60">
        <v>7.6457877859056982</v>
      </c>
      <c r="O58" s="60">
        <v>7.6612180426439238</v>
      </c>
      <c r="P58" s="60">
        <v>8.5898025686297039</v>
      </c>
      <c r="Q58" s="60">
        <v>7.0522690901816434</v>
      </c>
      <c r="R58" s="60">
        <v>5.5839829087538151</v>
      </c>
      <c r="S58" s="60">
        <v>6.5651264687347508</v>
      </c>
      <c r="T58" s="60">
        <v>7.9940999806461166</v>
      </c>
      <c r="U58" s="60">
        <v>10.323234738195987</v>
      </c>
      <c r="V58" s="60">
        <v>8.8626072331434198</v>
      </c>
      <c r="W58" s="60">
        <v>15.108905281438059</v>
      </c>
      <c r="X58" s="60">
        <v>15.600129462139273</v>
      </c>
      <c r="Y58" s="60">
        <v>14.4979251294305</v>
      </c>
      <c r="Z58" s="60">
        <v>14.179222908564023</v>
      </c>
      <c r="AA58" s="60">
        <v>17.983245718837118</v>
      </c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</row>
    <row r="59" spans="2:39" ht="15.75" customHeight="1" x14ac:dyDescent="0.2">
      <c r="B59" s="38">
        <v>23</v>
      </c>
      <c r="C59" s="39">
        <v>45597</v>
      </c>
      <c r="D59" s="59">
        <v>5.4034481255677331</v>
      </c>
      <c r="E59" s="60">
        <v>8.0182417069921534</v>
      </c>
      <c r="F59" s="60">
        <v>7.123521873711085</v>
      </c>
      <c r="G59" s="60">
        <v>8.6554807494327477</v>
      </c>
      <c r="H59" s="60">
        <v>12.367363526912314</v>
      </c>
      <c r="I59" s="60">
        <v>9.7421621593359813</v>
      </c>
      <c r="J59" s="60">
        <v>9.7758449606060491</v>
      </c>
      <c r="K59" s="60">
        <v>10.708116565564676</v>
      </c>
      <c r="L59" s="60">
        <v>15.520160329938376</v>
      </c>
      <c r="M59" s="60">
        <v>9.467208945278081</v>
      </c>
      <c r="N59" s="60">
        <v>11.29134464368067</v>
      </c>
      <c r="O59" s="60">
        <v>8.4800852199725067</v>
      </c>
      <c r="P59" s="60">
        <v>10.49483756162841</v>
      </c>
      <c r="Q59" s="60">
        <v>15.409387477951766</v>
      </c>
      <c r="R59" s="60">
        <v>11.497179853275236</v>
      </c>
      <c r="S59" s="60">
        <v>9.7576512119017149</v>
      </c>
      <c r="T59" s="60">
        <v>8.9064649206577506</v>
      </c>
      <c r="U59" s="60">
        <v>7.0749234381049266</v>
      </c>
      <c r="V59" s="60">
        <v>10.625609441761256</v>
      </c>
      <c r="W59" s="60">
        <v>10.605073092972269</v>
      </c>
      <c r="X59" s="60">
        <v>14.083580815838877</v>
      </c>
      <c r="Y59" s="60">
        <v>12.770182625021338</v>
      </c>
      <c r="Z59" s="60">
        <v>15.981120071684588</v>
      </c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</row>
    <row r="60" spans="2:39" ht="15.75" customHeight="1" x14ac:dyDescent="0.2">
      <c r="B60" s="38">
        <v>51</v>
      </c>
      <c r="C60" s="39">
        <v>45627</v>
      </c>
      <c r="D60" s="59">
        <v>2.6907557100262496</v>
      </c>
      <c r="E60" s="60">
        <v>3.4467041215261562</v>
      </c>
      <c r="F60" s="60">
        <v>3.7577313581818665</v>
      </c>
      <c r="G60" s="60">
        <v>5.0500784631187097</v>
      </c>
      <c r="H60" s="60">
        <v>6.1524541750120978</v>
      </c>
      <c r="I60" s="60">
        <v>7.3433147961957355</v>
      </c>
      <c r="J60" s="60">
        <v>7.4734609899613167</v>
      </c>
      <c r="K60" s="60">
        <v>7.0732063448738716</v>
      </c>
      <c r="L60" s="60">
        <v>6.243469135696385</v>
      </c>
      <c r="M60" s="60">
        <v>11.696339414422548</v>
      </c>
      <c r="N60" s="60">
        <v>9.7563656561162055</v>
      </c>
      <c r="O60" s="60">
        <v>5.9500491472767303</v>
      </c>
      <c r="P60" s="60">
        <v>6.10306163719933</v>
      </c>
      <c r="Q60" s="60">
        <v>5.6713810256195005</v>
      </c>
      <c r="R60" s="60">
        <v>6.0029912781328703</v>
      </c>
      <c r="S60" s="60">
        <v>9.4401070745605296</v>
      </c>
      <c r="T60" s="60">
        <v>8.4684333021616371</v>
      </c>
      <c r="U60" s="60">
        <v>11.235987208368075</v>
      </c>
      <c r="V60" s="60">
        <v>13.624953263400712</v>
      </c>
      <c r="W60" s="60">
        <v>11.222060078511694</v>
      </c>
      <c r="X60" s="60">
        <v>12.293705197132615</v>
      </c>
      <c r="Y60" s="60">
        <v>15.509032258064519</v>
      </c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</row>
    <row r="61" spans="2:39" ht="15.75" customHeight="1" x14ac:dyDescent="0.2">
      <c r="B61" s="38">
        <v>139</v>
      </c>
      <c r="C61" s="39">
        <v>45658</v>
      </c>
      <c r="D61" s="59">
        <v>2.1423103632269402</v>
      </c>
      <c r="E61" s="60">
        <v>2.8557584255496393</v>
      </c>
      <c r="F61" s="60">
        <v>3.8002020450961882</v>
      </c>
      <c r="G61" s="60">
        <v>5.1841416477205824</v>
      </c>
      <c r="H61" s="60">
        <v>4.4416915960203411</v>
      </c>
      <c r="I61" s="60">
        <v>4.5886188093393079</v>
      </c>
      <c r="J61" s="60">
        <v>5.5073985011019673</v>
      </c>
      <c r="K61" s="60">
        <v>4.2811780858831039</v>
      </c>
      <c r="L61" s="60">
        <v>5.1124720749502872</v>
      </c>
      <c r="M61" s="60">
        <v>4.6415465572827914</v>
      </c>
      <c r="N61" s="60">
        <v>4.7500150725835422</v>
      </c>
      <c r="O61" s="60">
        <v>4.0154463706377896</v>
      </c>
      <c r="P61" s="60">
        <v>3.9232351191887265</v>
      </c>
      <c r="Q61" s="60">
        <v>5.3554253656239759</v>
      </c>
      <c r="R61" s="60">
        <v>5.6129370148062536</v>
      </c>
      <c r="S61" s="60">
        <v>8.924564382799387</v>
      </c>
      <c r="T61" s="60">
        <v>9.2615598807415118</v>
      </c>
      <c r="U61" s="60">
        <v>9.1796210562584086</v>
      </c>
      <c r="V61" s="60">
        <v>10.98414746543779</v>
      </c>
      <c r="W61" s="60">
        <v>10.706984269215448</v>
      </c>
      <c r="X61" s="60">
        <v>12.554707287933089</v>
      </c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</row>
    <row r="62" spans="2:39" ht="15.75" customHeight="1" x14ac:dyDescent="0.2">
      <c r="B62" s="38">
        <v>123</v>
      </c>
      <c r="C62" s="39">
        <v>45689</v>
      </c>
      <c r="D62" s="59">
        <v>1.6812491144131068</v>
      </c>
      <c r="E62" s="60">
        <v>3.5762329463307996</v>
      </c>
      <c r="F62" s="60">
        <v>4.1937495325672316</v>
      </c>
      <c r="G62" s="60">
        <v>4.2177551448874997</v>
      </c>
      <c r="H62" s="60">
        <v>4.1906593410706234</v>
      </c>
      <c r="I62" s="60">
        <v>3.9174903290692202</v>
      </c>
      <c r="J62" s="60">
        <v>5.0148729565211063</v>
      </c>
      <c r="K62" s="60">
        <v>3.576726498515109</v>
      </c>
      <c r="L62" s="60">
        <v>3.6935950258994885</v>
      </c>
      <c r="M62" s="60">
        <v>4.0945252566240828</v>
      </c>
      <c r="N62" s="60">
        <v>4.7782424962236254</v>
      </c>
      <c r="O62" s="60">
        <v>4.5408676995759478</v>
      </c>
      <c r="P62" s="60">
        <v>4.7114842767928335</v>
      </c>
      <c r="Q62" s="60">
        <v>9.2247256890722706</v>
      </c>
      <c r="R62" s="60">
        <v>8.4000918197519887</v>
      </c>
      <c r="S62" s="60">
        <v>8.3416592219170784</v>
      </c>
      <c r="T62" s="60">
        <v>8.2619819563154859</v>
      </c>
      <c r="U62" s="60">
        <v>9.8366549970826025</v>
      </c>
      <c r="V62" s="60">
        <v>10.752196850710806</v>
      </c>
      <c r="W62" s="60">
        <v>12.171592990840301</v>
      </c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</row>
    <row r="63" spans="2:39" ht="15.75" customHeight="1" x14ac:dyDescent="0.2">
      <c r="B63" s="38">
        <v>101</v>
      </c>
      <c r="C63" s="39">
        <v>45717</v>
      </c>
      <c r="D63" s="59">
        <v>1.9997749379365333</v>
      </c>
      <c r="E63" s="60">
        <v>3.6281228103500314</v>
      </c>
      <c r="F63" s="60">
        <v>4.878006648184634</v>
      </c>
      <c r="G63" s="60">
        <v>5.1633341081321795</v>
      </c>
      <c r="H63" s="60">
        <v>5.5197233695302765</v>
      </c>
      <c r="I63" s="60">
        <v>5.0449436394187117</v>
      </c>
      <c r="J63" s="60">
        <v>4.7540253312109417</v>
      </c>
      <c r="K63" s="60">
        <v>6.2545560749238094</v>
      </c>
      <c r="L63" s="60">
        <v>5.3292743879530802</v>
      </c>
      <c r="M63" s="60">
        <v>6.3880263973196723</v>
      </c>
      <c r="N63" s="60">
        <v>5.7121636486005256</v>
      </c>
      <c r="O63" s="60">
        <v>6.8469457539310792</v>
      </c>
      <c r="P63" s="60">
        <v>9.7107375807485123</v>
      </c>
      <c r="Q63" s="60">
        <v>6.7838628366666338</v>
      </c>
      <c r="R63" s="60">
        <v>9.9048839933639758</v>
      </c>
      <c r="S63" s="60">
        <v>14.604172489344394</v>
      </c>
      <c r="T63" s="60">
        <v>14.540324793132445</v>
      </c>
      <c r="U63" s="60">
        <v>15.788612327979109</v>
      </c>
      <c r="V63" s="60">
        <v>16.654078209723373</v>
      </c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</row>
    <row r="64" spans="2:39" ht="15.75" customHeight="1" x14ac:dyDescent="0.2">
      <c r="B64" s="38">
        <v>201</v>
      </c>
      <c r="C64" s="39">
        <v>45748</v>
      </c>
      <c r="D64" s="59">
        <v>2.5571345453122554</v>
      </c>
      <c r="E64" s="60">
        <v>3.443565232976983</v>
      </c>
      <c r="F64" s="60">
        <v>3.9116144876869714</v>
      </c>
      <c r="G64" s="60">
        <v>4.4966581199389157</v>
      </c>
      <c r="H64" s="60">
        <v>6.0417170987005582</v>
      </c>
      <c r="I64" s="60">
        <v>3.7706807330156225</v>
      </c>
      <c r="J64" s="60">
        <v>4.7134937870355387</v>
      </c>
      <c r="K64" s="60">
        <v>3.9641721305544841</v>
      </c>
      <c r="L64" s="60">
        <v>5.7950542842221848</v>
      </c>
      <c r="M64" s="60">
        <v>4.2221144865219422</v>
      </c>
      <c r="N64" s="60">
        <v>6.4420166593472699</v>
      </c>
      <c r="O64" s="60">
        <v>7.1690204466188261</v>
      </c>
      <c r="P64" s="60">
        <v>8.381735398314536</v>
      </c>
      <c r="Q64" s="60">
        <v>9.8354814000681632</v>
      </c>
      <c r="R64" s="60">
        <v>10.463566545110325</v>
      </c>
      <c r="S64" s="60">
        <v>11.491049570568743</v>
      </c>
      <c r="T64" s="60">
        <v>12.374646649083653</v>
      </c>
      <c r="U64" s="60">
        <v>13.09724696000176</v>
      </c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</row>
    <row r="65" spans="2:39" ht="15.75" customHeight="1" x14ac:dyDescent="0.2">
      <c r="B65" s="38">
        <v>337</v>
      </c>
      <c r="C65" s="39">
        <v>45778</v>
      </c>
      <c r="D65" s="59">
        <v>2.7852580282802903</v>
      </c>
      <c r="E65" s="60">
        <v>3.6272834364347912</v>
      </c>
      <c r="F65" s="60">
        <v>4.1777803410720624</v>
      </c>
      <c r="G65" s="60">
        <v>4.124162101312292</v>
      </c>
      <c r="H65" s="60">
        <v>4.6326858720841084</v>
      </c>
      <c r="I65" s="60">
        <v>4.5971944272175298</v>
      </c>
      <c r="J65" s="60">
        <v>3.9110377324634729</v>
      </c>
      <c r="K65" s="60">
        <v>5.1596115164142509</v>
      </c>
      <c r="L65" s="60">
        <v>4.2883598113051322</v>
      </c>
      <c r="M65" s="60">
        <v>5.6260257880508204</v>
      </c>
      <c r="N65" s="60">
        <v>7.8273425195907809</v>
      </c>
      <c r="O65" s="60">
        <v>7.5452974976323928</v>
      </c>
      <c r="P65" s="60">
        <v>9.1758441680803067</v>
      </c>
      <c r="Q65" s="60">
        <v>11.036062727067364</v>
      </c>
      <c r="R65" s="60">
        <v>10.846381453519413</v>
      </c>
      <c r="S65" s="60">
        <v>11.951307115823246</v>
      </c>
      <c r="T65" s="60">
        <v>12.438978815791167</v>
      </c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</row>
    <row r="66" spans="2:39" ht="15.75" customHeight="1" x14ac:dyDescent="0.2">
      <c r="B66" s="38">
        <v>507</v>
      </c>
      <c r="C66" s="39">
        <v>45809</v>
      </c>
      <c r="D66" s="59">
        <v>2.8725072855489904</v>
      </c>
      <c r="E66" s="60">
        <v>3.7998338560294393</v>
      </c>
      <c r="F66" s="60">
        <v>4.3151275847685788</v>
      </c>
      <c r="G66" s="60">
        <v>3.7766606378827503</v>
      </c>
      <c r="H66" s="60">
        <v>4.105479291293288</v>
      </c>
      <c r="I66" s="60">
        <v>3.9814351286640379</v>
      </c>
      <c r="J66" s="60">
        <v>4.9951461651119597</v>
      </c>
      <c r="K66" s="60">
        <v>4.2112593966537162</v>
      </c>
      <c r="L66" s="60">
        <v>4.8575519880485292</v>
      </c>
      <c r="M66" s="60">
        <v>7.4640842442693804</v>
      </c>
      <c r="N66" s="60">
        <v>7.9128374453923804</v>
      </c>
      <c r="O66" s="60">
        <v>8.0663504500644887</v>
      </c>
      <c r="P66" s="60">
        <v>8.4739473254185835</v>
      </c>
      <c r="Q66" s="60">
        <v>9.1047910091121267</v>
      </c>
      <c r="R66" s="60">
        <v>9.8751072186556001</v>
      </c>
      <c r="S66" s="60">
        <v>10.821182883332904</v>
      </c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</row>
    <row r="67" spans="2:39" ht="15.75" customHeight="1" x14ac:dyDescent="0.2">
      <c r="B67" s="38">
        <v>440</v>
      </c>
      <c r="C67" s="39">
        <v>45863</v>
      </c>
      <c r="D67" s="59">
        <v>3.2511700262486252</v>
      </c>
      <c r="E67" s="60">
        <v>4.2853128558535785</v>
      </c>
      <c r="F67" s="60">
        <v>4.3419192279577192</v>
      </c>
      <c r="G67" s="60">
        <v>4.1409912513081091</v>
      </c>
      <c r="H67" s="60">
        <v>4.2369149777790733</v>
      </c>
      <c r="I67" s="60">
        <v>4.4817867006368255</v>
      </c>
      <c r="J67" s="60">
        <v>4.2673834055668918</v>
      </c>
      <c r="K67" s="60">
        <v>5.1090843569265543</v>
      </c>
      <c r="L67" s="60">
        <v>7.5062957928445906</v>
      </c>
      <c r="M67" s="60">
        <v>7.2095570511108216</v>
      </c>
      <c r="N67" s="60">
        <v>9.003862908609209</v>
      </c>
      <c r="O67" s="60">
        <v>10.627402777658297</v>
      </c>
      <c r="P67" s="60">
        <v>11.680070554888006</v>
      </c>
      <c r="Q67" s="60">
        <v>13.292736725848135</v>
      </c>
      <c r="R67" s="60">
        <v>13.266128520225307</v>
      </c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</row>
    <row r="68" spans="2:39" ht="15.75" customHeight="1" x14ac:dyDescent="0.2">
      <c r="B68" s="38">
        <v>730</v>
      </c>
      <c r="C68" s="39">
        <v>45894</v>
      </c>
      <c r="D68" s="59">
        <v>4.2769498090386833</v>
      </c>
      <c r="E68" s="60">
        <v>6.4707510488733302</v>
      </c>
      <c r="F68" s="60">
        <v>8.0248670285490196</v>
      </c>
      <c r="G68" s="60">
        <v>6.4810931641710079</v>
      </c>
      <c r="H68" s="60">
        <v>7.4973982565581583</v>
      </c>
      <c r="I68" s="60">
        <v>7.0912586213772606</v>
      </c>
      <c r="J68" s="60">
        <v>8.7526913894663014</v>
      </c>
      <c r="K68" s="60">
        <v>13.428106702971029</v>
      </c>
      <c r="L68" s="60">
        <v>12.504387946912072</v>
      </c>
      <c r="M68" s="60">
        <v>13.858319743125504</v>
      </c>
      <c r="N68" s="60">
        <v>17.979039332415798</v>
      </c>
      <c r="O68" s="60">
        <v>17.805923477335785</v>
      </c>
      <c r="P68" s="60">
        <v>18.659407002048145</v>
      </c>
      <c r="Q68" s="60">
        <v>20.664743934976247</v>
      </c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</row>
    <row r="69" spans="2:39" ht="15.75" customHeight="1" x14ac:dyDescent="0.2">
      <c r="B69" s="38">
        <v>296</v>
      </c>
      <c r="C69" s="39">
        <v>45925</v>
      </c>
      <c r="D69" s="59">
        <v>6.042659282838402</v>
      </c>
      <c r="E69" s="60">
        <v>6.4678620658994985</v>
      </c>
      <c r="F69" s="60">
        <v>6.178396641607149</v>
      </c>
      <c r="G69" s="60">
        <v>7.4636979293608361</v>
      </c>
      <c r="H69" s="60">
        <v>5.4133271943818295</v>
      </c>
      <c r="I69" s="60">
        <v>6.247130100574994</v>
      </c>
      <c r="J69" s="60">
        <v>10.412941893760184</v>
      </c>
      <c r="K69" s="60">
        <v>9.8022810636633562</v>
      </c>
      <c r="L69" s="60">
        <v>11.224151858525344</v>
      </c>
      <c r="M69" s="60">
        <v>11.66828840490779</v>
      </c>
      <c r="N69" s="60">
        <v>15.863181368494454</v>
      </c>
      <c r="O69" s="60">
        <v>17.984930399266482</v>
      </c>
      <c r="P69" s="60">
        <v>19.390104731840466</v>
      </c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</row>
    <row r="70" spans="2:39" ht="15.75" customHeight="1" x14ac:dyDescent="0.2">
      <c r="B70" s="38">
        <v>83</v>
      </c>
      <c r="C70" s="39">
        <v>45931</v>
      </c>
      <c r="D70" s="59">
        <v>6.4165549688141486</v>
      </c>
      <c r="E70" s="60">
        <v>7.2083987133861589</v>
      </c>
      <c r="F70" s="60">
        <v>7.4868547860309826</v>
      </c>
      <c r="G70" s="60">
        <v>10.296026780531516</v>
      </c>
      <c r="H70" s="60">
        <v>14.657865082185248</v>
      </c>
      <c r="I70" s="60">
        <v>12.408646988883127</v>
      </c>
      <c r="J70" s="60">
        <v>12.236978390714263</v>
      </c>
      <c r="K70" s="60">
        <v>17.414767541097969</v>
      </c>
      <c r="L70" s="60">
        <v>16.486800284280566</v>
      </c>
      <c r="M70" s="60">
        <v>18.994842692154517</v>
      </c>
      <c r="N70" s="60">
        <v>18.488536246964966</v>
      </c>
      <c r="O70" s="60">
        <v>19.745544527157435</v>
      </c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</row>
    <row r="71" spans="2:39" ht="15.75" customHeight="1" x14ac:dyDescent="0.2">
      <c r="B71" s="38">
        <v>65</v>
      </c>
      <c r="C71" s="39">
        <v>45962</v>
      </c>
      <c r="D71" s="59">
        <v>6.1475744786132722</v>
      </c>
      <c r="E71" s="60">
        <v>6.747257754382626</v>
      </c>
      <c r="F71" s="60">
        <v>6.2527902357607985</v>
      </c>
      <c r="G71" s="60">
        <v>6.4597942271385991</v>
      </c>
      <c r="H71" s="60">
        <v>9.7032270846674962</v>
      </c>
      <c r="I71" s="60">
        <v>10.424420442928795</v>
      </c>
      <c r="J71" s="60">
        <v>14.716278678358981</v>
      </c>
      <c r="K71" s="60">
        <v>12.154980619827446</v>
      </c>
      <c r="L71" s="60">
        <v>11.701296082949311</v>
      </c>
      <c r="M71" s="60">
        <v>14.709071358748782</v>
      </c>
      <c r="N71" s="60">
        <v>18.08472644890783</v>
      </c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</row>
    <row r="72" spans="2:39" ht="15.75" customHeight="1" x14ac:dyDescent="0.2">
      <c r="B72" s="38">
        <v>384</v>
      </c>
      <c r="C72" s="39">
        <v>45992</v>
      </c>
      <c r="D72" s="59">
        <v>2.6259611690395834</v>
      </c>
      <c r="E72" s="60">
        <v>2.5825967499800444</v>
      </c>
      <c r="F72" s="60">
        <v>3.6988603051602182</v>
      </c>
      <c r="G72" s="60">
        <v>5.0752709507393812</v>
      </c>
      <c r="H72" s="60">
        <v>5.8285953529954568</v>
      </c>
      <c r="I72" s="60">
        <v>6.2950938706875377</v>
      </c>
      <c r="J72" s="60">
        <v>7.0244082604328852</v>
      </c>
      <c r="K72" s="60">
        <v>7.6702469859889257</v>
      </c>
      <c r="L72" s="60">
        <v>8.5390973196197617</v>
      </c>
      <c r="M72" s="60">
        <v>9.4034762029647965</v>
      </c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</row>
    <row r="73" spans="2:39" ht="15.75" customHeight="1" x14ac:dyDescent="0.2">
      <c r="B73" s="38">
        <v>219</v>
      </c>
      <c r="C73" s="39">
        <v>46048</v>
      </c>
      <c r="D73" s="59">
        <v>2.0642684013241142</v>
      </c>
      <c r="E73" s="60">
        <v>3.1397464472846726</v>
      </c>
      <c r="F73" s="60">
        <v>6.498219779976635</v>
      </c>
      <c r="G73" s="60">
        <v>7.1654059431295893</v>
      </c>
      <c r="H73" s="60">
        <v>6.1914115380805095</v>
      </c>
      <c r="I73" s="60">
        <v>7.4464992375546428</v>
      </c>
      <c r="J73" s="60">
        <v>8.4612914220375135</v>
      </c>
      <c r="K73" s="60">
        <v>7.9567271505376356</v>
      </c>
      <c r="L73" s="60">
        <v>9.4541479309221241</v>
      </c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</row>
    <row r="74" spans="2:39" ht="15.75" customHeight="1" x14ac:dyDescent="0.2">
      <c r="B74" s="38">
        <v>1080</v>
      </c>
      <c r="C74" s="39">
        <f t="shared" ref="C74:C78" si="3">C32</f>
        <v>46081</v>
      </c>
      <c r="D74" s="59">
        <v>1.5773086628235187</v>
      </c>
      <c r="E74" s="60">
        <v>4.9698427333414115</v>
      </c>
      <c r="F74" s="60">
        <v>4.4068012440191557</v>
      </c>
      <c r="G74" s="60">
        <v>5.6908744948527499</v>
      </c>
      <c r="H74" s="60">
        <v>6.6619227034550805</v>
      </c>
      <c r="I74" s="60">
        <v>6.9427683035408583</v>
      </c>
      <c r="J74" s="60">
        <v>7.8750113962405903</v>
      </c>
      <c r="K74" s="60">
        <v>8.8642261363433654</v>
      </c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</row>
    <row r="75" spans="2:39" ht="15.75" customHeight="1" x14ac:dyDescent="0.2">
      <c r="B75" s="38">
        <v>1398</v>
      </c>
      <c r="C75" s="39">
        <f t="shared" si="3"/>
        <v>46112</v>
      </c>
      <c r="D75" s="59">
        <v>2.0667009582494709</v>
      </c>
      <c r="E75" s="60">
        <v>6.4024004598699076</v>
      </c>
      <c r="F75" s="60">
        <v>6.0856492326939984</v>
      </c>
      <c r="G75" s="60">
        <v>6.8630810085779617</v>
      </c>
      <c r="H75" s="60">
        <v>7.1758332344704412</v>
      </c>
      <c r="I75" s="60">
        <v>7.9781125684351464</v>
      </c>
      <c r="J75" s="60">
        <v>9.8870817085177158</v>
      </c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</row>
    <row r="76" spans="2:39" ht="15.75" customHeight="1" x14ac:dyDescent="0.2">
      <c r="B76" s="38">
        <v>1077</v>
      </c>
      <c r="C76" s="39">
        <f t="shared" si="3"/>
        <v>46142</v>
      </c>
      <c r="D76" s="59">
        <v>3.7876460337294633</v>
      </c>
      <c r="E76" s="60">
        <v>6.8977417053042389</v>
      </c>
      <c r="F76" s="60">
        <v>7.4866757705154967</v>
      </c>
      <c r="G76" s="60">
        <v>8.3650298083137837</v>
      </c>
      <c r="H76" s="60">
        <v>10.302101413678308</v>
      </c>
      <c r="I76" s="60">
        <v>11.384481006282519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</row>
    <row r="77" spans="2:39" ht="15.75" customHeight="1" x14ac:dyDescent="0.2">
      <c r="B77" s="38">
        <v>1475</v>
      </c>
      <c r="C77" s="39">
        <f t="shared" si="3"/>
        <v>46173</v>
      </c>
      <c r="D77" s="59">
        <v>5.1361554609385314</v>
      </c>
      <c r="E77" s="60">
        <v>4.7413093728485283</v>
      </c>
      <c r="F77" s="60">
        <v>5.9238360269141701</v>
      </c>
      <c r="G77" s="60">
        <v>6.6617122680010086</v>
      </c>
      <c r="H77" s="60">
        <v>7.3071086059672554</v>
      </c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</row>
    <row r="78" spans="2:39" ht="15.75" customHeight="1" x14ac:dyDescent="0.2">
      <c r="B78" s="38">
        <v>2343</v>
      </c>
      <c r="C78" s="39">
        <f t="shared" si="3"/>
        <v>46203</v>
      </c>
      <c r="D78" s="59">
        <v>2.3489399369006816</v>
      </c>
      <c r="E78" s="60">
        <v>3.9902788847406954</v>
      </c>
      <c r="F78" s="60">
        <v>4.8281076141339483</v>
      </c>
      <c r="G78" s="60">
        <v>5.4757017501885628</v>
      </c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</row>
    <row r="79" spans="2:39" ht="15.75" customHeight="1" x14ac:dyDescent="0.2">
      <c r="B79" s="38">
        <v>993</v>
      </c>
      <c r="C79" s="39">
        <v>46234</v>
      </c>
      <c r="D79" s="59">
        <v>4.2104022081235888</v>
      </c>
      <c r="E79" s="60">
        <v>5.8058565006859277</v>
      </c>
      <c r="F79" s="60">
        <v>7.0339460109048755</v>
      </c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</row>
    <row r="80" spans="2:39" ht="15.75" customHeight="1" x14ac:dyDescent="0.2">
      <c r="B80" s="38">
        <v>850</v>
      </c>
      <c r="C80" s="39">
        <v>46265</v>
      </c>
      <c r="D80" s="59">
        <v>3.8011798088411028</v>
      </c>
      <c r="E80" s="60">
        <v>5.4604243774374872</v>
      </c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</row>
    <row r="81" spans="2:39" ht="15.75" customHeight="1" x14ac:dyDescent="0.2">
      <c r="B81" s="38"/>
      <c r="C81" s="39">
        <v>46295</v>
      </c>
      <c r="D81" s="59">
        <v>4.2439249603534641</v>
      </c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</row>
    <row r="82" spans="2:39" ht="15.75" customHeight="1" x14ac:dyDescent="0.2">
      <c r="B82" s="66">
        <f>SUM(B46:B80)</f>
        <v>13197</v>
      </c>
    </row>
    <row r="83" spans="2:39" ht="15.75" customHeight="1" x14ac:dyDescent="0.2">
      <c r="B83" s="6"/>
    </row>
    <row r="84" spans="2:39" ht="15.75" customHeight="1" x14ac:dyDescent="0.2">
      <c r="B84" s="6" t="s">
        <v>65</v>
      </c>
      <c r="D84" s="62">
        <f t="shared" ref="D84:AM84" si="4">AVERAGE(D47:D82)</f>
        <v>4.4085701808874784</v>
      </c>
      <c r="E84" s="62">
        <f t="shared" si="4"/>
        <v>5.2030097491476459</v>
      </c>
      <c r="F84" s="62">
        <f t="shared" si="4"/>
        <v>6.5187943718486006</v>
      </c>
      <c r="G84" s="62">
        <f t="shared" si="4"/>
        <v>8.0934374249856624</v>
      </c>
      <c r="H84" s="62">
        <f t="shared" si="4"/>
        <v>7.7975014781897585</v>
      </c>
      <c r="I84" s="62">
        <f t="shared" si="4"/>
        <v>12.992975807100574</v>
      </c>
      <c r="J84" s="62">
        <f t="shared" si="4"/>
        <v>10.340376859962374</v>
      </c>
      <c r="K84" s="62">
        <f t="shared" si="4"/>
        <v>12.800223164650115</v>
      </c>
      <c r="L84" s="62">
        <f t="shared" si="4"/>
        <v>13.472106711540256</v>
      </c>
      <c r="M84" s="62">
        <f t="shared" si="4"/>
        <v>16.058643591648607</v>
      </c>
      <c r="N84" s="62">
        <f t="shared" si="4"/>
        <v>25.347671890443316</v>
      </c>
      <c r="O84" s="62">
        <f t="shared" si="4"/>
        <v>15.095172886179546</v>
      </c>
      <c r="P84" s="62">
        <f t="shared" si="4"/>
        <v>24.262184999493279</v>
      </c>
      <c r="Q84" s="62">
        <f t="shared" si="4"/>
        <v>22.92486546988734</v>
      </c>
      <c r="R84" s="62">
        <f t="shared" si="4"/>
        <v>22.382461816509071</v>
      </c>
      <c r="S84" s="62">
        <f t="shared" si="4"/>
        <v>23.987471131069103</v>
      </c>
      <c r="T84" s="62">
        <f t="shared" si="4"/>
        <v>23.112400760762387</v>
      </c>
      <c r="U84" s="62">
        <f t="shared" si="4"/>
        <v>25.98443544551818</v>
      </c>
      <c r="V84" s="62">
        <f t="shared" si="4"/>
        <v>27.623320674033977</v>
      </c>
      <c r="W84" s="62">
        <f t="shared" si="4"/>
        <v>37.983527090128277</v>
      </c>
      <c r="X84" s="62">
        <f t="shared" si="4"/>
        <v>33.412932150698985</v>
      </c>
      <c r="Y84" s="62">
        <f t="shared" si="4"/>
        <v>43.49965809737796</v>
      </c>
      <c r="Z84" s="62">
        <f t="shared" si="4"/>
        <v>43.587315919460515</v>
      </c>
      <c r="AA84" s="62">
        <f t="shared" si="4"/>
        <v>47.05533008008905</v>
      </c>
      <c r="AB84" s="62">
        <f t="shared" si="4"/>
        <v>43.167495691001299</v>
      </c>
      <c r="AC84" s="62">
        <f t="shared" si="4"/>
        <v>38.485684542475603</v>
      </c>
      <c r="AD84" s="62">
        <f t="shared" si="4"/>
        <v>41.560019710077327</v>
      </c>
      <c r="AE84" s="62">
        <f t="shared" si="4"/>
        <v>43.14854547144742</v>
      </c>
      <c r="AF84" s="62">
        <f t="shared" si="4"/>
        <v>37.164185916548547</v>
      </c>
      <c r="AG84" s="62">
        <f t="shared" si="4"/>
        <v>71.811297354447689</v>
      </c>
      <c r="AH84" s="62">
        <f t="shared" si="4"/>
        <v>41.427337977515684</v>
      </c>
      <c r="AI84" s="62">
        <f t="shared" si="4"/>
        <v>74.207157168943382</v>
      </c>
      <c r="AJ84" s="62">
        <f t="shared" si="4"/>
        <v>131.33027631821651</v>
      </c>
      <c r="AK84" s="62">
        <f t="shared" si="4"/>
        <v>183.54689366786144</v>
      </c>
      <c r="AL84" s="62">
        <f t="shared" si="4"/>
        <v>211.83969534050181</v>
      </c>
      <c r="AM84" s="62">
        <f t="shared" si="4"/>
        <v>139.36215651135007</v>
      </c>
    </row>
    <row r="85" spans="2:39" ht="15.75" customHeight="1" x14ac:dyDescent="0.2">
      <c r="B85" s="6"/>
    </row>
    <row r="86" spans="2:39" ht="15.75" customHeight="1" x14ac:dyDescent="0.2">
      <c r="B86" s="6"/>
    </row>
    <row r="87" spans="2:39" ht="15.75" customHeight="1" x14ac:dyDescent="0.2">
      <c r="B87" s="67"/>
      <c r="C87" s="68" t="s">
        <v>73</v>
      </c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</row>
    <row r="88" spans="2:39" ht="15.75" customHeight="1" x14ac:dyDescent="0.2">
      <c r="B88" s="69"/>
      <c r="C88" s="70" t="s">
        <v>68</v>
      </c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</row>
    <row r="89" spans="2:39" ht="15.75" customHeight="1" x14ac:dyDescent="0.2">
      <c r="B89" s="57" t="s">
        <v>27</v>
      </c>
      <c r="C89" s="57" t="s">
        <v>31</v>
      </c>
      <c r="D89" s="58">
        <v>0</v>
      </c>
      <c r="E89" s="58">
        <f t="shared" ref="E89:AM89" si="5">D89+1</f>
        <v>1</v>
      </c>
      <c r="F89" s="58">
        <f t="shared" si="5"/>
        <v>2</v>
      </c>
      <c r="G89" s="58">
        <f t="shared" si="5"/>
        <v>3</v>
      </c>
      <c r="H89" s="58">
        <f t="shared" si="5"/>
        <v>4</v>
      </c>
      <c r="I89" s="58">
        <f t="shared" si="5"/>
        <v>5</v>
      </c>
      <c r="J89" s="58">
        <f t="shared" si="5"/>
        <v>6</v>
      </c>
      <c r="K89" s="58">
        <f t="shared" si="5"/>
        <v>7</v>
      </c>
      <c r="L89" s="58">
        <f t="shared" si="5"/>
        <v>8</v>
      </c>
      <c r="M89" s="58">
        <f t="shared" si="5"/>
        <v>9</v>
      </c>
      <c r="N89" s="58">
        <f t="shared" si="5"/>
        <v>10</v>
      </c>
      <c r="O89" s="58">
        <f t="shared" si="5"/>
        <v>11</v>
      </c>
      <c r="P89" s="58">
        <f t="shared" si="5"/>
        <v>12</v>
      </c>
      <c r="Q89" s="58">
        <f t="shared" si="5"/>
        <v>13</v>
      </c>
      <c r="R89" s="58">
        <f t="shared" si="5"/>
        <v>14</v>
      </c>
      <c r="S89" s="58">
        <f t="shared" si="5"/>
        <v>15</v>
      </c>
      <c r="T89" s="58">
        <f t="shared" si="5"/>
        <v>16</v>
      </c>
      <c r="U89" s="58">
        <f t="shared" si="5"/>
        <v>17</v>
      </c>
      <c r="V89" s="58">
        <f t="shared" si="5"/>
        <v>18</v>
      </c>
      <c r="W89" s="58">
        <f t="shared" si="5"/>
        <v>19</v>
      </c>
      <c r="X89" s="58">
        <f t="shared" si="5"/>
        <v>20</v>
      </c>
      <c r="Y89" s="58">
        <f t="shared" si="5"/>
        <v>21</v>
      </c>
      <c r="Z89" s="58">
        <f t="shared" si="5"/>
        <v>22</v>
      </c>
      <c r="AA89" s="58">
        <f t="shared" si="5"/>
        <v>23</v>
      </c>
      <c r="AB89" s="58">
        <f t="shared" si="5"/>
        <v>24</v>
      </c>
      <c r="AC89" s="58">
        <f t="shared" si="5"/>
        <v>25</v>
      </c>
      <c r="AD89" s="58">
        <f t="shared" si="5"/>
        <v>26</v>
      </c>
      <c r="AE89" s="58">
        <f t="shared" si="5"/>
        <v>27</v>
      </c>
      <c r="AF89" s="58">
        <f t="shared" si="5"/>
        <v>28</v>
      </c>
      <c r="AG89" s="58">
        <f t="shared" si="5"/>
        <v>29</v>
      </c>
      <c r="AH89" s="58">
        <f t="shared" si="5"/>
        <v>30</v>
      </c>
      <c r="AI89" s="58">
        <f t="shared" si="5"/>
        <v>31</v>
      </c>
      <c r="AJ89" s="58">
        <f t="shared" si="5"/>
        <v>32</v>
      </c>
      <c r="AK89" s="58">
        <f t="shared" si="5"/>
        <v>33</v>
      </c>
      <c r="AL89" s="58">
        <f t="shared" si="5"/>
        <v>34</v>
      </c>
      <c r="AM89" s="58">
        <f t="shared" si="5"/>
        <v>35</v>
      </c>
    </row>
    <row r="90" spans="2:39" ht="15.75" customHeight="1" x14ac:dyDescent="0.2">
      <c r="B90" s="38">
        <v>1</v>
      </c>
      <c r="C90" s="39">
        <v>45170</v>
      </c>
      <c r="D90" s="72">
        <v>3123.0688172043015</v>
      </c>
      <c r="E90" s="73">
        <v>154.04408602150539</v>
      </c>
      <c r="F90" s="73">
        <v>180.6621863799283</v>
      </c>
      <c r="G90" s="73">
        <v>670.2073476702509</v>
      </c>
      <c r="H90" s="73">
        <v>224.12383512544804</v>
      </c>
      <c r="I90" s="73">
        <v>557.98064516129034</v>
      </c>
      <c r="J90" s="73">
        <v>9.5878136200716852</v>
      </c>
      <c r="K90" s="73" t="e">
        <v>#DIV/0!</v>
      </c>
      <c r="L90" s="73">
        <v>5465.1901433691746</v>
      </c>
      <c r="M90" s="73">
        <v>5052.3374551971319</v>
      </c>
      <c r="N90" s="73">
        <v>17379.505555555552</v>
      </c>
      <c r="O90" s="73">
        <v>4112.5621863799288</v>
      </c>
      <c r="P90" s="73">
        <v>13486.392114695336</v>
      </c>
      <c r="Q90" s="73">
        <v>10743.482437275989</v>
      </c>
      <c r="R90" s="73">
        <v>8061.7374551971325</v>
      </c>
      <c r="S90" s="73">
        <v>7665.2401433691721</v>
      </c>
      <c r="T90" s="73">
        <v>7306.7360215053804</v>
      </c>
      <c r="U90" s="73">
        <v>9180.9143369175654</v>
      </c>
      <c r="V90" s="73">
        <v>7099.274910394266</v>
      </c>
      <c r="W90" s="73">
        <v>12153.228315412187</v>
      </c>
      <c r="X90" s="73">
        <v>10097.319354838708</v>
      </c>
      <c r="Y90" s="73">
        <v>15393.240322580643</v>
      </c>
      <c r="Z90" s="73">
        <v>13240.670071684586</v>
      </c>
      <c r="AA90" s="73">
        <v>14995.376881720424</v>
      </c>
      <c r="AB90" s="73">
        <v>10832.936021505382</v>
      </c>
      <c r="AC90" s="73">
        <v>9252.883154121866</v>
      </c>
      <c r="AD90" s="73">
        <v>7675.7028673835121</v>
      </c>
      <c r="AE90" s="73">
        <v>9800.075089605738</v>
      </c>
      <c r="AF90" s="73">
        <v>5321.0707885304682</v>
      </c>
      <c r="AG90" s="73">
        <v>12813.280107526884</v>
      </c>
      <c r="AH90" s="73">
        <v>5521.3586021505371</v>
      </c>
      <c r="AI90" s="73">
        <v>8656.923655913979</v>
      </c>
      <c r="AJ90" s="73">
        <v>16526.183333333338</v>
      </c>
      <c r="AK90" s="73">
        <v>12734.998924731184</v>
      </c>
      <c r="AL90" s="73">
        <v>9746.0569892473122</v>
      </c>
      <c r="AM90" s="73">
        <v>8141.2211469534068</v>
      </c>
    </row>
    <row r="91" spans="2:39" ht="15.75" customHeight="1" x14ac:dyDescent="0.2">
      <c r="B91" s="38">
        <v>3</v>
      </c>
      <c r="C91" s="39">
        <v>45200</v>
      </c>
      <c r="D91" s="72">
        <v>167.73076463560335</v>
      </c>
      <c r="E91" s="73">
        <v>78.122043010752691</v>
      </c>
      <c r="F91" s="73">
        <v>668.59253285543627</v>
      </c>
      <c r="G91" s="73">
        <v>574.72807646356023</v>
      </c>
      <c r="H91" s="73">
        <v>425.32054958184005</v>
      </c>
      <c r="I91" s="73">
        <v>687.37729988052558</v>
      </c>
      <c r="J91" s="73">
        <v>835.04796893667856</v>
      </c>
      <c r="K91" s="73">
        <v>928.20507765830382</v>
      </c>
      <c r="L91" s="73">
        <v>1160.621804062127</v>
      </c>
      <c r="M91" s="73">
        <v>1216.1612903225812</v>
      </c>
      <c r="N91" s="73">
        <v>1296.7244324970134</v>
      </c>
      <c r="O91" s="73">
        <v>961.51290322580633</v>
      </c>
      <c r="P91" s="73">
        <v>1367.4697132616491</v>
      </c>
      <c r="Q91" s="73">
        <v>2649.3198327359628</v>
      </c>
      <c r="R91" s="73">
        <v>1600.7347072879327</v>
      </c>
      <c r="S91" s="73">
        <v>1523.9467144563921</v>
      </c>
      <c r="T91" s="73">
        <v>1030.1940262843489</v>
      </c>
      <c r="U91" s="73">
        <v>1273.902807646356</v>
      </c>
      <c r="V91" s="73">
        <v>1229.3117682198329</v>
      </c>
      <c r="W91" s="73">
        <v>1696.8230585424139</v>
      </c>
      <c r="X91" s="73">
        <v>1471.9007765830345</v>
      </c>
      <c r="Y91" s="73">
        <v>2962.731720430108</v>
      </c>
      <c r="Z91" s="73">
        <v>1305.0539426523296</v>
      </c>
      <c r="AA91" s="73">
        <v>752.88399044205482</v>
      </c>
      <c r="AB91" s="73">
        <v>1493.3442054958184</v>
      </c>
      <c r="AC91" s="73">
        <v>2040.2876941457589</v>
      </c>
      <c r="AD91" s="73">
        <v>1852.7429510155314</v>
      </c>
      <c r="AE91" s="73">
        <v>2338.4320788530472</v>
      </c>
      <c r="AF91" s="73">
        <v>1540.7537037037041</v>
      </c>
      <c r="AG91" s="73">
        <v>1434.5451612903223</v>
      </c>
      <c r="AH91" s="73">
        <v>802.06439665471908</v>
      </c>
      <c r="AI91" s="73">
        <v>1073.8144563918759</v>
      </c>
      <c r="AJ91" s="73">
        <v>1182.4596774193551</v>
      </c>
      <c r="AK91" s="73">
        <v>1217.254659498207</v>
      </c>
      <c r="AL91" s="73">
        <v>1252.2942652329746</v>
      </c>
      <c r="AM91" s="73">
        <v>1205.6750298685783</v>
      </c>
    </row>
    <row r="92" spans="2:39" ht="15.75" customHeight="1" x14ac:dyDescent="0.2">
      <c r="B92" s="38">
        <v>6</v>
      </c>
      <c r="C92" s="39">
        <v>45261</v>
      </c>
      <c r="D92" s="72"/>
      <c r="E92" s="73"/>
      <c r="F92" s="73">
        <v>170.20580645161291</v>
      </c>
      <c r="G92" s="73">
        <v>279.66932497013141</v>
      </c>
      <c r="H92" s="73">
        <v>422.90580645161293</v>
      </c>
      <c r="I92" s="73">
        <v>865.60390681003594</v>
      </c>
      <c r="J92" s="73">
        <v>1854.1329032258072</v>
      </c>
      <c r="K92" s="73">
        <v>7834.7805555555551</v>
      </c>
      <c r="L92" s="73">
        <v>5384.3468100358432</v>
      </c>
      <c r="M92" s="73">
        <v>6143.3898566308244</v>
      </c>
      <c r="N92" s="73">
        <v>2508.8181720430102</v>
      </c>
      <c r="O92" s="73">
        <v>3385.1534408602147</v>
      </c>
      <c r="P92" s="73">
        <v>3640.7785543608134</v>
      </c>
      <c r="Q92" s="73">
        <v>2886.0207586618876</v>
      </c>
      <c r="R92" s="73">
        <v>2357.5431003584235</v>
      </c>
      <c r="S92" s="73">
        <v>3066.6825567502997</v>
      </c>
      <c r="T92" s="73">
        <v>4082.1129629629631</v>
      </c>
      <c r="U92" s="73">
        <v>2541.7040621266433</v>
      </c>
      <c r="V92" s="73">
        <v>6276.9253046594995</v>
      </c>
      <c r="W92" s="73">
        <v>7844.0068399044203</v>
      </c>
      <c r="X92" s="73">
        <v>6886.2874253285563</v>
      </c>
      <c r="Y92" s="73">
        <v>9353.3590800477905</v>
      </c>
      <c r="Z92" s="73">
        <v>6449.1156212664237</v>
      </c>
      <c r="AA92" s="73">
        <v>6376.5668160095565</v>
      </c>
      <c r="AB92" s="73">
        <v>6585.9221923536415</v>
      </c>
      <c r="AC92" s="73">
        <v>5969.7669653524499</v>
      </c>
      <c r="AD92" s="73">
        <v>3226.4002090800486</v>
      </c>
      <c r="AE92" s="74">
        <v>4095.0253882915163</v>
      </c>
      <c r="AF92" s="73">
        <v>2155.531929510154</v>
      </c>
      <c r="AG92" s="73">
        <v>3176.9715053763439</v>
      </c>
      <c r="AH92" s="73">
        <v>2716.1905615292699</v>
      </c>
      <c r="AI92" s="73">
        <v>4415.0567204301078</v>
      </c>
      <c r="AJ92" s="73">
        <v>1633.8457586618886</v>
      </c>
      <c r="AK92" s="73">
        <v>5229.3268219832735</v>
      </c>
      <c r="AL92" s="73">
        <v>1430.5823178016733</v>
      </c>
      <c r="AM92" s="73">
        <v>2864.9080346475516</v>
      </c>
    </row>
    <row r="93" spans="2:39" ht="15.75" customHeight="1" x14ac:dyDescent="0.2">
      <c r="B93" s="38">
        <v>7</v>
      </c>
      <c r="C93" s="39">
        <v>45292</v>
      </c>
      <c r="D93" s="72"/>
      <c r="E93" s="73"/>
      <c r="F93" s="73"/>
      <c r="G93" s="73">
        <v>216.41519713261647</v>
      </c>
      <c r="H93" s="73">
        <v>292.96941457586615</v>
      </c>
      <c r="I93" s="73">
        <v>939.88304659498215</v>
      </c>
      <c r="J93" s="73">
        <v>499.68408004778979</v>
      </c>
      <c r="K93" s="73">
        <v>447.34851510496674</v>
      </c>
      <c r="L93" s="73">
        <v>740.93805256869757</v>
      </c>
      <c r="M93" s="73">
        <v>808.90931899641566</v>
      </c>
      <c r="N93" s="73">
        <v>552.77054958183987</v>
      </c>
      <c r="O93" s="73">
        <v>529.52040023894858</v>
      </c>
      <c r="P93" s="73">
        <v>308.59172043010756</v>
      </c>
      <c r="Q93" s="73">
        <v>458.9076702508961</v>
      </c>
      <c r="R93" s="73">
        <v>600.7244802867383</v>
      </c>
      <c r="S93" s="73">
        <v>1087.1217741935486</v>
      </c>
      <c r="T93" s="73">
        <v>630.05768049155142</v>
      </c>
      <c r="U93" s="73">
        <v>552.11454599761055</v>
      </c>
      <c r="V93" s="73">
        <v>376.91508363201916</v>
      </c>
      <c r="W93" s="73">
        <v>377.77210274790917</v>
      </c>
      <c r="X93" s="73">
        <v>627.43270609319006</v>
      </c>
      <c r="Y93" s="73">
        <v>707.82395459976101</v>
      </c>
      <c r="Z93" s="73">
        <v>1706.1590203106337</v>
      </c>
      <c r="AA93" s="73">
        <v>383.97362604540029</v>
      </c>
      <c r="AB93" s="73">
        <v>312.41597542242704</v>
      </c>
      <c r="AC93" s="73">
        <v>599.06048387096803</v>
      </c>
      <c r="AD93" s="73">
        <v>1439.3561230585428</v>
      </c>
      <c r="AE93" s="73">
        <v>405.66738351254492</v>
      </c>
      <c r="AF93" s="73">
        <v>994.87007168458786</v>
      </c>
      <c r="AG93" s="73">
        <v>3002.8674731182791</v>
      </c>
      <c r="AH93" s="73">
        <v>620.32174432497015</v>
      </c>
      <c r="AI93" s="73">
        <v>543.44180747567839</v>
      </c>
      <c r="AJ93" s="73">
        <v>2011.3670848267623</v>
      </c>
      <c r="AK93" s="73">
        <v>1225.4958482676227</v>
      </c>
      <c r="AL93" s="73">
        <v>551.63949820788537</v>
      </c>
      <c r="AM93" s="73">
        <v>443.47631848438289</v>
      </c>
    </row>
    <row r="94" spans="2:39" ht="15.75" customHeight="1" x14ac:dyDescent="0.2">
      <c r="B94" s="38">
        <v>27</v>
      </c>
      <c r="C94" s="39">
        <v>45352</v>
      </c>
      <c r="D94" s="72"/>
      <c r="E94" s="73"/>
      <c r="F94" s="73"/>
      <c r="G94" s="73"/>
      <c r="H94" s="73"/>
      <c r="I94" s="73">
        <v>643.27837200528199</v>
      </c>
      <c r="J94" s="73">
        <v>1180.0711538461537</v>
      </c>
      <c r="K94" s="73">
        <v>1098.1562178588126</v>
      </c>
      <c r="L94" s="73">
        <v>1779.0190860215052</v>
      </c>
      <c r="M94" s="73">
        <v>949.54572230014048</v>
      </c>
      <c r="N94" s="73">
        <v>1627.9135874877804</v>
      </c>
      <c r="O94" s="73">
        <v>1849.5035760834166</v>
      </c>
      <c r="P94" s="73">
        <v>1635.5164191841625</v>
      </c>
      <c r="Q94" s="73">
        <v>1431.70738840013</v>
      </c>
      <c r="R94" s="73">
        <v>1115.6210360129717</v>
      </c>
      <c r="S94" s="73">
        <v>1306.3415363310526</v>
      </c>
      <c r="T94" s="73">
        <v>1649.1050993809058</v>
      </c>
      <c r="U94" s="73">
        <v>1857.1514336917576</v>
      </c>
      <c r="V94" s="73">
        <v>2146.7848810687515</v>
      </c>
      <c r="W94" s="73">
        <v>1236.8421635711957</v>
      </c>
      <c r="X94" s="73">
        <v>1525.16368834272</v>
      </c>
      <c r="Y94" s="73">
        <v>997.92088628217607</v>
      </c>
      <c r="Z94" s="73">
        <v>1686.3471244705117</v>
      </c>
      <c r="AA94" s="73">
        <v>701.57191834190405</v>
      </c>
      <c r="AB94" s="73">
        <v>1505.3880498533724</v>
      </c>
      <c r="AC94" s="73">
        <v>1666.5914490527398</v>
      </c>
      <c r="AD94" s="73">
        <v>1406.5579015966118</v>
      </c>
      <c r="AE94" s="73">
        <v>1675.9539582359369</v>
      </c>
      <c r="AF94" s="73">
        <v>815.40633756924069</v>
      </c>
      <c r="AG94" s="73">
        <v>2295.8594900619091</v>
      </c>
      <c r="AH94" s="73">
        <v>1250.9030977982593</v>
      </c>
      <c r="AI94" s="73">
        <v>2422.0713005632374</v>
      </c>
      <c r="AJ94" s="73">
        <v>2351.6796839361355</v>
      </c>
      <c r="AK94" s="73">
        <v>1807.7386755419011</v>
      </c>
      <c r="AL94" s="73">
        <v>2184.0233998975941</v>
      </c>
      <c r="AM94" s="73">
        <v>1654.8268165526231</v>
      </c>
    </row>
    <row r="95" spans="2:39" ht="15.75" customHeight="1" x14ac:dyDescent="0.2">
      <c r="B95" s="38">
        <v>11</v>
      </c>
      <c r="C95" s="39">
        <v>45383</v>
      </c>
      <c r="D95" s="72"/>
      <c r="E95" s="73"/>
      <c r="F95" s="73"/>
      <c r="G95" s="73"/>
      <c r="H95" s="73"/>
      <c r="I95" s="73"/>
      <c r="J95" s="73">
        <v>161.41064516129032</v>
      </c>
      <c r="K95" s="73">
        <v>377.43948626045403</v>
      </c>
      <c r="L95" s="73">
        <v>372.20149342891273</v>
      </c>
      <c r="M95" s="73">
        <v>611.13769414575847</v>
      </c>
      <c r="N95" s="73">
        <v>278.27483358934978</v>
      </c>
      <c r="O95" s="73">
        <v>890.88252688172042</v>
      </c>
      <c r="P95" s="73">
        <v>723.74002389486259</v>
      </c>
      <c r="Q95" s="73">
        <v>322.44471326164876</v>
      </c>
      <c r="R95" s="73">
        <v>1045.9143966547194</v>
      </c>
      <c r="S95" s="73">
        <v>1602.5150793650794</v>
      </c>
      <c r="T95" s="73">
        <v>1836.3471724412593</v>
      </c>
      <c r="U95" s="73">
        <v>1597.498785344485</v>
      </c>
      <c r="V95" s="73">
        <v>1695.7472919155716</v>
      </c>
      <c r="W95" s="73">
        <v>1382.2104198668715</v>
      </c>
      <c r="X95" s="73">
        <v>4740.4154121863767</v>
      </c>
      <c r="Y95" s="73">
        <v>5206.1052483358926</v>
      </c>
      <c r="Z95" s="73">
        <v>4271.7211213517676</v>
      </c>
      <c r="AA95" s="73">
        <v>4708.1386328725075</v>
      </c>
      <c r="AB95" s="73">
        <v>3815.146818996413</v>
      </c>
      <c r="AC95" s="73">
        <v>2501.0797291915569</v>
      </c>
      <c r="AD95" s="73">
        <v>2407.5651931501379</v>
      </c>
      <c r="AE95" s="73">
        <v>2589.0072281959374</v>
      </c>
      <c r="AF95" s="73">
        <v>3446.7774865591405</v>
      </c>
      <c r="AG95" s="73">
        <v>2737.0878932696137</v>
      </c>
      <c r="AH95" s="73">
        <v>2479.0596102150521</v>
      </c>
      <c r="AI95" s="73">
        <v>1541.2320788530467</v>
      </c>
      <c r="AJ95" s="73">
        <v>1129.6216397849462</v>
      </c>
      <c r="AK95" s="73">
        <v>801.38397052966911</v>
      </c>
      <c r="AL95" s="73">
        <v>616.06436251920115</v>
      </c>
      <c r="AM95" s="73">
        <v>319.99417562724</v>
      </c>
    </row>
    <row r="96" spans="2:39" ht="15.75" customHeight="1" x14ac:dyDescent="0.2">
      <c r="B96" s="38">
        <v>25</v>
      </c>
      <c r="C96" s="39">
        <v>45413</v>
      </c>
      <c r="D96" s="72"/>
      <c r="E96" s="73"/>
      <c r="F96" s="73"/>
      <c r="G96" s="73"/>
      <c r="H96" s="73"/>
      <c r="I96" s="73"/>
      <c r="J96" s="73"/>
      <c r="K96" s="73">
        <v>440.65129430505795</v>
      </c>
      <c r="L96" s="73">
        <v>627.09258960573493</v>
      </c>
      <c r="M96" s="73">
        <v>866.69995519713234</v>
      </c>
      <c r="N96" s="73">
        <v>574.03644317942246</v>
      </c>
      <c r="O96" s="73">
        <v>1065.4571343232628</v>
      </c>
      <c r="P96" s="73">
        <v>711.00951612903225</v>
      </c>
      <c r="Q96" s="73">
        <v>642.95536638789338</v>
      </c>
      <c r="R96" s="73">
        <v>828.95840407470314</v>
      </c>
      <c r="S96" s="73">
        <v>769.88144634197783</v>
      </c>
      <c r="T96" s="73">
        <v>604.11773073476695</v>
      </c>
      <c r="U96" s="73">
        <v>1055.6113142174434</v>
      </c>
      <c r="V96" s="73">
        <v>810.80125448028627</v>
      </c>
      <c r="W96" s="73">
        <v>915.31115591397838</v>
      </c>
      <c r="X96" s="73">
        <v>924.65365143369218</v>
      </c>
      <c r="Y96" s="73">
        <v>804.43887694145792</v>
      </c>
      <c r="Z96" s="73">
        <v>1055.9944995864348</v>
      </c>
      <c r="AA96" s="73">
        <v>1289.2383333333341</v>
      </c>
      <c r="AB96" s="73">
        <v>960.0194491605364</v>
      </c>
      <c r="AC96" s="73">
        <v>1175.7181530676792</v>
      </c>
      <c r="AD96" s="73">
        <v>1132.4779192605174</v>
      </c>
      <c r="AE96" s="73">
        <v>2330.4599263241712</v>
      </c>
      <c r="AF96" s="73">
        <v>1039.4024806640255</v>
      </c>
      <c r="AG96" s="73">
        <v>1158.0793246557253</v>
      </c>
      <c r="AH96" s="73">
        <v>1067.2134125636674</v>
      </c>
      <c r="AI96" s="73">
        <v>1209.4394370651485</v>
      </c>
      <c r="AJ96" s="73">
        <v>936.48942652329731</v>
      </c>
      <c r="AK96" s="73">
        <v>943.14878534448439</v>
      </c>
      <c r="AL96" s="73">
        <v>963.28515374457663</v>
      </c>
      <c r="AM96" s="73">
        <v>1130.7903624054161</v>
      </c>
    </row>
    <row r="97" spans="2:39" ht="15.75" customHeight="1" x14ac:dyDescent="0.2">
      <c r="B97" s="38">
        <v>50</v>
      </c>
      <c r="C97" s="39">
        <v>45444</v>
      </c>
      <c r="D97" s="72"/>
      <c r="E97" s="73"/>
      <c r="F97" s="73"/>
      <c r="G97" s="73"/>
      <c r="H97" s="73"/>
      <c r="I97" s="73"/>
      <c r="J97" s="73"/>
      <c r="K97" s="73"/>
      <c r="L97" s="73">
        <v>295.93333845366095</v>
      </c>
      <c r="M97" s="73">
        <v>460.99065540194573</v>
      </c>
      <c r="N97" s="73">
        <v>340.43986640599536</v>
      </c>
      <c r="O97" s="73">
        <v>441.80509659935336</v>
      </c>
      <c r="P97" s="73">
        <v>607.88654569892446</v>
      </c>
      <c r="Q97" s="73">
        <v>572.7955334987596</v>
      </c>
      <c r="R97" s="73">
        <v>763.79341761116052</v>
      </c>
      <c r="S97" s="73">
        <v>718.5333884753237</v>
      </c>
      <c r="T97" s="73">
        <v>607.39437275985722</v>
      </c>
      <c r="U97" s="73">
        <v>548.59788018433198</v>
      </c>
      <c r="V97" s="73">
        <v>915.42176423735589</v>
      </c>
      <c r="W97" s="73">
        <v>1006.3482893450639</v>
      </c>
      <c r="X97" s="73">
        <v>821.72117857895853</v>
      </c>
      <c r="Y97" s="73">
        <v>604.2350760103817</v>
      </c>
      <c r="Z97" s="73">
        <v>604.68637992831532</v>
      </c>
      <c r="AA97" s="73">
        <v>712.192456826328</v>
      </c>
      <c r="AB97" s="73">
        <v>687.52205930270441</v>
      </c>
      <c r="AC97" s="73">
        <v>773.21278033794169</v>
      </c>
      <c r="AD97" s="73">
        <v>608.11139574109257</v>
      </c>
      <c r="AE97" s="73">
        <v>545.84647007711578</v>
      </c>
      <c r="AF97" s="73">
        <v>609.42072132616477</v>
      </c>
      <c r="AG97" s="73">
        <v>618.10964273326442</v>
      </c>
      <c r="AH97" s="73">
        <v>834.73353426740573</v>
      </c>
      <c r="AI97" s="73">
        <v>1386.0496991807465</v>
      </c>
      <c r="AJ97" s="73">
        <v>779.97916666666583</v>
      </c>
      <c r="AK97" s="73">
        <v>644.99095796676443</v>
      </c>
      <c r="AL97" s="73">
        <v>536.64267281105981</v>
      </c>
      <c r="AM97" s="73">
        <v>565.32538506248181</v>
      </c>
    </row>
    <row r="98" spans="2:39" ht="15.75" customHeight="1" x14ac:dyDescent="0.2">
      <c r="B98" s="38">
        <v>34</v>
      </c>
      <c r="C98" s="39">
        <v>45474</v>
      </c>
      <c r="D98" s="72"/>
      <c r="E98" s="73"/>
      <c r="F98" s="73"/>
      <c r="G98" s="73"/>
      <c r="H98" s="73"/>
      <c r="I98" s="73"/>
      <c r="J98" s="73"/>
      <c r="K98" s="73"/>
      <c r="L98" s="73"/>
      <c r="M98" s="73">
        <v>196.14653524492232</v>
      </c>
      <c r="N98" s="73">
        <v>386.67981070788528</v>
      </c>
      <c r="O98" s="73">
        <v>481.82940224303371</v>
      </c>
      <c r="P98" s="73">
        <v>465.89373357228203</v>
      </c>
      <c r="Q98" s="73">
        <v>616.58650352243262</v>
      </c>
      <c r="R98" s="73">
        <v>649.89021617383548</v>
      </c>
      <c r="S98" s="73">
        <v>840.22497398543169</v>
      </c>
      <c r="T98" s="73">
        <v>708.13310468421696</v>
      </c>
      <c r="U98" s="73">
        <v>999.52309172972241</v>
      </c>
      <c r="V98" s="73">
        <v>979.04548771121335</v>
      </c>
      <c r="W98" s="73">
        <v>762.20430704898467</v>
      </c>
      <c r="X98" s="73">
        <v>875.89555061179067</v>
      </c>
      <c r="Y98" s="73">
        <v>883.1538993943883</v>
      </c>
      <c r="Z98" s="73">
        <v>767.88041651217372</v>
      </c>
      <c r="AA98" s="73">
        <v>866.97270675693596</v>
      </c>
      <c r="AB98" s="73">
        <v>1325.0613730355665</v>
      </c>
      <c r="AC98" s="73">
        <v>745.63586083302414</v>
      </c>
      <c r="AD98" s="73">
        <v>1650.5846674631625</v>
      </c>
      <c r="AE98" s="73">
        <v>1249.227810965087</v>
      </c>
      <c r="AF98" s="73">
        <v>1064.9955263507236</v>
      </c>
      <c r="AG98" s="73">
        <v>1248.94129445823</v>
      </c>
      <c r="AH98" s="73">
        <v>1244.4587813620067</v>
      </c>
      <c r="AI98" s="73">
        <v>1185.2539068100357</v>
      </c>
      <c r="AJ98" s="73">
        <v>1359.8787335722818</v>
      </c>
      <c r="AK98" s="73">
        <v>1390.9467927326652</v>
      </c>
      <c r="AL98" s="73">
        <v>392.91314814814825</v>
      </c>
      <c r="AM98" s="73">
        <v>471.55603757261167</v>
      </c>
    </row>
    <row r="99" spans="2:39" ht="15.75" customHeight="1" x14ac:dyDescent="0.2">
      <c r="B99" s="38">
        <v>38</v>
      </c>
      <c r="C99" s="39">
        <v>45505</v>
      </c>
      <c r="D99" s="72"/>
      <c r="E99" s="73"/>
      <c r="F99" s="73"/>
      <c r="G99" s="73"/>
      <c r="H99" s="73"/>
      <c r="I99" s="73"/>
      <c r="J99" s="73"/>
      <c r="K99" s="73"/>
      <c r="L99" s="73"/>
      <c r="M99" s="73"/>
      <c r="N99" s="73">
        <v>263.1397789725209</v>
      </c>
      <c r="O99" s="73">
        <v>313.05211569095968</v>
      </c>
      <c r="P99" s="73">
        <v>521.73001536098332</v>
      </c>
      <c r="Q99" s="73">
        <v>755.36925596341598</v>
      </c>
      <c r="R99" s="73">
        <v>770.03257728494623</v>
      </c>
      <c r="S99" s="73">
        <v>828.45558874286485</v>
      </c>
      <c r="T99" s="73">
        <v>990.30428780034504</v>
      </c>
      <c r="U99" s="73">
        <v>1153.6192473118281</v>
      </c>
      <c r="V99" s="73">
        <v>1020.6980286738354</v>
      </c>
      <c r="W99" s="73">
        <v>1159.4536621474208</v>
      </c>
      <c r="X99" s="73">
        <v>947.66898012381876</v>
      </c>
      <c r="Y99" s="73">
        <v>1037.0584073554621</v>
      </c>
      <c r="Z99" s="73">
        <v>1111.4686868686865</v>
      </c>
      <c r="AA99" s="73">
        <v>955.66215651135008</v>
      </c>
      <c r="AB99" s="73">
        <v>1191.8985492404852</v>
      </c>
      <c r="AC99" s="73">
        <v>962.75289855072469</v>
      </c>
      <c r="AD99" s="73">
        <v>840.39332242480862</v>
      </c>
      <c r="AE99" s="73">
        <v>676.91202275206467</v>
      </c>
      <c r="AF99" s="73">
        <v>765.19729191557155</v>
      </c>
      <c r="AG99" s="73">
        <v>737.15957366534587</v>
      </c>
      <c r="AH99" s="73">
        <v>841.24757592906974</v>
      </c>
      <c r="AI99" s="73">
        <v>1030.0294404619676</v>
      </c>
      <c r="AJ99" s="73">
        <v>810.45050349889095</v>
      </c>
      <c r="AK99" s="73">
        <v>303.24299340964239</v>
      </c>
      <c r="AL99" s="73">
        <v>303.91301523297523</v>
      </c>
      <c r="AM99" s="73">
        <v>358.87968749999987</v>
      </c>
    </row>
    <row r="100" spans="2:39" ht="15.75" customHeight="1" x14ac:dyDescent="0.2">
      <c r="B100" s="38">
        <v>24</v>
      </c>
      <c r="C100" s="39">
        <v>45536</v>
      </c>
      <c r="D100" s="72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>
        <v>291.55852835757958</v>
      </c>
      <c r="P100" s="73">
        <v>792.79771505376357</v>
      </c>
      <c r="Q100" s="73">
        <v>729.48256670649187</v>
      </c>
      <c r="R100" s="73">
        <v>1284.5576292882738</v>
      </c>
      <c r="S100" s="73">
        <v>549.41542925413933</v>
      </c>
      <c r="T100" s="73">
        <v>668.54250298685781</v>
      </c>
      <c r="U100" s="73">
        <v>800.97203447687343</v>
      </c>
      <c r="V100" s="73">
        <v>658.32458455522976</v>
      </c>
      <c r="W100" s="73">
        <v>1011.8413466461849</v>
      </c>
      <c r="X100" s="73">
        <v>1068.8062325766625</v>
      </c>
      <c r="Y100" s="73">
        <v>814.85147142048709</v>
      </c>
      <c r="Z100" s="73">
        <v>631.98401035444044</v>
      </c>
      <c r="AA100" s="73">
        <v>1482.840423387097</v>
      </c>
      <c r="AB100" s="73">
        <v>965.08330346475577</v>
      </c>
      <c r="AC100" s="73">
        <v>1384.153808243728</v>
      </c>
      <c r="AD100" s="73">
        <v>913.38838485663086</v>
      </c>
      <c r="AE100" s="73">
        <v>1034.0762070419573</v>
      </c>
      <c r="AF100" s="73">
        <v>801.27838510553522</v>
      </c>
      <c r="AG100" s="73">
        <v>1123.9446572580637</v>
      </c>
      <c r="AH100" s="73">
        <v>774.75746363061353</v>
      </c>
      <c r="AI100" s="73">
        <v>678.29683019713252</v>
      </c>
      <c r="AJ100" s="73">
        <v>535.82554759060133</v>
      </c>
      <c r="AK100" s="73">
        <v>359.82520556609734</v>
      </c>
      <c r="AL100" s="73">
        <v>516.00310984608893</v>
      </c>
      <c r="AM100" s="73">
        <v>734.7380824372766</v>
      </c>
    </row>
    <row r="101" spans="2:39" ht="15.75" customHeight="1" x14ac:dyDescent="0.2">
      <c r="B101" s="38">
        <v>56</v>
      </c>
      <c r="C101" s="39">
        <v>45566</v>
      </c>
      <c r="D101" s="72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>
        <v>228.5835750604318</v>
      </c>
      <c r="Q101" s="73">
        <v>348.31972401433677</v>
      </c>
      <c r="R101" s="73">
        <v>482.04941481969098</v>
      </c>
      <c r="S101" s="73">
        <v>732.52112788835495</v>
      </c>
      <c r="T101" s="73">
        <v>433.31195262583793</v>
      </c>
      <c r="U101" s="73">
        <v>601.77792473118302</v>
      </c>
      <c r="V101" s="73">
        <v>438.52497386499385</v>
      </c>
      <c r="W101" s="73">
        <v>402.13157039259812</v>
      </c>
      <c r="X101" s="73">
        <v>444.34974340175978</v>
      </c>
      <c r="Y101" s="73">
        <v>425.26115998696645</v>
      </c>
      <c r="Z101" s="73">
        <v>485.59581978828055</v>
      </c>
      <c r="AA101" s="73">
        <v>486.59205236091634</v>
      </c>
      <c r="AB101" s="73">
        <v>551.87993646138807</v>
      </c>
      <c r="AC101" s="73">
        <v>525.81676669167302</v>
      </c>
      <c r="AD101" s="73">
        <v>394.54086874893341</v>
      </c>
      <c r="AE101" s="73">
        <v>465.03028673835098</v>
      </c>
      <c r="AF101" s="73">
        <v>369.10704112431648</v>
      </c>
      <c r="AG101" s="73">
        <v>583.98129307968043</v>
      </c>
      <c r="AH101" s="73">
        <v>452.63467960486042</v>
      </c>
      <c r="AI101" s="73">
        <v>745.18120451830112</v>
      </c>
      <c r="AJ101" s="73">
        <v>569.04157706093179</v>
      </c>
      <c r="AK101" s="73">
        <v>372.3312704101952</v>
      </c>
      <c r="AL101" s="73">
        <v>303.7266910699305</v>
      </c>
      <c r="AM101" s="73">
        <v>386.46034647550772</v>
      </c>
    </row>
    <row r="102" spans="2:39" ht="15.75" customHeight="1" x14ac:dyDescent="0.2">
      <c r="B102" s="38">
        <v>23</v>
      </c>
      <c r="C102" s="39">
        <v>45597</v>
      </c>
      <c r="D102" s="72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>
        <v>374.04899641577077</v>
      </c>
      <c r="R102" s="73">
        <v>572.25663978494651</v>
      </c>
      <c r="S102" s="73">
        <v>587.85489325229855</v>
      </c>
      <c r="T102" s="73">
        <v>606.6298659809878</v>
      </c>
      <c r="U102" s="73">
        <v>765.32240143369154</v>
      </c>
      <c r="V102" s="73">
        <v>574.8593567251462</v>
      </c>
      <c r="W102" s="73">
        <v>644.7337766459159</v>
      </c>
      <c r="X102" s="73">
        <v>827.48442746651585</v>
      </c>
      <c r="Y102" s="73">
        <v>937.74189565910035</v>
      </c>
      <c r="Z102" s="73">
        <v>622.59430505774617</v>
      </c>
      <c r="AA102" s="73">
        <v>709.48052254291599</v>
      </c>
      <c r="AB102" s="73">
        <v>656.47652329749076</v>
      </c>
      <c r="AC102" s="73">
        <v>773.29451271548044</v>
      </c>
      <c r="AD102" s="73">
        <v>1052.8138799283161</v>
      </c>
      <c r="AE102" s="73">
        <v>795.79532258064512</v>
      </c>
      <c r="AF102" s="73">
        <v>492.9793590554504</v>
      </c>
      <c r="AG102" s="73">
        <v>518.72878335324594</v>
      </c>
      <c r="AH102" s="73">
        <v>485.20438072481079</v>
      </c>
      <c r="AI102" s="73">
        <v>618.76884882985428</v>
      </c>
      <c r="AJ102" s="73">
        <v>584.14748049757532</v>
      </c>
      <c r="AK102" s="73">
        <v>657.65086192182946</v>
      </c>
      <c r="AL102" s="73">
        <v>413.23067929680843</v>
      </c>
      <c r="AM102" s="73">
        <v>507.29423835125431</v>
      </c>
    </row>
    <row r="103" spans="2:39" ht="15.75" customHeight="1" x14ac:dyDescent="0.2">
      <c r="B103" s="38">
        <v>51</v>
      </c>
      <c r="C103" s="39">
        <v>45627</v>
      </c>
      <c r="D103" s="72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>
        <v>201.90248273450479</v>
      </c>
      <c r="S103" s="73">
        <v>264.94145360414183</v>
      </c>
      <c r="T103" s="73">
        <v>329.43592564807858</v>
      </c>
      <c r="U103" s="73">
        <v>382.5563172043008</v>
      </c>
      <c r="V103" s="73">
        <v>443.52825706426597</v>
      </c>
      <c r="W103" s="73">
        <v>526.78563248535738</v>
      </c>
      <c r="X103" s="73">
        <v>532.22059553349857</v>
      </c>
      <c r="Y103" s="73">
        <v>538.44548754710024</v>
      </c>
      <c r="Z103" s="73">
        <v>497.19019851116582</v>
      </c>
      <c r="AA103" s="73">
        <v>790.70551288615832</v>
      </c>
      <c r="AB103" s="73">
        <v>725.66758356255718</v>
      </c>
      <c r="AC103" s="73">
        <v>540.07871863799301</v>
      </c>
      <c r="AD103" s="73">
        <v>505.07360215053797</v>
      </c>
      <c r="AE103" s="73">
        <v>394.64543010752698</v>
      </c>
      <c r="AF103" s="73">
        <v>394.69022799681403</v>
      </c>
      <c r="AG103" s="73">
        <v>568.84890051341665</v>
      </c>
      <c r="AH103" s="73">
        <v>457.80726574500767</v>
      </c>
      <c r="AI103" s="73">
        <v>688.89026881720429</v>
      </c>
      <c r="AJ103" s="73">
        <v>576.37736895161356</v>
      </c>
      <c r="AK103" s="73">
        <v>380.07897678784803</v>
      </c>
      <c r="AL103" s="73">
        <v>363.56896953405021</v>
      </c>
      <c r="AM103" s="73">
        <v>298.2690949820788</v>
      </c>
    </row>
    <row r="104" spans="2:39" ht="15.75" customHeight="1" x14ac:dyDescent="0.2">
      <c r="B104" s="38">
        <v>139</v>
      </c>
      <c r="C104" s="39">
        <v>45658</v>
      </c>
      <c r="D104" s="72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>
        <v>170.8715749730313</v>
      </c>
      <c r="T104" s="73">
        <v>268.52499845507356</v>
      </c>
      <c r="U104" s="73">
        <v>284.05965838804815</v>
      </c>
      <c r="V104" s="73">
        <v>366.97978168784607</v>
      </c>
      <c r="W104" s="73">
        <v>345.84078787280919</v>
      </c>
      <c r="X104" s="73">
        <v>326.71445175209641</v>
      </c>
      <c r="Y104" s="73">
        <v>405.19844387664563</v>
      </c>
      <c r="Z104" s="73">
        <v>327.00916936353826</v>
      </c>
      <c r="AA104" s="73">
        <v>378.52918346774231</v>
      </c>
      <c r="AB104" s="73">
        <v>343.589034144501</v>
      </c>
      <c r="AC104" s="73">
        <v>400.48152628434826</v>
      </c>
      <c r="AD104" s="73">
        <v>323.25027247458115</v>
      </c>
      <c r="AE104" s="73">
        <v>317.65541616885685</v>
      </c>
      <c r="AF104" s="73">
        <v>325.23684702203906</v>
      </c>
      <c r="AG104" s="73">
        <v>363.86417618150227</v>
      </c>
      <c r="AH104" s="73">
        <v>370.51745753467327</v>
      </c>
      <c r="AI104" s="73">
        <v>469.46403449820792</v>
      </c>
      <c r="AJ104" s="73">
        <v>362.79414261460039</v>
      </c>
      <c r="AK104" s="73">
        <v>276.92102747909195</v>
      </c>
      <c r="AL104" s="73">
        <v>232.39898778707035</v>
      </c>
      <c r="AM104" s="73">
        <v>280.54972008875234</v>
      </c>
    </row>
    <row r="105" spans="2:39" ht="15.75" customHeight="1" x14ac:dyDescent="0.2">
      <c r="B105" s="38">
        <v>123</v>
      </c>
      <c r="C105" s="39">
        <v>45689</v>
      </c>
      <c r="D105" s="72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>
        <v>173.91047294343912</v>
      </c>
      <c r="U105" s="73">
        <v>269.77508609178432</v>
      </c>
      <c r="V105" s="73">
        <v>339.1845377114891</v>
      </c>
      <c r="W105" s="73">
        <v>331.14861397086855</v>
      </c>
      <c r="X105" s="73">
        <v>316.22288759246521</v>
      </c>
      <c r="Y105" s="73">
        <v>285.70006516780671</v>
      </c>
      <c r="Z105" s="73">
        <v>350.74664144431159</v>
      </c>
      <c r="AA105" s="73">
        <v>246.76476537716815</v>
      </c>
      <c r="AB105" s="73">
        <v>273.69839776412363</v>
      </c>
      <c r="AC105" s="73">
        <v>338.24421933735397</v>
      </c>
      <c r="AD105" s="73">
        <v>367.20300944138455</v>
      </c>
      <c r="AE105" s="73">
        <v>303.06212819438656</v>
      </c>
      <c r="AF105" s="73">
        <v>334.14894770701216</v>
      </c>
      <c r="AG105" s="73">
        <v>413.93645878136181</v>
      </c>
      <c r="AH105" s="73">
        <v>365.52079877112095</v>
      </c>
      <c r="AI105" s="73">
        <v>447.15012650221382</v>
      </c>
      <c r="AJ105" s="73">
        <v>384.95472755319628</v>
      </c>
      <c r="AK105" s="73">
        <v>292.0897411852967</v>
      </c>
      <c r="AL105" s="73">
        <v>262.12327332769524</v>
      </c>
      <c r="AM105" s="73">
        <v>212.76107526881722</v>
      </c>
    </row>
    <row r="106" spans="2:39" ht="15.75" customHeight="1" x14ac:dyDescent="0.2">
      <c r="B106" s="38">
        <v>101</v>
      </c>
      <c r="C106" s="39">
        <v>45717</v>
      </c>
      <c r="D106" s="72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>
        <v>150.15353535353537</v>
      </c>
      <c r="V106" s="73">
        <v>283.63592241197534</v>
      </c>
      <c r="W106" s="73">
        <v>364.67807294960988</v>
      </c>
      <c r="X106" s="73">
        <v>405.46117571059449</v>
      </c>
      <c r="Y106" s="73">
        <v>399.74322882929567</v>
      </c>
      <c r="Z106" s="73">
        <v>386.56457213261621</v>
      </c>
      <c r="AA106" s="73">
        <v>344.59925627240159</v>
      </c>
      <c r="AB106" s="73">
        <v>461.52581123058576</v>
      </c>
      <c r="AC106" s="73">
        <v>501.4141317334167</v>
      </c>
      <c r="AD106" s="73">
        <v>529.96818866552371</v>
      </c>
      <c r="AE106" s="73">
        <v>394.73186010963519</v>
      </c>
      <c r="AF106" s="73">
        <v>467.57303138916041</v>
      </c>
      <c r="AG106" s="73">
        <v>525.6525203390795</v>
      </c>
      <c r="AH106" s="73">
        <v>434.62817820340467</v>
      </c>
      <c r="AI106" s="73">
        <v>583.5268165526229</v>
      </c>
      <c r="AJ106" s="73">
        <v>436.13900934250012</v>
      </c>
      <c r="AK106" s="73">
        <v>362.94025620602679</v>
      </c>
      <c r="AL106" s="73">
        <v>2981.9919730961542</v>
      </c>
      <c r="AM106" s="73">
        <v>408.09102104586003</v>
      </c>
    </row>
    <row r="107" spans="2:39" ht="15.75" customHeight="1" x14ac:dyDescent="0.2">
      <c r="B107" s="38">
        <v>201</v>
      </c>
      <c r="C107" s="39">
        <v>45748</v>
      </c>
      <c r="D107" s="72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>
        <v>195.35686603942651</v>
      </c>
      <c r="W107" s="73">
        <v>270.24772769046939</v>
      </c>
      <c r="X107" s="73">
        <v>308.83266184344433</v>
      </c>
      <c r="Y107" s="73">
        <v>336.81878255675019</v>
      </c>
      <c r="Z107" s="73">
        <v>428.0088287250386</v>
      </c>
      <c r="AA107" s="73">
        <v>275.0771076278462</v>
      </c>
      <c r="AB107" s="73">
        <v>341.66044621058677</v>
      </c>
      <c r="AC107" s="73">
        <v>380.95913487504231</v>
      </c>
      <c r="AD107" s="73">
        <v>467.58263764436532</v>
      </c>
      <c r="AE107" s="73">
        <v>305.89823143133697</v>
      </c>
      <c r="AF107" s="73">
        <v>369.78596991419607</v>
      </c>
      <c r="AG107" s="73">
        <v>464.38594259883291</v>
      </c>
      <c r="AH107" s="73">
        <v>374.56754833477203</v>
      </c>
      <c r="AI107" s="73">
        <v>492.42306940371407</v>
      </c>
      <c r="AJ107" s="73">
        <v>386.24078206268354</v>
      </c>
      <c r="AK107" s="73">
        <v>328.80995807127942</v>
      </c>
      <c r="AL107" s="73">
        <v>277.13633371655288</v>
      </c>
      <c r="AM107" s="73">
        <v>266.88796644457682</v>
      </c>
    </row>
    <row r="108" spans="2:39" ht="15.75" customHeight="1" x14ac:dyDescent="0.2">
      <c r="B108" s="38">
        <v>337</v>
      </c>
      <c r="C108" s="39">
        <v>45778</v>
      </c>
      <c r="D108" s="72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>
        <v>202.10155443168702</v>
      </c>
      <c r="X108" s="73">
        <v>273.03801612256223</v>
      </c>
      <c r="Y108" s="73">
        <v>315.78772535173573</v>
      </c>
      <c r="Z108" s="73">
        <v>306.81297559966947</v>
      </c>
      <c r="AA108" s="73">
        <v>324.19946589337661</v>
      </c>
      <c r="AB108" s="73">
        <v>329.76082437276011</v>
      </c>
      <c r="AC108" s="73">
        <v>357.07921849743508</v>
      </c>
      <c r="AD108" s="73">
        <v>395.91465964100558</v>
      </c>
      <c r="AE108" s="73">
        <v>311.1958514766431</v>
      </c>
      <c r="AF108" s="73">
        <v>335.49615208501109</v>
      </c>
      <c r="AG108" s="73">
        <v>420.01877359088962</v>
      </c>
      <c r="AH108" s="73">
        <v>356.14348030238921</v>
      </c>
      <c r="AI108" s="73">
        <v>442.56062390807148</v>
      </c>
      <c r="AJ108" s="73">
        <v>362.58808093129778</v>
      </c>
      <c r="AK108" s="73">
        <v>301.56224611708461</v>
      </c>
      <c r="AL108" s="73">
        <v>269.36353610547184</v>
      </c>
      <c r="AM108" s="73">
        <v>255.30090312303321</v>
      </c>
    </row>
    <row r="109" spans="2:39" ht="15.75" customHeight="1" x14ac:dyDescent="0.2">
      <c r="B109" s="38">
        <v>507</v>
      </c>
      <c r="C109" s="39">
        <v>45809</v>
      </c>
      <c r="D109" s="72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>
        <v>217.15880200416612</v>
      </c>
      <c r="Y109" s="73">
        <v>334.20273286536832</v>
      </c>
      <c r="Z109" s="73">
        <v>331.20551633879614</v>
      </c>
      <c r="AA109" s="73">
        <v>285.34745615292701</v>
      </c>
      <c r="AB109" s="73">
        <v>300.1776920679448</v>
      </c>
      <c r="AC109" s="73">
        <v>346.54756506155564</v>
      </c>
      <c r="AD109" s="73">
        <v>390.2305700397705</v>
      </c>
      <c r="AE109" s="73">
        <v>297.57901075268768</v>
      </c>
      <c r="AF109" s="73">
        <v>327.3421843021149</v>
      </c>
      <c r="AG109" s="73">
        <v>391.0578062703886</v>
      </c>
      <c r="AH109" s="73">
        <v>386.03229317319602</v>
      </c>
      <c r="AI109" s="73">
        <v>435.20044531334861</v>
      </c>
      <c r="AJ109" s="73">
        <v>364.15641523565034</v>
      </c>
      <c r="AK109" s="73">
        <v>260.90302697979627</v>
      </c>
      <c r="AL109" s="73">
        <v>271.98886335015374</v>
      </c>
      <c r="AM109" s="73">
        <v>253.1036727397007</v>
      </c>
    </row>
    <row r="110" spans="2:39" ht="15.75" customHeight="1" x14ac:dyDescent="0.2">
      <c r="B110" s="38">
        <v>440</v>
      </c>
      <c r="C110" s="39">
        <v>45863</v>
      </c>
      <c r="D110" s="72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>
        <v>230.68440927084978</v>
      </c>
      <c r="Z110" s="73">
        <v>315.23780942799061</v>
      </c>
      <c r="AA110" s="73">
        <v>306.29362779816694</v>
      </c>
      <c r="AB110" s="73">
        <v>306.80998223651665</v>
      </c>
      <c r="AC110" s="73">
        <v>373.32789725209074</v>
      </c>
      <c r="AD110" s="73">
        <v>372.86436965812021</v>
      </c>
      <c r="AE110" s="73">
        <v>297.76704918032732</v>
      </c>
      <c r="AF110" s="73">
        <v>307.82548604322739</v>
      </c>
      <c r="AG110" s="73">
        <v>384.41347575617829</v>
      </c>
      <c r="AH110" s="73">
        <v>359.68623838162932</v>
      </c>
      <c r="AI110" s="73">
        <v>422.09476644228857</v>
      </c>
      <c r="AJ110" s="73">
        <v>331.14153757365943</v>
      </c>
      <c r="AK110" s="73">
        <v>260.39996456850622</v>
      </c>
      <c r="AL110" s="73">
        <v>257.73159071017744</v>
      </c>
      <c r="AM110" s="73">
        <v>244.59329953917026</v>
      </c>
    </row>
    <row r="111" spans="2:39" ht="15.75" customHeight="1" x14ac:dyDescent="0.2">
      <c r="B111" s="38">
        <v>729</v>
      </c>
      <c r="C111" s="39">
        <v>45894</v>
      </c>
      <c r="D111" s="72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>
        <v>279.43287273800132</v>
      </c>
      <c r="AA111" s="73">
        <v>446.70472331336288</v>
      </c>
      <c r="AB111" s="73">
        <v>543.87744846035218</v>
      </c>
      <c r="AC111" s="73">
        <v>506.1114260586736</v>
      </c>
      <c r="AD111" s="73">
        <v>527.31785411365649</v>
      </c>
      <c r="AE111" s="73">
        <v>466.05107135745584</v>
      </c>
      <c r="AF111" s="73">
        <v>452.56776172791592</v>
      </c>
      <c r="AG111" s="73">
        <v>686.13127538243521</v>
      </c>
      <c r="AH111" s="73">
        <v>587.39806950226193</v>
      </c>
      <c r="AI111" s="73">
        <v>677.39652289019386</v>
      </c>
      <c r="AJ111" s="73">
        <v>510.242688388396</v>
      </c>
      <c r="AK111" s="73">
        <v>414.71300264701307</v>
      </c>
      <c r="AL111" s="73">
        <v>437.81635272657462</v>
      </c>
      <c r="AM111" s="73">
        <v>409.25789366167174</v>
      </c>
    </row>
    <row r="112" spans="2:39" ht="15.75" customHeight="1" x14ac:dyDescent="0.2">
      <c r="B112" s="38">
        <v>296</v>
      </c>
      <c r="C112" s="39">
        <v>45925</v>
      </c>
      <c r="D112" s="72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>
        <v>415.80359332641973</v>
      </c>
      <c r="AB112" s="73">
        <v>449.27355158429691</v>
      </c>
      <c r="AC112" s="73">
        <v>501.74130784190788</v>
      </c>
      <c r="AD112" s="73">
        <v>528.96072378309589</v>
      </c>
      <c r="AE112" s="73">
        <v>392.77917528260269</v>
      </c>
      <c r="AF112" s="73">
        <v>388.35881123058533</v>
      </c>
      <c r="AG112" s="73">
        <v>867.88021814065939</v>
      </c>
      <c r="AH112" s="73">
        <v>476.2544329821875</v>
      </c>
      <c r="AI112" s="73">
        <v>507.90501902060311</v>
      </c>
      <c r="AJ112" s="73">
        <v>451.35267972752257</v>
      </c>
      <c r="AK112" s="73">
        <v>344.02557453088787</v>
      </c>
      <c r="AL112" s="73">
        <v>371.37437776110693</v>
      </c>
      <c r="AM112" s="73">
        <v>415.78327496629538</v>
      </c>
    </row>
    <row r="113" spans="2:39" ht="15.75" customHeight="1" x14ac:dyDescent="0.2">
      <c r="B113" s="38">
        <v>83</v>
      </c>
      <c r="C113" s="39">
        <v>45931</v>
      </c>
      <c r="D113" s="72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>
        <v>434.25495927012048</v>
      </c>
      <c r="AC113" s="73">
        <v>580.97032485634656</v>
      </c>
      <c r="AD113" s="73">
        <v>498.51158900836367</v>
      </c>
      <c r="AE113" s="73">
        <v>613.07308596274754</v>
      </c>
      <c r="AF113" s="73">
        <v>630.18230606758823</v>
      </c>
      <c r="AG113" s="73">
        <v>642.488016726404</v>
      </c>
      <c r="AH113" s="73">
        <v>778.68719093615277</v>
      </c>
      <c r="AI113" s="73">
        <v>859.16182092908991</v>
      </c>
      <c r="AJ113" s="73">
        <v>498.36324038636764</v>
      </c>
      <c r="AK113" s="73">
        <v>501.5412357057516</v>
      </c>
      <c r="AL113" s="73">
        <v>401.30852699734083</v>
      </c>
      <c r="AM113" s="73">
        <v>565.69296388199575</v>
      </c>
    </row>
    <row r="114" spans="2:39" ht="15.75" customHeight="1" x14ac:dyDescent="0.2">
      <c r="B114" s="38">
        <v>65</v>
      </c>
      <c r="C114" s="39">
        <v>45962</v>
      </c>
      <c r="D114" s="72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>
        <v>533.07203305455971</v>
      </c>
      <c r="AD114" s="73">
        <v>520.8889666599041</v>
      </c>
      <c r="AE114" s="73">
        <v>457.12475485223547</v>
      </c>
      <c r="AF114" s="73">
        <v>466.23133691756288</v>
      </c>
      <c r="AG114" s="73">
        <v>590.93466995221036</v>
      </c>
      <c r="AH114" s="73">
        <v>410.85681750298693</v>
      </c>
      <c r="AI114" s="73">
        <v>687.58200073522653</v>
      </c>
      <c r="AJ114" s="73">
        <v>429.33332554153037</v>
      </c>
      <c r="AK114" s="73">
        <v>300.75721006144391</v>
      </c>
      <c r="AL114" s="73">
        <v>285.96085695666341</v>
      </c>
      <c r="AM114" s="73">
        <v>467.41351524988141</v>
      </c>
    </row>
    <row r="115" spans="2:39" ht="15.75" customHeight="1" x14ac:dyDescent="0.2">
      <c r="B115" s="38">
        <v>384</v>
      </c>
      <c r="C115" s="39">
        <v>45992</v>
      </c>
      <c r="D115" s="72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>
        <v>206.46449133693164</v>
      </c>
      <c r="AE115" s="73">
        <v>204.84780252602843</v>
      </c>
      <c r="AF115" s="73">
        <v>249.19145568264585</v>
      </c>
      <c r="AG115" s="73">
        <v>313.00652439610553</v>
      </c>
      <c r="AH115" s="73">
        <v>271.87510394265246</v>
      </c>
      <c r="AI115" s="73">
        <v>327.37511142278333</v>
      </c>
      <c r="AJ115" s="73">
        <v>319.00738517962805</v>
      </c>
      <c r="AK115" s="73">
        <v>249.92051221896378</v>
      </c>
      <c r="AL115" s="73">
        <v>255.54692938029174</v>
      </c>
      <c r="AM115" s="73">
        <v>251.86468285189741</v>
      </c>
    </row>
    <row r="116" spans="2:39" ht="15.75" customHeight="1" x14ac:dyDescent="0.2">
      <c r="B116" s="38">
        <v>219</v>
      </c>
      <c r="C116" s="39">
        <v>46048</v>
      </c>
      <c r="D116" s="72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>
        <v>152.3847003951843</v>
      </c>
      <c r="AF116" s="73">
        <v>272.65982190860205</v>
      </c>
      <c r="AG116" s="73">
        <v>349.08121819549535</v>
      </c>
      <c r="AH116" s="73">
        <v>379.49110843963575</v>
      </c>
      <c r="AI116" s="73">
        <v>379.33751779839889</v>
      </c>
      <c r="AJ116" s="73">
        <v>351.71552936311014</v>
      </c>
      <c r="AK116" s="73">
        <v>380.06488774545414</v>
      </c>
      <c r="AL116" s="73">
        <v>281.55848790322551</v>
      </c>
      <c r="AM116" s="73">
        <v>303.51239274465121</v>
      </c>
    </row>
    <row r="117" spans="2:39" ht="15.75" customHeight="1" x14ac:dyDescent="0.2">
      <c r="B117" s="38">
        <v>1080</v>
      </c>
      <c r="C117" s="39">
        <f t="shared" ref="C117:C121" si="6">C75</f>
        <v>46112</v>
      </c>
      <c r="D117" s="72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>
        <v>155.56677386116229</v>
      </c>
      <c r="AG117" s="73">
        <v>269.72710075667089</v>
      </c>
      <c r="AH117" s="73">
        <v>255.84368177487474</v>
      </c>
      <c r="AI117" s="73">
        <v>312.69269206562558</v>
      </c>
      <c r="AJ117" s="73">
        <v>284.46579849195484</v>
      </c>
      <c r="AK117" s="73">
        <v>236.26788553295427</v>
      </c>
      <c r="AL117" s="73">
        <v>261.89390859768156</v>
      </c>
      <c r="AM117" s="73">
        <v>259.93721892330507</v>
      </c>
    </row>
    <row r="118" spans="2:39" ht="15.75" customHeight="1" x14ac:dyDescent="0.2">
      <c r="B118" s="38">
        <v>1397</v>
      </c>
      <c r="C118" s="39">
        <f t="shared" si="6"/>
        <v>46142</v>
      </c>
      <c r="D118" s="72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>
        <v>184.42964820583211</v>
      </c>
      <c r="AH118" s="73">
        <v>352.00116272263728</v>
      </c>
      <c r="AI118" s="73">
        <v>360.7223510838038</v>
      </c>
      <c r="AJ118" s="73">
        <v>319.52169021084512</v>
      </c>
      <c r="AK118" s="73">
        <v>244.20163788857604</v>
      </c>
      <c r="AL118" s="73">
        <v>287.60789658370254</v>
      </c>
      <c r="AM118" s="73">
        <v>300.2834013040582</v>
      </c>
    </row>
    <row r="119" spans="2:39" ht="15.75" customHeight="1" x14ac:dyDescent="0.2">
      <c r="B119" s="38">
        <v>1077</v>
      </c>
      <c r="C119" s="39">
        <f t="shared" si="6"/>
        <v>46173</v>
      </c>
      <c r="D119" s="72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>
        <v>313.5798816611869</v>
      </c>
      <c r="AI119" s="73">
        <v>398.64301903992356</v>
      </c>
      <c r="AJ119" s="73">
        <v>353.2947958210608</v>
      </c>
      <c r="AK119" s="73">
        <v>283.1584889286637</v>
      </c>
      <c r="AL119" s="73">
        <v>320.79374556519878</v>
      </c>
      <c r="AM119" s="73">
        <v>297.42250127044531</v>
      </c>
    </row>
    <row r="120" spans="2:39" ht="15.75" customHeight="1" x14ac:dyDescent="0.2">
      <c r="B120" s="38">
        <v>1475</v>
      </c>
      <c r="C120" s="39">
        <f t="shared" si="6"/>
        <v>46203</v>
      </c>
      <c r="D120" s="72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>
        <v>288.47861253280337</v>
      </c>
      <c r="AJ120" s="73">
        <v>288.51041377124284</v>
      </c>
      <c r="AK120" s="73">
        <v>254.39657623158291</v>
      </c>
      <c r="AL120" s="73">
        <v>271.15282852478828</v>
      </c>
      <c r="AM120" s="73">
        <v>284.75076472812873</v>
      </c>
    </row>
    <row r="121" spans="2:39" ht="15.75" customHeight="1" x14ac:dyDescent="0.2">
      <c r="B121" s="38">
        <v>2341</v>
      </c>
      <c r="C121" s="39">
        <f t="shared" si="6"/>
        <v>46234</v>
      </c>
      <c r="D121" s="72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>
        <v>157.3428886541389</v>
      </c>
      <c r="AK121" s="73">
        <v>242.41325127825033</v>
      </c>
      <c r="AL121" s="73">
        <v>243.20327471361784</v>
      </c>
      <c r="AM121" s="73">
        <v>221.06027782904562</v>
      </c>
    </row>
    <row r="122" spans="2:39" ht="15.75" customHeight="1" x14ac:dyDescent="0.2">
      <c r="B122" s="38">
        <v>993</v>
      </c>
      <c r="C122" s="39">
        <v>46234</v>
      </c>
      <c r="D122" s="72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>
        <v>293.35638260904108</v>
      </c>
      <c r="AL122" s="73">
        <v>314.79086265514974</v>
      </c>
      <c r="AM122" s="73">
        <v>326.22524310311428</v>
      </c>
    </row>
    <row r="123" spans="2:39" ht="15.75" customHeight="1" x14ac:dyDescent="0.2">
      <c r="B123" s="38">
        <v>849</v>
      </c>
      <c r="C123" s="39">
        <v>46265</v>
      </c>
      <c r="D123" s="72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>
        <v>326.28382516925586</v>
      </c>
      <c r="AM123" s="73">
        <v>301.29502885509254</v>
      </c>
    </row>
    <row r="124" spans="2:39" ht="15.75" customHeight="1" x14ac:dyDescent="0.2">
      <c r="B124" s="38">
        <v>3110</v>
      </c>
      <c r="C124" s="39">
        <v>46295</v>
      </c>
      <c r="D124" s="72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>
        <v>281.93304622830982</v>
      </c>
    </row>
    <row r="125" spans="2:39" ht="15.75" customHeight="1" x14ac:dyDescent="0.2">
      <c r="B125" s="66">
        <f>SUM(B89:B124)</f>
        <v>16302</v>
      </c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</row>
    <row r="126" spans="2:39" ht="15.75" customHeight="1" x14ac:dyDescent="0.2">
      <c r="B126" s="6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</row>
    <row r="127" spans="2:39" ht="15.75" customHeight="1" x14ac:dyDescent="0.2">
      <c r="B127" s="6" t="s">
        <v>65</v>
      </c>
      <c r="D127" s="74">
        <f t="shared" ref="D127:AM127" si="7">AVERAGE(D90:D125)</f>
        <v>1645.3997909199525</v>
      </c>
      <c r="E127" s="74">
        <f t="shared" si="7"/>
        <v>116.08306451612904</v>
      </c>
      <c r="F127" s="74">
        <f t="shared" si="7"/>
        <v>339.82017522899247</v>
      </c>
      <c r="G127" s="74">
        <f t="shared" si="7"/>
        <v>435.2549865591397</v>
      </c>
      <c r="H127" s="74">
        <f t="shared" si="7"/>
        <v>341.32990143369182</v>
      </c>
      <c r="I127" s="74">
        <f t="shared" si="7"/>
        <v>738.82465409042322</v>
      </c>
      <c r="J127" s="74">
        <f t="shared" si="7"/>
        <v>756.65576080629864</v>
      </c>
      <c r="K127" s="74" t="e">
        <f t="shared" si="7"/>
        <v>#DIV/0!</v>
      </c>
      <c r="L127" s="74">
        <f t="shared" si="7"/>
        <v>1978.167914693207</v>
      </c>
      <c r="M127" s="74">
        <f t="shared" si="7"/>
        <v>1811.7020537152061</v>
      </c>
      <c r="N127" s="74">
        <f t="shared" si="7"/>
        <v>2520.830303002037</v>
      </c>
      <c r="O127" s="74">
        <f t="shared" si="7"/>
        <v>1302.0761191712934</v>
      </c>
      <c r="P127" s="74">
        <f t="shared" si="7"/>
        <v>2040.865803891862</v>
      </c>
      <c r="Q127" s="74">
        <f t="shared" si="7"/>
        <v>1733.1877497765856</v>
      </c>
      <c r="R127" s="74">
        <f t="shared" si="7"/>
        <v>1452.5511398264275</v>
      </c>
      <c r="S127" s="74">
        <f t="shared" si="7"/>
        <v>1447.6365120655403</v>
      </c>
      <c r="T127" s="74">
        <f t="shared" si="7"/>
        <v>1370.3036361053666</v>
      </c>
      <c r="U127" s="74">
        <f t="shared" si="7"/>
        <v>1412.6620272263035</v>
      </c>
      <c r="V127" s="74">
        <f t="shared" si="7"/>
        <v>1436.1844475029447</v>
      </c>
      <c r="W127" s="74">
        <f t="shared" si="7"/>
        <v>1717.5636525045236</v>
      </c>
      <c r="X127" s="74">
        <f t="shared" si="7"/>
        <v>1681.9373859062302</v>
      </c>
      <c r="Y127" s="74">
        <f t="shared" si="7"/>
        <v>2046.4048987861988</v>
      </c>
      <c r="Z127" s="74">
        <f t="shared" si="7"/>
        <v>1689.1581638233395</v>
      </c>
      <c r="AA127" s="74">
        <f t="shared" si="7"/>
        <v>1662.4137047507083</v>
      </c>
      <c r="AB127" s="74">
        <f t="shared" si="7"/>
        <v>1474.7245911872635</v>
      </c>
      <c r="AC127" s="74">
        <f t="shared" si="7"/>
        <v>1349.2112703866526</v>
      </c>
      <c r="AD127" s="74">
        <f t="shared" si="7"/>
        <v>1162.8794853201957</v>
      </c>
      <c r="AE127" s="74">
        <f t="shared" si="7"/>
        <v>1218.9001755915469</v>
      </c>
      <c r="AF127" s="74">
        <f t="shared" si="7"/>
        <v>889.05886560552574</v>
      </c>
      <c r="AG127" s="74">
        <f t="shared" si="7"/>
        <v>1340.8763077804961</v>
      </c>
      <c r="AH127" s="74">
        <f t="shared" si="7"/>
        <v>867.36795168886704</v>
      </c>
      <c r="AI127" s="74">
        <f t="shared" si="7"/>
        <v>1106.0052969563621</v>
      </c>
      <c r="AJ127" s="74">
        <f t="shared" si="7"/>
        <v>1174.3285035366766</v>
      </c>
      <c r="AK127" s="74">
        <f t="shared" si="7"/>
        <v>1027.1775033538502</v>
      </c>
      <c r="AL127" s="74">
        <f t="shared" si="7"/>
        <v>828.99913835935752</v>
      </c>
      <c r="AM127" s="74">
        <f t="shared" si="7"/>
        <v>734.03241773623461</v>
      </c>
    </row>
    <row r="128" spans="2:39" ht="15.75" customHeight="1" x14ac:dyDescent="0.2">
      <c r="B128" s="6"/>
    </row>
    <row r="129" spans="2:2" ht="15.75" customHeight="1" x14ac:dyDescent="0.2">
      <c r="B129" s="6"/>
    </row>
    <row r="130" spans="2:2" ht="15.75" customHeight="1" x14ac:dyDescent="0.2">
      <c r="B130" s="6"/>
    </row>
    <row r="131" spans="2:2" ht="15.75" customHeight="1" x14ac:dyDescent="0.2">
      <c r="B131" s="6"/>
    </row>
    <row r="132" spans="2:2" ht="15.75" customHeight="1" x14ac:dyDescent="0.2">
      <c r="B132" s="6"/>
    </row>
    <row r="133" spans="2:2" ht="15.75" customHeight="1" x14ac:dyDescent="0.2">
      <c r="B133" s="6"/>
    </row>
    <row r="134" spans="2:2" ht="15.75" customHeight="1" x14ac:dyDescent="0.2">
      <c r="B134" s="6"/>
    </row>
    <row r="135" spans="2:2" ht="15.75" customHeight="1" x14ac:dyDescent="0.2">
      <c r="B135" s="6"/>
    </row>
    <row r="136" spans="2:2" ht="15.75" customHeight="1" x14ac:dyDescent="0.2">
      <c r="B136" s="6"/>
    </row>
    <row r="137" spans="2:2" ht="15.75" customHeight="1" x14ac:dyDescent="0.2">
      <c r="B137" s="6"/>
    </row>
    <row r="138" spans="2:2" ht="15.75" customHeight="1" x14ac:dyDescent="0.2">
      <c r="B138" s="6"/>
    </row>
    <row r="139" spans="2:2" ht="15.75" customHeight="1" x14ac:dyDescent="0.2">
      <c r="B139" s="6"/>
    </row>
    <row r="140" spans="2:2" ht="15.75" customHeight="1" x14ac:dyDescent="0.2">
      <c r="B140" s="6"/>
    </row>
    <row r="141" spans="2:2" ht="15.75" customHeight="1" x14ac:dyDescent="0.2">
      <c r="B141" s="6"/>
    </row>
    <row r="142" spans="2:2" ht="15.75" customHeight="1" x14ac:dyDescent="0.2">
      <c r="B142" s="6"/>
    </row>
    <row r="143" spans="2:2" ht="15.75" customHeight="1" x14ac:dyDescent="0.2">
      <c r="B143" s="6"/>
    </row>
    <row r="144" spans="2:2" ht="15.75" customHeight="1" x14ac:dyDescent="0.2">
      <c r="B144" s="6"/>
    </row>
    <row r="145" spans="2:2" ht="15.75" customHeight="1" x14ac:dyDescent="0.2">
      <c r="B145" s="6"/>
    </row>
    <row r="146" spans="2:2" ht="15.75" customHeight="1" x14ac:dyDescent="0.2">
      <c r="B146" s="6"/>
    </row>
    <row r="147" spans="2:2" ht="15.75" customHeight="1" x14ac:dyDescent="0.2">
      <c r="B147" s="6"/>
    </row>
    <row r="148" spans="2:2" ht="15.75" customHeight="1" x14ac:dyDescent="0.2">
      <c r="B148" s="6"/>
    </row>
    <row r="149" spans="2:2" ht="15.75" customHeight="1" x14ac:dyDescent="0.2">
      <c r="B149" s="6"/>
    </row>
    <row r="150" spans="2:2" ht="15.75" customHeight="1" x14ac:dyDescent="0.2">
      <c r="B150" s="6"/>
    </row>
    <row r="151" spans="2:2" ht="15.75" customHeight="1" x14ac:dyDescent="0.2">
      <c r="B151" s="6"/>
    </row>
    <row r="152" spans="2:2" ht="15.75" customHeight="1" x14ac:dyDescent="0.2">
      <c r="B152" s="6"/>
    </row>
    <row r="153" spans="2:2" ht="15.75" customHeight="1" x14ac:dyDescent="0.2">
      <c r="B153" s="6"/>
    </row>
    <row r="154" spans="2:2" ht="15.75" customHeight="1" x14ac:dyDescent="0.2">
      <c r="B154" s="6"/>
    </row>
    <row r="155" spans="2:2" ht="15.75" customHeight="1" x14ac:dyDescent="0.2">
      <c r="B155" s="6"/>
    </row>
    <row r="156" spans="2:2" ht="15.75" customHeight="1" x14ac:dyDescent="0.2">
      <c r="B156" s="6"/>
    </row>
    <row r="157" spans="2:2" ht="15.75" customHeight="1" x14ac:dyDescent="0.2">
      <c r="B157" s="6"/>
    </row>
    <row r="158" spans="2:2" ht="15.75" customHeight="1" x14ac:dyDescent="0.2">
      <c r="B158" s="6"/>
    </row>
    <row r="159" spans="2:2" ht="15.75" customHeight="1" x14ac:dyDescent="0.2">
      <c r="B159" s="6"/>
    </row>
    <row r="160" spans="2:2" ht="15.75" customHeight="1" x14ac:dyDescent="0.2">
      <c r="B160" s="6"/>
    </row>
    <row r="161" spans="2:2" ht="15.75" customHeight="1" x14ac:dyDescent="0.2">
      <c r="B161" s="6"/>
    </row>
    <row r="162" spans="2:2" ht="15.75" customHeight="1" x14ac:dyDescent="0.2">
      <c r="B162" s="6"/>
    </row>
    <row r="163" spans="2:2" ht="15.75" customHeight="1" x14ac:dyDescent="0.2">
      <c r="B163" s="6"/>
    </row>
    <row r="164" spans="2:2" ht="15.75" customHeight="1" x14ac:dyDescent="0.2">
      <c r="B164" s="6"/>
    </row>
    <row r="165" spans="2:2" ht="15.75" customHeight="1" x14ac:dyDescent="0.2">
      <c r="B165" s="6"/>
    </row>
    <row r="166" spans="2:2" ht="15.75" customHeight="1" x14ac:dyDescent="0.2">
      <c r="B166" s="6"/>
    </row>
    <row r="167" spans="2:2" ht="15.75" customHeight="1" x14ac:dyDescent="0.2">
      <c r="B167" s="6"/>
    </row>
    <row r="168" spans="2:2" ht="15.75" customHeight="1" x14ac:dyDescent="0.2">
      <c r="B168" s="6"/>
    </row>
    <row r="169" spans="2:2" ht="15.75" customHeight="1" x14ac:dyDescent="0.2">
      <c r="B169" s="6"/>
    </row>
    <row r="170" spans="2:2" ht="15.75" customHeight="1" x14ac:dyDescent="0.2">
      <c r="B170" s="6"/>
    </row>
    <row r="171" spans="2:2" ht="15.75" customHeight="1" x14ac:dyDescent="0.2">
      <c r="B171" s="6"/>
    </row>
    <row r="172" spans="2:2" ht="15.75" customHeight="1" x14ac:dyDescent="0.2">
      <c r="B172" s="6"/>
    </row>
    <row r="173" spans="2:2" ht="15.75" customHeight="1" x14ac:dyDescent="0.2">
      <c r="B173" s="6"/>
    </row>
    <row r="174" spans="2:2" ht="15.75" customHeight="1" x14ac:dyDescent="0.2">
      <c r="B174" s="6"/>
    </row>
    <row r="175" spans="2:2" ht="15.75" customHeight="1" x14ac:dyDescent="0.2">
      <c r="B175" s="6"/>
    </row>
    <row r="176" spans="2:2" ht="15.75" customHeight="1" x14ac:dyDescent="0.2">
      <c r="B176" s="6"/>
    </row>
    <row r="177" spans="2:2" ht="15.75" customHeight="1" x14ac:dyDescent="0.2">
      <c r="B177" s="6"/>
    </row>
    <row r="178" spans="2:2" ht="15.75" customHeight="1" x14ac:dyDescent="0.2">
      <c r="B178" s="6"/>
    </row>
    <row r="179" spans="2:2" ht="15.75" customHeight="1" x14ac:dyDescent="0.2">
      <c r="B179" s="6"/>
    </row>
    <row r="180" spans="2:2" ht="15.75" customHeight="1" x14ac:dyDescent="0.2">
      <c r="B180" s="6"/>
    </row>
    <row r="181" spans="2:2" ht="15.75" customHeight="1" x14ac:dyDescent="0.2">
      <c r="B181" s="6"/>
    </row>
    <row r="182" spans="2:2" ht="15.75" customHeight="1" x14ac:dyDescent="0.2">
      <c r="B182" s="6"/>
    </row>
    <row r="183" spans="2:2" ht="15.75" customHeight="1" x14ac:dyDescent="0.2">
      <c r="B183" s="6"/>
    </row>
    <row r="184" spans="2:2" ht="15.75" customHeight="1" x14ac:dyDescent="0.2">
      <c r="B184" s="6"/>
    </row>
    <row r="185" spans="2:2" ht="15.75" customHeight="1" x14ac:dyDescent="0.2">
      <c r="B185" s="6"/>
    </row>
    <row r="186" spans="2:2" ht="15.75" customHeight="1" x14ac:dyDescent="0.2">
      <c r="B186" s="6"/>
    </row>
    <row r="187" spans="2:2" ht="15.75" customHeight="1" x14ac:dyDescent="0.2">
      <c r="B187" s="6"/>
    </row>
    <row r="188" spans="2:2" ht="15.75" customHeight="1" x14ac:dyDescent="0.2">
      <c r="B188" s="6"/>
    </row>
    <row r="189" spans="2:2" ht="15.75" customHeight="1" x14ac:dyDescent="0.2">
      <c r="B189" s="6"/>
    </row>
    <row r="190" spans="2:2" ht="15.75" customHeight="1" x14ac:dyDescent="0.2">
      <c r="B190" s="6"/>
    </row>
    <row r="191" spans="2:2" ht="15.75" customHeight="1" x14ac:dyDescent="0.2">
      <c r="B191" s="6"/>
    </row>
    <row r="192" spans="2:2" ht="15.75" customHeight="1" x14ac:dyDescent="0.2">
      <c r="B192" s="6"/>
    </row>
    <row r="193" spans="2:2" ht="15.75" customHeight="1" x14ac:dyDescent="0.2">
      <c r="B193" s="6"/>
    </row>
    <row r="194" spans="2:2" ht="15.75" customHeight="1" x14ac:dyDescent="0.2">
      <c r="B194" s="6"/>
    </row>
    <row r="195" spans="2:2" ht="15.75" customHeight="1" x14ac:dyDescent="0.2">
      <c r="B195" s="6"/>
    </row>
    <row r="196" spans="2:2" ht="15.75" customHeight="1" x14ac:dyDescent="0.2">
      <c r="B196" s="6"/>
    </row>
    <row r="197" spans="2:2" ht="15.75" customHeight="1" x14ac:dyDescent="0.2">
      <c r="B197" s="6"/>
    </row>
    <row r="198" spans="2:2" ht="15.75" customHeight="1" x14ac:dyDescent="0.2">
      <c r="B198" s="6"/>
    </row>
    <row r="199" spans="2:2" ht="15.75" customHeight="1" x14ac:dyDescent="0.2">
      <c r="B199" s="6"/>
    </row>
    <row r="200" spans="2:2" ht="15.75" customHeight="1" x14ac:dyDescent="0.2">
      <c r="B200" s="6"/>
    </row>
    <row r="201" spans="2:2" ht="15.75" customHeight="1" x14ac:dyDescent="0.2">
      <c r="B201" s="6"/>
    </row>
    <row r="202" spans="2:2" ht="15.75" customHeight="1" x14ac:dyDescent="0.2">
      <c r="B202" s="6"/>
    </row>
    <row r="203" spans="2:2" ht="15.75" customHeight="1" x14ac:dyDescent="0.2">
      <c r="B203" s="6"/>
    </row>
    <row r="204" spans="2:2" ht="15.75" customHeight="1" x14ac:dyDescent="0.2">
      <c r="B204" s="6"/>
    </row>
    <row r="205" spans="2:2" ht="15.75" customHeight="1" x14ac:dyDescent="0.2">
      <c r="B205" s="6"/>
    </row>
    <row r="206" spans="2:2" ht="15.75" customHeight="1" x14ac:dyDescent="0.2">
      <c r="B206" s="6"/>
    </row>
    <row r="207" spans="2:2" ht="15.75" customHeight="1" x14ac:dyDescent="0.2">
      <c r="B207" s="6"/>
    </row>
    <row r="208" spans="2:2" ht="15.75" customHeight="1" x14ac:dyDescent="0.2">
      <c r="B208" s="6"/>
    </row>
    <row r="209" spans="2:2" ht="15.75" customHeight="1" x14ac:dyDescent="0.2">
      <c r="B209" s="6"/>
    </row>
    <row r="210" spans="2:2" ht="15.75" customHeight="1" x14ac:dyDescent="0.2">
      <c r="B210" s="6"/>
    </row>
    <row r="211" spans="2:2" ht="15.75" customHeight="1" x14ac:dyDescent="0.2">
      <c r="B211" s="6"/>
    </row>
    <row r="212" spans="2:2" ht="15.75" customHeight="1" x14ac:dyDescent="0.2">
      <c r="B212" s="6"/>
    </row>
    <row r="213" spans="2:2" ht="15.75" customHeight="1" x14ac:dyDescent="0.2">
      <c r="B213" s="6"/>
    </row>
    <row r="214" spans="2:2" ht="15.75" customHeight="1" x14ac:dyDescent="0.2">
      <c r="B214" s="6"/>
    </row>
    <row r="215" spans="2:2" ht="15.75" customHeight="1" x14ac:dyDescent="0.2">
      <c r="B215" s="6"/>
    </row>
    <row r="216" spans="2:2" ht="15.75" customHeight="1" x14ac:dyDescent="0.2">
      <c r="B216" s="6"/>
    </row>
    <row r="217" spans="2:2" ht="15.75" customHeight="1" x14ac:dyDescent="0.2">
      <c r="B217" s="6"/>
    </row>
    <row r="218" spans="2:2" ht="15.75" customHeight="1" x14ac:dyDescent="0.2">
      <c r="B218" s="6"/>
    </row>
    <row r="219" spans="2:2" ht="15.75" customHeight="1" x14ac:dyDescent="0.2">
      <c r="B219" s="6"/>
    </row>
    <row r="220" spans="2:2" ht="15.75" customHeight="1" x14ac:dyDescent="0.2">
      <c r="B220" s="6"/>
    </row>
    <row r="221" spans="2:2" ht="15.75" customHeight="1" x14ac:dyDescent="0.2">
      <c r="B221" s="6"/>
    </row>
    <row r="222" spans="2:2" ht="15.75" customHeight="1" x14ac:dyDescent="0.2">
      <c r="B222" s="6"/>
    </row>
    <row r="223" spans="2:2" ht="15.75" customHeight="1" x14ac:dyDescent="0.2">
      <c r="B223" s="6"/>
    </row>
    <row r="224" spans="2:2" ht="15.75" customHeight="1" x14ac:dyDescent="0.2">
      <c r="B224" s="6"/>
    </row>
    <row r="225" spans="2:2" ht="15.75" customHeight="1" x14ac:dyDescent="0.2">
      <c r="B225" s="6"/>
    </row>
    <row r="226" spans="2:2" ht="15.75" customHeight="1" x14ac:dyDescent="0.2">
      <c r="B226" s="6"/>
    </row>
    <row r="227" spans="2:2" ht="15.75" customHeight="1" x14ac:dyDescent="0.2">
      <c r="B227" s="6"/>
    </row>
    <row r="228" spans="2:2" ht="15.75" customHeight="1" x14ac:dyDescent="0.2">
      <c r="B228" s="6"/>
    </row>
    <row r="229" spans="2:2" ht="15.75" customHeight="1" x14ac:dyDescent="0.2">
      <c r="B229" s="6"/>
    </row>
    <row r="230" spans="2:2" ht="15.75" customHeight="1" x14ac:dyDescent="0.2">
      <c r="B230" s="6"/>
    </row>
    <row r="231" spans="2:2" ht="15.75" customHeight="1" x14ac:dyDescent="0.2">
      <c r="B231" s="6"/>
    </row>
    <row r="232" spans="2:2" ht="15.75" customHeight="1" x14ac:dyDescent="0.2">
      <c r="B232" s="6"/>
    </row>
    <row r="233" spans="2:2" ht="15.75" customHeight="1" x14ac:dyDescent="0.2">
      <c r="B233" s="6"/>
    </row>
    <row r="234" spans="2:2" ht="15.75" customHeight="1" x14ac:dyDescent="0.2">
      <c r="B234" s="6"/>
    </row>
    <row r="235" spans="2:2" ht="15.75" customHeight="1" x14ac:dyDescent="0.2">
      <c r="B235" s="6"/>
    </row>
    <row r="236" spans="2:2" ht="15.75" customHeight="1" x14ac:dyDescent="0.2">
      <c r="B236" s="6"/>
    </row>
    <row r="237" spans="2:2" ht="15.75" customHeight="1" x14ac:dyDescent="0.2">
      <c r="B237" s="6"/>
    </row>
    <row r="238" spans="2:2" ht="15.75" customHeight="1" x14ac:dyDescent="0.2">
      <c r="B238" s="6"/>
    </row>
    <row r="239" spans="2:2" ht="15.75" customHeight="1" x14ac:dyDescent="0.2">
      <c r="B239" s="6"/>
    </row>
    <row r="240" spans="2:2" ht="15.75" customHeight="1" x14ac:dyDescent="0.2">
      <c r="B240" s="6"/>
    </row>
    <row r="241" spans="2:2" ht="15.75" customHeight="1" x14ac:dyDescent="0.2">
      <c r="B241" s="6"/>
    </row>
    <row r="242" spans="2:2" ht="15.75" customHeight="1" x14ac:dyDescent="0.2">
      <c r="B242" s="6"/>
    </row>
    <row r="243" spans="2:2" ht="15.75" customHeight="1" x14ac:dyDescent="0.2">
      <c r="B243" s="6"/>
    </row>
    <row r="244" spans="2:2" ht="15.75" customHeight="1" x14ac:dyDescent="0.2">
      <c r="B244" s="6"/>
    </row>
    <row r="245" spans="2:2" ht="15.75" customHeight="1" x14ac:dyDescent="0.2">
      <c r="B245" s="6"/>
    </row>
    <row r="246" spans="2:2" ht="15.75" customHeight="1" x14ac:dyDescent="0.2">
      <c r="B246" s="6"/>
    </row>
    <row r="247" spans="2:2" ht="15.75" customHeight="1" x14ac:dyDescent="0.2">
      <c r="B247" s="6"/>
    </row>
    <row r="248" spans="2:2" ht="15.75" customHeight="1" x14ac:dyDescent="0.2">
      <c r="B248" s="6"/>
    </row>
    <row r="249" spans="2:2" ht="15.75" customHeight="1" x14ac:dyDescent="0.2">
      <c r="B249" s="6"/>
    </row>
    <row r="250" spans="2:2" ht="15.75" customHeight="1" x14ac:dyDescent="0.2">
      <c r="B250" s="6"/>
    </row>
    <row r="251" spans="2:2" ht="15.75" customHeight="1" x14ac:dyDescent="0.2">
      <c r="B251" s="6"/>
    </row>
    <row r="252" spans="2:2" ht="15.75" customHeight="1" x14ac:dyDescent="0.2">
      <c r="B252" s="6"/>
    </row>
    <row r="253" spans="2:2" ht="15.75" customHeight="1" x14ac:dyDescent="0.2">
      <c r="B253" s="6"/>
    </row>
    <row r="254" spans="2:2" ht="15.75" customHeight="1" x14ac:dyDescent="0.2">
      <c r="B254" s="6"/>
    </row>
    <row r="255" spans="2:2" ht="15.75" customHeight="1" x14ac:dyDescent="0.2">
      <c r="B255" s="6"/>
    </row>
    <row r="256" spans="2:2" ht="15.75" customHeight="1" x14ac:dyDescent="0.2">
      <c r="B256" s="6"/>
    </row>
    <row r="257" spans="2:2" ht="15.75" customHeight="1" x14ac:dyDescent="0.2">
      <c r="B257" s="6"/>
    </row>
    <row r="258" spans="2:2" ht="15.75" customHeight="1" x14ac:dyDescent="0.2">
      <c r="B258" s="6"/>
    </row>
    <row r="259" spans="2:2" ht="15.75" customHeight="1" x14ac:dyDescent="0.2">
      <c r="B259" s="6"/>
    </row>
    <row r="260" spans="2:2" ht="15.75" customHeight="1" x14ac:dyDescent="0.2">
      <c r="B260" s="6"/>
    </row>
    <row r="261" spans="2:2" ht="15.75" customHeight="1" x14ac:dyDescent="0.2">
      <c r="B261" s="6"/>
    </row>
    <row r="262" spans="2:2" ht="15.75" customHeight="1" x14ac:dyDescent="0.2">
      <c r="B262" s="6"/>
    </row>
    <row r="263" spans="2:2" ht="15.75" customHeight="1" x14ac:dyDescent="0.2">
      <c r="B263" s="6"/>
    </row>
    <row r="264" spans="2:2" ht="15.75" customHeight="1" x14ac:dyDescent="0.2">
      <c r="B264" s="6"/>
    </row>
    <row r="265" spans="2:2" ht="15.75" customHeight="1" x14ac:dyDescent="0.2">
      <c r="B265" s="6"/>
    </row>
    <row r="266" spans="2:2" ht="15.75" customHeight="1" x14ac:dyDescent="0.2">
      <c r="B266" s="6"/>
    </row>
    <row r="267" spans="2:2" ht="15.75" customHeight="1" x14ac:dyDescent="0.2">
      <c r="B267" s="6"/>
    </row>
    <row r="268" spans="2:2" ht="15.75" customHeight="1" x14ac:dyDescent="0.2">
      <c r="B268" s="6"/>
    </row>
    <row r="269" spans="2:2" ht="15.75" customHeight="1" x14ac:dyDescent="0.2">
      <c r="B269" s="6"/>
    </row>
    <row r="270" spans="2:2" ht="15.75" customHeight="1" x14ac:dyDescent="0.2">
      <c r="B270" s="6"/>
    </row>
    <row r="271" spans="2:2" ht="15.75" customHeight="1" x14ac:dyDescent="0.2">
      <c r="B271" s="6"/>
    </row>
    <row r="272" spans="2:2" ht="15.75" customHeight="1" x14ac:dyDescent="0.2">
      <c r="B272" s="6"/>
    </row>
    <row r="273" spans="2:2" ht="15.75" customHeight="1" x14ac:dyDescent="0.2">
      <c r="B273" s="6"/>
    </row>
    <row r="274" spans="2:2" ht="15.75" customHeight="1" x14ac:dyDescent="0.2">
      <c r="B274" s="6"/>
    </row>
    <row r="275" spans="2:2" ht="15.75" customHeight="1" x14ac:dyDescent="0.2">
      <c r="B275" s="6"/>
    </row>
    <row r="276" spans="2:2" ht="15.75" customHeight="1" x14ac:dyDescent="0.2">
      <c r="B276" s="6"/>
    </row>
    <row r="277" spans="2:2" ht="15.75" customHeight="1" x14ac:dyDescent="0.2">
      <c r="B277" s="6"/>
    </row>
    <row r="278" spans="2:2" ht="15.75" customHeight="1" x14ac:dyDescent="0.2">
      <c r="B278" s="6"/>
    </row>
    <row r="279" spans="2:2" ht="15.75" customHeight="1" x14ac:dyDescent="0.2">
      <c r="B279" s="6"/>
    </row>
    <row r="280" spans="2:2" ht="15.75" customHeight="1" x14ac:dyDescent="0.2">
      <c r="B280" s="6"/>
    </row>
    <row r="281" spans="2:2" ht="15.75" customHeight="1" x14ac:dyDescent="0.2">
      <c r="B281" s="6"/>
    </row>
    <row r="282" spans="2:2" ht="15.75" customHeight="1" x14ac:dyDescent="0.2">
      <c r="B282" s="6"/>
    </row>
    <row r="283" spans="2:2" ht="15.75" customHeight="1" x14ac:dyDescent="0.2">
      <c r="B283" s="6"/>
    </row>
    <row r="284" spans="2:2" ht="15.75" customHeight="1" x14ac:dyDescent="0.2">
      <c r="B284" s="6"/>
    </row>
    <row r="285" spans="2:2" ht="15.75" customHeight="1" x14ac:dyDescent="0.2">
      <c r="B285" s="6"/>
    </row>
    <row r="286" spans="2:2" ht="15.75" customHeight="1" x14ac:dyDescent="0.2"/>
    <row r="287" spans="2:2" ht="15.75" customHeight="1" x14ac:dyDescent="0.2"/>
    <row r="288" spans="2:2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</sheetData>
  <conditionalFormatting sqref="B5:B39">
    <cfRule type="colorScale" priority="1">
      <colorScale>
        <cfvo type="min"/>
        <cfvo type="max"/>
        <color rgb="FFFCFCFF"/>
        <color rgb="FF63BE7B"/>
      </colorScale>
    </cfRule>
  </conditionalFormatting>
  <conditionalFormatting sqref="D7:AD7 AF7:AH7 AJ7:AM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AE6 AG6:AI6 AI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AH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1:AL3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:AM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:AM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:AM10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:AM11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:AM1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:AM1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:AM14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5:AM15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6:AM1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AM17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8:AM1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AM19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0:AM20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1:AM21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:AM22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3:AM2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:AM24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5:AM25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:AM26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7:AM27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8:AM28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9:AM29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0:AM30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7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5:AJ5 AJ6 AK5:AM6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31:AM39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1.1640625" defaultRowHeight="15" customHeight="1" x14ac:dyDescent="0.2"/>
  <cols>
    <col min="1" max="1" width="36.6640625" customWidth="1"/>
    <col min="2" max="21" width="15.83203125" customWidth="1"/>
    <col min="22" max="22" width="12.83203125" customWidth="1"/>
    <col min="23" max="24" width="15.1640625" customWidth="1"/>
    <col min="25" max="26" width="13.6640625" customWidth="1"/>
    <col min="27" max="29" width="13.33203125" customWidth="1"/>
  </cols>
  <sheetData>
    <row r="1" spans="1:29" ht="15.75" customHeight="1" x14ac:dyDescent="0.2">
      <c r="A1" s="24"/>
      <c r="B1" s="24">
        <v>45473</v>
      </c>
      <c r="C1" s="24">
        <v>45504</v>
      </c>
      <c r="D1" s="24">
        <v>45535</v>
      </c>
      <c r="E1" s="24">
        <v>45565</v>
      </c>
      <c r="F1" s="24">
        <v>45596</v>
      </c>
      <c r="G1" s="24">
        <v>45626</v>
      </c>
      <c r="H1" s="24">
        <v>45657</v>
      </c>
      <c r="I1" s="24">
        <v>45688</v>
      </c>
      <c r="J1" s="24">
        <v>45716</v>
      </c>
      <c r="K1" s="24">
        <v>45747</v>
      </c>
      <c r="L1" s="24">
        <v>45777</v>
      </c>
      <c r="M1" s="24">
        <v>45808</v>
      </c>
      <c r="N1" s="24">
        <v>45838</v>
      </c>
      <c r="O1" s="24">
        <v>45869</v>
      </c>
      <c r="P1" s="24">
        <v>45900</v>
      </c>
      <c r="Q1" s="24">
        <v>45930</v>
      </c>
      <c r="R1" s="24">
        <v>45961</v>
      </c>
      <c r="S1" s="24">
        <v>45991</v>
      </c>
      <c r="T1" s="24">
        <v>46022</v>
      </c>
      <c r="U1" s="24">
        <v>46053</v>
      </c>
      <c r="V1" s="24">
        <v>46081</v>
      </c>
      <c r="W1" s="24">
        <v>46112</v>
      </c>
      <c r="X1" s="24">
        <v>46142</v>
      </c>
      <c r="Y1" s="24">
        <v>46173</v>
      </c>
      <c r="Z1" s="24">
        <v>46203</v>
      </c>
      <c r="AA1" s="24">
        <v>46234</v>
      </c>
      <c r="AB1" s="24">
        <v>46265</v>
      </c>
      <c r="AC1" s="24">
        <v>46295</v>
      </c>
    </row>
    <row r="2" spans="1:29" ht="15.75" customHeight="1" x14ac:dyDescent="0.2">
      <c r="A2" s="27" t="s">
        <v>78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15.75" customHeight="1" x14ac:dyDescent="0.2">
      <c r="A3" s="7" t="str">
        <f>Monthly!$B$21</f>
        <v>Users (end of the month)</v>
      </c>
      <c r="B3" s="78">
        <v>131</v>
      </c>
      <c r="C3" s="78">
        <v>167</v>
      </c>
      <c r="D3" s="78">
        <v>207</v>
      </c>
      <c r="E3" s="78">
        <v>231</v>
      </c>
      <c r="F3" s="78">
        <v>288</v>
      </c>
      <c r="G3" s="78">
        <v>313</v>
      </c>
      <c r="H3" s="78">
        <v>367</v>
      </c>
      <c r="I3" s="78">
        <f>Monthly!C21</f>
        <v>512</v>
      </c>
      <c r="J3" s="78">
        <f>Monthly!D21</f>
        <v>644</v>
      </c>
      <c r="K3" s="78">
        <f>Monthly!E21</f>
        <v>748</v>
      </c>
      <c r="L3" s="78">
        <f>Monthly!F21</f>
        <v>954</v>
      </c>
      <c r="M3" s="78">
        <f>Monthly!G21</f>
        <v>1301</v>
      </c>
      <c r="N3" s="78">
        <f>Monthly!H21</f>
        <v>1836</v>
      </c>
      <c r="O3" s="78">
        <f>Monthly!I21</f>
        <v>2293</v>
      </c>
      <c r="P3" s="78">
        <f>Monthly!J21</f>
        <v>3037</v>
      </c>
      <c r="Q3" s="78">
        <f>Monthly!K21</f>
        <v>3346</v>
      </c>
      <c r="R3" s="78">
        <f>Monthly!L21</f>
        <v>3412</v>
      </c>
      <c r="S3" s="78">
        <f>Monthly!M21</f>
        <v>3467</v>
      </c>
      <c r="T3" s="78">
        <f>Monthly!N21</f>
        <v>3831</v>
      </c>
      <c r="U3" s="78">
        <f>Monthly!O21</f>
        <v>4040</v>
      </c>
      <c r="V3" s="78">
        <f>Monthly!P21</f>
        <v>5113</v>
      </c>
      <c r="W3" s="78">
        <f>Monthly!Q21</f>
        <v>6502</v>
      </c>
      <c r="X3" s="78">
        <f>Monthly!R21</f>
        <v>7561</v>
      </c>
      <c r="Y3" s="78">
        <f>Monthly!S21</f>
        <v>9025</v>
      </c>
      <c r="Z3" s="78">
        <f>Monthly!T21</f>
        <v>11366</v>
      </c>
      <c r="AA3" s="78">
        <f>Monthly!U21</f>
        <v>12352</v>
      </c>
      <c r="AB3" s="78">
        <f>Monthly!V21</f>
        <v>13197</v>
      </c>
      <c r="AC3" s="78">
        <f>Monthly!W21</f>
        <v>16302</v>
      </c>
    </row>
    <row r="4" spans="1:29" ht="15.75" customHeight="1" x14ac:dyDescent="0.2">
      <c r="A4" s="7" t="str">
        <f>Monthly!$B$14</f>
        <v>Monthly Transacting Users</v>
      </c>
      <c r="B4" s="78">
        <v>94</v>
      </c>
      <c r="C4" s="78">
        <v>145</v>
      </c>
      <c r="D4" s="78">
        <v>166</v>
      </c>
      <c r="E4" s="78">
        <v>193</v>
      </c>
      <c r="F4" s="78">
        <v>234</v>
      </c>
      <c r="G4" s="78">
        <v>250</v>
      </c>
      <c r="H4" s="78">
        <v>296</v>
      </c>
      <c r="I4" s="78">
        <f>Monthly!C14</f>
        <v>398</v>
      </c>
      <c r="J4" s="78">
        <f>Monthly!D14</f>
        <v>483</v>
      </c>
      <c r="K4" s="78">
        <f>Monthly!E14</f>
        <v>567</v>
      </c>
      <c r="L4" s="78">
        <f>Monthly!F14</f>
        <v>715</v>
      </c>
      <c r="M4" s="78">
        <f>Monthly!G14</f>
        <v>951</v>
      </c>
      <c r="N4" s="78">
        <f>Monthly!H14</f>
        <v>1369</v>
      </c>
      <c r="O4" s="78">
        <f>Monthly!I14</f>
        <v>1628</v>
      </c>
      <c r="P4" s="78">
        <f>Monthly!J14</f>
        <v>1985</v>
      </c>
      <c r="Q4" s="78">
        <f>Monthly!K14</f>
        <v>2380</v>
      </c>
      <c r="R4" s="78">
        <f>Monthly!L14</f>
        <v>2459</v>
      </c>
      <c r="S4" s="78">
        <f>Monthly!M14</f>
        <v>2490</v>
      </c>
      <c r="T4" s="78">
        <f>Monthly!N14</f>
        <v>2699</v>
      </c>
      <c r="U4" s="78">
        <f>Monthly!O14</f>
        <v>2695</v>
      </c>
      <c r="V4" s="78">
        <f>Monthly!P14</f>
        <v>3350</v>
      </c>
      <c r="W4" s="78">
        <f>Monthly!Q14</f>
        <v>4178</v>
      </c>
      <c r="X4" s="78">
        <f>Monthly!R14</f>
        <v>5252</v>
      </c>
      <c r="Y4" s="78">
        <f>Monthly!S14</f>
        <v>6143</v>
      </c>
      <c r="Z4" s="78">
        <f>Monthly!T14</f>
        <v>7479</v>
      </c>
      <c r="AA4" s="78">
        <f>Monthly!U14</f>
        <v>8387</v>
      </c>
      <c r="AB4" s="78">
        <f>Monthly!V14</f>
        <v>9089</v>
      </c>
      <c r="AC4" s="78">
        <f>Monthly!W14</f>
        <v>11374</v>
      </c>
    </row>
    <row r="5" spans="1:29" ht="15.75" customHeight="1" x14ac:dyDescent="0.2"/>
    <row r="6" spans="1:29" ht="15.75" customHeight="1" x14ac:dyDescent="0.2">
      <c r="A6" s="7" t="s">
        <v>80</v>
      </c>
      <c r="B6" s="81">
        <v>5596525.898</v>
      </c>
      <c r="C6" s="81">
        <v>6344094.818</v>
      </c>
      <c r="D6" s="81">
        <v>6281311.9419999998</v>
      </c>
      <c r="E6" s="81">
        <v>7201757.3399999999</v>
      </c>
      <c r="F6" s="81">
        <v>9981512.8859999999</v>
      </c>
      <c r="G6" s="81">
        <v>9265903.5460000001</v>
      </c>
      <c r="H6" s="81">
        <v>10655379.423999999</v>
      </c>
      <c r="I6" s="81">
        <f>Monthly!C127</f>
        <v>14229453.602000002</v>
      </c>
      <c r="J6" s="81">
        <f>Monthly!D127</f>
        <v>13769018.950000001</v>
      </c>
      <c r="K6" s="81">
        <f>Monthly!E127</f>
        <v>17381600.619999997</v>
      </c>
      <c r="L6" s="81">
        <f>Monthly!F127</f>
        <v>20955985.93</v>
      </c>
      <c r="M6" s="81">
        <f>Monthly!G127</f>
        <v>23239021.769999996</v>
      </c>
      <c r="N6" s="81">
        <f>Monthly!H127</f>
        <v>31392199.234000001</v>
      </c>
      <c r="O6" s="81">
        <f>Monthly!I127</f>
        <v>38613960.604000002</v>
      </c>
      <c r="P6" s="81">
        <f>Monthly!J127</f>
        <v>40442353.119999997</v>
      </c>
      <c r="Q6" s="81">
        <f>Monthly!K127</f>
        <v>57646607.383999988</v>
      </c>
      <c r="R6" s="81">
        <f>Monthly!L127</f>
        <v>58711737.071999997</v>
      </c>
      <c r="S6" s="81">
        <f>Monthly!M127</f>
        <v>60315432.881999999</v>
      </c>
      <c r="T6" s="81">
        <f>Monthly!N127</f>
        <v>69593087.069999993</v>
      </c>
      <c r="U6" s="81">
        <f>Monthly!O127</f>
        <v>59671645.155999996</v>
      </c>
      <c r="V6" s="81">
        <f>Monthly!P127</f>
        <v>60642780.725999996</v>
      </c>
      <c r="W6" s="81">
        <f>Monthly!Q127</f>
        <v>95344566</v>
      </c>
      <c r="X6" s="81">
        <f>Monthly!R127</f>
        <v>105947213.036</v>
      </c>
      <c r="Y6" s="81">
        <f>Monthly!S127</f>
        <v>110400244.16800001</v>
      </c>
      <c r="Z6" s="81">
        <f>Monthly!T127</f>
        <v>137145988.384</v>
      </c>
      <c r="AA6" s="81">
        <f>Monthly!U127</f>
        <v>127249656.88</v>
      </c>
      <c r="AB6" s="81">
        <f>Monthly!V127</f>
        <v>130388896.484</v>
      </c>
      <c r="AC6" s="81">
        <f>Monthly!W127</f>
        <v>190860991.79000002</v>
      </c>
    </row>
    <row r="7" spans="1:29" ht="15.75" customHeight="1" x14ac:dyDescent="0.2">
      <c r="A7" s="7" t="s">
        <v>82</v>
      </c>
      <c r="B7" s="83">
        <f>B6</f>
        <v>5596525.898</v>
      </c>
      <c r="C7" s="83">
        <f t="shared" ref="C7:AC7" si="0">SUM($B$6:C6)</f>
        <v>11940620.716</v>
      </c>
      <c r="D7" s="83">
        <f t="shared" si="0"/>
        <v>18221932.658</v>
      </c>
      <c r="E7" s="83">
        <f t="shared" si="0"/>
        <v>25423689.998</v>
      </c>
      <c r="F7" s="83">
        <f t="shared" si="0"/>
        <v>35405202.884000003</v>
      </c>
      <c r="G7" s="83">
        <f t="shared" si="0"/>
        <v>44671106.430000007</v>
      </c>
      <c r="H7" s="83">
        <f t="shared" si="0"/>
        <v>55326485.854000002</v>
      </c>
      <c r="I7" s="83">
        <f t="shared" si="0"/>
        <v>69555939.456</v>
      </c>
      <c r="J7" s="83">
        <f t="shared" si="0"/>
        <v>83324958.406000003</v>
      </c>
      <c r="K7" s="83">
        <f t="shared" si="0"/>
        <v>100706559.02599999</v>
      </c>
      <c r="L7" s="83">
        <f t="shared" si="0"/>
        <v>121662544.956</v>
      </c>
      <c r="M7" s="83">
        <f t="shared" si="0"/>
        <v>144901566.72600001</v>
      </c>
      <c r="N7" s="83">
        <f t="shared" si="0"/>
        <v>176293765.96000001</v>
      </c>
      <c r="O7" s="83">
        <f t="shared" si="0"/>
        <v>214907726.56400001</v>
      </c>
      <c r="P7" s="83">
        <f t="shared" si="0"/>
        <v>255350079.68400002</v>
      </c>
      <c r="Q7" s="83">
        <f t="shared" si="0"/>
        <v>312996687.06800002</v>
      </c>
      <c r="R7" s="83">
        <f t="shared" si="0"/>
        <v>371708424.13999999</v>
      </c>
      <c r="S7" s="83">
        <f t="shared" si="0"/>
        <v>432023857.02199996</v>
      </c>
      <c r="T7" s="83">
        <f t="shared" si="0"/>
        <v>501616944.09199995</v>
      </c>
      <c r="U7" s="83">
        <f t="shared" si="0"/>
        <v>561288589.24799991</v>
      </c>
      <c r="V7" s="83">
        <f t="shared" si="0"/>
        <v>621931369.97399986</v>
      </c>
      <c r="W7" s="83">
        <f t="shared" si="0"/>
        <v>717275935.97399986</v>
      </c>
      <c r="X7" s="83">
        <f t="shared" si="0"/>
        <v>823223149.00999987</v>
      </c>
      <c r="Y7" s="83">
        <f t="shared" si="0"/>
        <v>933623393.17799985</v>
      </c>
      <c r="Z7" s="83">
        <f t="shared" si="0"/>
        <v>1070769381.5619998</v>
      </c>
      <c r="AA7" s="83">
        <f t="shared" si="0"/>
        <v>1198019038.4419999</v>
      </c>
      <c r="AB7" s="83">
        <f t="shared" si="0"/>
        <v>1328407934.9259999</v>
      </c>
      <c r="AC7" s="83">
        <f t="shared" si="0"/>
        <v>1519268926.7159998</v>
      </c>
    </row>
    <row r="8" spans="1:29" ht="15.75" customHeight="1" x14ac:dyDescent="0.2">
      <c r="A8" s="7" t="s">
        <v>83</v>
      </c>
      <c r="B8" s="81"/>
      <c r="C8" s="81">
        <f>'2024 Delinquency'!G10</f>
        <v>39928.129999999997</v>
      </c>
      <c r="D8" s="81">
        <f>'2024 Delinquency'!H10</f>
        <v>136060.84</v>
      </c>
      <c r="E8" s="81">
        <f>'2024 Delinquency'!I10</f>
        <v>197404.04</v>
      </c>
      <c r="F8" s="81">
        <f>'2024 Delinquency'!J10</f>
        <v>162153.71000000002</v>
      </c>
      <c r="G8" s="81">
        <f>'2024 Delinquency'!K10</f>
        <v>265025.43</v>
      </c>
      <c r="H8" s="81">
        <f>'2024 Delinquency'!L10</f>
        <v>254284.39</v>
      </c>
      <c r="I8" s="81">
        <f>Monthly!C87</f>
        <v>149761.74</v>
      </c>
      <c r="J8" s="81">
        <f>Monthly!D87</f>
        <v>224273.81</v>
      </c>
      <c r="K8" s="81">
        <f>Monthly!E87</f>
        <v>153677.94</v>
      </c>
      <c r="L8" s="81">
        <f>Monthly!F87</f>
        <v>269919.89</v>
      </c>
      <c r="M8" s="81">
        <f>Monthly!G87</f>
        <v>685085.04</v>
      </c>
      <c r="N8" s="81">
        <f>Monthly!H87</f>
        <v>922945.82</v>
      </c>
      <c r="O8" s="81">
        <f>Monthly!I87</f>
        <v>1378730.6</v>
      </c>
      <c r="P8" s="81">
        <f>Monthly!J87</f>
        <v>2226056.9</v>
      </c>
      <c r="Q8" s="81">
        <f>Monthly!K87</f>
        <v>1614741.4300000002</v>
      </c>
      <c r="R8" s="81">
        <f>Monthly!L87</f>
        <v>2557988.8499999996</v>
      </c>
      <c r="S8" s="81">
        <f>Monthly!M87</f>
        <v>4622261.9800000004</v>
      </c>
      <c r="T8" s="81">
        <f>Monthly!N87</f>
        <v>6668306.9500000002</v>
      </c>
      <c r="U8" s="81">
        <f>Monthly!O87</f>
        <v>8842007.9199999999</v>
      </c>
      <c r="V8" s="81">
        <f>Monthly!P87</f>
        <v>10728758.77</v>
      </c>
      <c r="W8" s="81">
        <f>Monthly!Q87</f>
        <v>13091374.290000001</v>
      </c>
      <c r="X8" s="81">
        <f>Monthly!R87</f>
        <v>13852265.939999999</v>
      </c>
      <c r="Y8" s="81">
        <f>Monthly!S87</f>
        <v>15856748.739999998</v>
      </c>
      <c r="Z8" s="81">
        <f>Monthly!T87</f>
        <v>17797996.710000001</v>
      </c>
      <c r="AA8" s="81">
        <f>Monthly!U87</f>
        <v>19076027.600000001</v>
      </c>
      <c r="AB8" s="81">
        <f>Monthly!V87</f>
        <v>19931633.530000001</v>
      </c>
      <c r="AC8" s="81">
        <f>Monthly!W87</f>
        <v>20719606.309999999</v>
      </c>
    </row>
    <row r="9" spans="1:29" ht="15.75" customHeight="1" x14ac:dyDescent="0.2">
      <c r="A9" s="21" t="s">
        <v>86</v>
      </c>
      <c r="B9" s="89"/>
      <c r="C9" s="89" t="s">
        <v>87</v>
      </c>
      <c r="D9" s="89" t="s">
        <v>87</v>
      </c>
      <c r="E9" s="89" t="s">
        <v>87</v>
      </c>
      <c r="F9" s="90">
        <f t="shared" ref="F9:W9" si="1">F8/C7</f>
        <v>1.3580006756492978E-2</v>
      </c>
      <c r="G9" s="90">
        <f t="shared" si="1"/>
        <v>1.454430959515403E-2</v>
      </c>
      <c r="H9" s="91">
        <f t="shared" si="1"/>
        <v>1.0001867943638542E-2</v>
      </c>
      <c r="I9" s="90">
        <f t="shared" si="1"/>
        <v>4.2299359359886327E-3</v>
      </c>
      <c r="J9" s="90">
        <f t="shared" si="1"/>
        <v>5.0205564160681563E-3</v>
      </c>
      <c r="K9" s="90">
        <f t="shared" si="1"/>
        <v>2.777655902555202E-3</v>
      </c>
      <c r="L9" s="90">
        <f t="shared" si="1"/>
        <v>3.8806159777447493E-3</v>
      </c>
      <c r="M9" s="90">
        <f t="shared" si="1"/>
        <v>8.221846768430777E-3</v>
      </c>
      <c r="N9" s="90">
        <f t="shared" si="1"/>
        <v>9.1647041555825339E-3</v>
      </c>
      <c r="O9" s="90">
        <f t="shared" si="1"/>
        <v>1.1332416237870303E-2</v>
      </c>
      <c r="P9" s="90">
        <f t="shared" si="1"/>
        <v>1.5362545418224063E-2</v>
      </c>
      <c r="Q9" s="91">
        <f t="shared" si="1"/>
        <v>9.1593790694015544E-3</v>
      </c>
      <c r="R9" s="91">
        <f t="shared" si="1"/>
        <v>1.1902730957596468E-2</v>
      </c>
      <c r="S9" s="91">
        <f t="shared" si="1"/>
        <v>1.8101666487514424E-2</v>
      </c>
      <c r="T9" s="91">
        <f t="shared" si="1"/>
        <v>2.1304720546614857E-2</v>
      </c>
      <c r="U9" s="91">
        <f t="shared" si="1"/>
        <v>2.3787483268524881E-2</v>
      </c>
      <c r="V9" s="91">
        <f t="shared" si="1"/>
        <v>2.4833718313508921E-2</v>
      </c>
      <c r="W9" s="91">
        <f t="shared" si="1"/>
        <v>2.6098349436136578E-2</v>
      </c>
      <c r="X9" s="91">
        <f>X8/U$7</f>
        <v>2.467940058884666E-2</v>
      </c>
      <c r="Y9" s="91">
        <f t="shared" ref="Y9:AC9" si="2">Y8/V7</f>
        <v>2.5495978343499377E-2</v>
      </c>
      <c r="Z9" s="91">
        <f t="shared" si="2"/>
        <v>2.4813319138933376E-2</v>
      </c>
      <c r="AA9" s="91">
        <f t="shared" si="2"/>
        <v>2.3172365382266819E-2</v>
      </c>
      <c r="AB9" s="91">
        <f t="shared" si="2"/>
        <v>2.1348686928413262E-2</v>
      </c>
      <c r="AC9" s="91">
        <f t="shared" si="2"/>
        <v>1.9350204317361955E-2</v>
      </c>
    </row>
    <row r="10" spans="1:29" ht="15.75" customHeight="1" x14ac:dyDescent="0.2">
      <c r="A10" s="46" t="s">
        <v>89</v>
      </c>
      <c r="B10" s="81"/>
      <c r="C10" s="81"/>
      <c r="D10" s="81"/>
      <c r="E10" s="81"/>
      <c r="F10" s="81"/>
      <c r="G10" s="81"/>
      <c r="H10" s="81"/>
      <c r="I10" s="81" t="e">
        <f>Monthly!#REF!</f>
        <v>#REF!</v>
      </c>
      <c r="J10" s="81" t="e">
        <f>Monthly!#REF!</f>
        <v>#REF!</v>
      </c>
      <c r="K10" s="81" t="e">
        <f>Monthly!#REF!</f>
        <v>#REF!</v>
      </c>
      <c r="L10" s="81" t="e">
        <f>Monthly!#REF!</f>
        <v>#REF!</v>
      </c>
      <c r="M10" s="81" t="e">
        <f>Monthly!#REF!</f>
        <v>#REF!</v>
      </c>
      <c r="N10" s="81" t="e">
        <f>Monthly!#REF!</f>
        <v>#REF!</v>
      </c>
      <c r="O10" s="81" t="e">
        <f>Monthly!#REF!</f>
        <v>#REF!</v>
      </c>
      <c r="P10" s="81" t="e">
        <f>Monthly!#REF!</f>
        <v>#REF!</v>
      </c>
      <c r="Q10" s="81" t="e">
        <f>Monthly!#REF!</f>
        <v>#REF!</v>
      </c>
      <c r="R10" s="81" t="e">
        <f>Monthly!#REF!</f>
        <v>#REF!</v>
      </c>
      <c r="S10" s="81" t="e">
        <f>Monthly!#REF!</f>
        <v>#REF!</v>
      </c>
      <c r="T10" s="81" t="e">
        <f>Monthly!#REF!</f>
        <v>#REF!</v>
      </c>
      <c r="U10" s="81" t="e">
        <f>Monthly!#REF!</f>
        <v>#REF!</v>
      </c>
      <c r="V10" s="81" t="e">
        <f>Monthly!#REF!</f>
        <v>#REF!</v>
      </c>
      <c r="W10" s="81" t="e">
        <f>Monthly!#REF!</f>
        <v>#REF!</v>
      </c>
      <c r="X10" s="81" t="e">
        <f>Monthly!#REF!</f>
        <v>#REF!</v>
      </c>
      <c r="Y10" s="81">
        <f>Monthly!S89</f>
        <v>0</v>
      </c>
      <c r="Z10" s="81">
        <f>Monthly!T89</f>
        <v>0</v>
      </c>
      <c r="AA10" s="81">
        <f>Monthly!U89</f>
        <v>0</v>
      </c>
      <c r="AB10" s="81">
        <f>Monthly!V89</f>
        <v>0</v>
      </c>
      <c r="AC10" s="81">
        <f>Monthly!W89</f>
        <v>0</v>
      </c>
    </row>
    <row r="11" spans="1:29" ht="15.75" customHeight="1" x14ac:dyDescent="0.2">
      <c r="A11" s="21" t="s">
        <v>86</v>
      </c>
      <c r="B11" s="89"/>
      <c r="C11" s="91"/>
      <c r="D11" s="91"/>
      <c r="E11" s="91"/>
      <c r="F11" s="91"/>
      <c r="G11" s="91"/>
      <c r="H11" s="91"/>
      <c r="I11" s="91" t="e">
        <f t="shared" ref="I11:X11" si="3">I10/F$7</f>
        <v>#REF!</v>
      </c>
      <c r="J11" s="91" t="e">
        <f t="shared" si="3"/>
        <v>#REF!</v>
      </c>
      <c r="K11" s="91" t="e">
        <f t="shared" si="3"/>
        <v>#REF!</v>
      </c>
      <c r="L11" s="91" t="e">
        <f t="shared" si="3"/>
        <v>#REF!</v>
      </c>
      <c r="M11" s="91" t="e">
        <f t="shared" si="3"/>
        <v>#REF!</v>
      </c>
      <c r="N11" s="91" t="e">
        <f t="shared" si="3"/>
        <v>#REF!</v>
      </c>
      <c r="O11" s="91" t="e">
        <f t="shared" si="3"/>
        <v>#REF!</v>
      </c>
      <c r="P11" s="91" t="e">
        <f t="shared" si="3"/>
        <v>#REF!</v>
      </c>
      <c r="Q11" s="91" t="e">
        <f t="shared" si="3"/>
        <v>#REF!</v>
      </c>
      <c r="R11" s="91" t="e">
        <f t="shared" si="3"/>
        <v>#REF!</v>
      </c>
      <c r="S11" s="91" t="e">
        <f t="shared" si="3"/>
        <v>#REF!</v>
      </c>
      <c r="T11" s="91" t="e">
        <f t="shared" si="3"/>
        <v>#REF!</v>
      </c>
      <c r="U11" s="91" t="e">
        <f t="shared" si="3"/>
        <v>#REF!</v>
      </c>
      <c r="V11" s="91" t="e">
        <f t="shared" si="3"/>
        <v>#REF!</v>
      </c>
      <c r="W11" s="91" t="e">
        <f t="shared" si="3"/>
        <v>#REF!</v>
      </c>
      <c r="X11" s="91" t="e">
        <f t="shared" si="3"/>
        <v>#REF!</v>
      </c>
      <c r="Y11" s="91">
        <f t="shared" ref="Y11:AC11" si="4">Y10/V9</f>
        <v>0</v>
      </c>
      <c r="Z11" s="91">
        <f t="shared" si="4"/>
        <v>0</v>
      </c>
      <c r="AA11" s="91">
        <f t="shared" si="4"/>
        <v>0</v>
      </c>
      <c r="AB11" s="91">
        <f t="shared" si="4"/>
        <v>0</v>
      </c>
      <c r="AC11" s="91">
        <f t="shared" si="4"/>
        <v>0</v>
      </c>
    </row>
    <row r="12" spans="1:29" ht="15.75" customHeight="1" x14ac:dyDescent="0.2">
      <c r="I12" s="56" t="e">
        <f t="shared" ref="I12:X12" si="5">I9/I11</f>
        <v>#REF!</v>
      </c>
      <c r="J12" s="56" t="e">
        <f t="shared" si="5"/>
        <v>#REF!</v>
      </c>
      <c r="K12" s="56" t="e">
        <f t="shared" si="5"/>
        <v>#REF!</v>
      </c>
      <c r="L12" s="56" t="e">
        <f t="shared" si="5"/>
        <v>#REF!</v>
      </c>
      <c r="M12" s="56" t="e">
        <f t="shared" si="5"/>
        <v>#REF!</v>
      </c>
      <c r="N12" s="56" t="e">
        <f t="shared" si="5"/>
        <v>#REF!</v>
      </c>
      <c r="O12" s="56" t="e">
        <f t="shared" si="5"/>
        <v>#REF!</v>
      </c>
      <c r="P12" s="56" t="e">
        <f t="shared" si="5"/>
        <v>#REF!</v>
      </c>
      <c r="Q12" s="56" t="e">
        <f t="shared" si="5"/>
        <v>#REF!</v>
      </c>
      <c r="R12" s="56" t="e">
        <f t="shared" si="5"/>
        <v>#REF!</v>
      </c>
      <c r="S12" s="56" t="e">
        <f t="shared" si="5"/>
        <v>#REF!</v>
      </c>
      <c r="T12" s="56" t="e">
        <f t="shared" si="5"/>
        <v>#REF!</v>
      </c>
      <c r="U12" s="56" t="e">
        <f t="shared" si="5"/>
        <v>#REF!</v>
      </c>
      <c r="V12" s="56" t="e">
        <f t="shared" si="5"/>
        <v>#REF!</v>
      </c>
      <c r="W12" s="56" t="e">
        <f t="shared" si="5"/>
        <v>#REF!</v>
      </c>
      <c r="X12" s="56" t="e">
        <f t="shared" si="5"/>
        <v>#REF!</v>
      </c>
    </row>
    <row r="13" spans="1:29" ht="15.75" customHeight="1" x14ac:dyDescent="0.2">
      <c r="Q13" s="99"/>
    </row>
    <row r="14" spans="1:29" ht="15.75" customHeight="1" x14ac:dyDescent="0.2">
      <c r="U14" s="46">
        <v>50</v>
      </c>
      <c r="V14" s="46">
        <v>50</v>
      </c>
      <c r="W14" s="46">
        <v>50</v>
      </c>
      <c r="X14" s="46">
        <v>50</v>
      </c>
    </row>
    <row r="15" spans="1:29" ht="15.75" customHeight="1" x14ac:dyDescent="0.2">
      <c r="A15" s="4" t="s">
        <v>92</v>
      </c>
      <c r="B15" s="101">
        <v>1.4999999999999999E-2</v>
      </c>
      <c r="U15" s="46">
        <v>70</v>
      </c>
      <c r="V15" s="46">
        <v>70</v>
      </c>
      <c r="W15" s="46">
        <v>70</v>
      </c>
      <c r="X15" s="46">
        <v>70</v>
      </c>
    </row>
    <row r="16" spans="1:29" ht="15.75" customHeight="1" x14ac:dyDescent="0.2"/>
    <row r="17" spans="21:24" ht="15.75" customHeight="1" x14ac:dyDescent="0.2">
      <c r="U17" s="102" t="e">
        <f t="shared" ref="U17:X17" si="6">U14/U$12</f>
        <v>#REF!</v>
      </c>
      <c r="V17" s="102" t="e">
        <f t="shared" si="6"/>
        <v>#REF!</v>
      </c>
      <c r="W17" s="102" t="e">
        <f t="shared" si="6"/>
        <v>#REF!</v>
      </c>
      <c r="X17" s="102" t="e">
        <f t="shared" si="6"/>
        <v>#REF!</v>
      </c>
    </row>
    <row r="18" spans="21:24" ht="15.75" customHeight="1" x14ac:dyDescent="0.2">
      <c r="U18" s="102" t="e">
        <f t="shared" ref="U18:X18" si="7">U15/U$12</f>
        <v>#REF!</v>
      </c>
      <c r="V18" s="102" t="e">
        <f t="shared" si="7"/>
        <v>#REF!</v>
      </c>
      <c r="W18" s="102" t="e">
        <f t="shared" si="7"/>
        <v>#REF!</v>
      </c>
      <c r="X18" s="102" t="e">
        <f t="shared" si="7"/>
        <v>#REF!</v>
      </c>
    </row>
    <row r="19" spans="21:24" ht="15.75" customHeight="1" x14ac:dyDescent="0.2"/>
    <row r="20" spans="21:24" ht="15.75" customHeight="1" x14ac:dyDescent="0.2"/>
    <row r="21" spans="21:24" ht="15.75" customHeight="1" x14ac:dyDescent="0.2"/>
    <row r="22" spans="21:24" ht="15.75" customHeight="1" x14ac:dyDescent="0.2"/>
    <row r="23" spans="21:24" ht="15.75" customHeight="1" x14ac:dyDescent="0.2"/>
    <row r="24" spans="21:24" ht="15.75" customHeight="1" x14ac:dyDescent="0.2"/>
    <row r="25" spans="21:24" ht="15.75" customHeight="1" x14ac:dyDescent="0.2"/>
    <row r="26" spans="21:24" ht="15.75" customHeight="1" x14ac:dyDescent="0.2"/>
    <row r="27" spans="21:24" ht="15.75" customHeight="1" x14ac:dyDescent="0.2"/>
    <row r="28" spans="21:24" ht="15.75" customHeight="1" x14ac:dyDescent="0.2"/>
    <row r="29" spans="21:24" ht="15.75" customHeight="1" x14ac:dyDescent="0.2"/>
    <row r="30" spans="21:24" ht="15.75" customHeight="1" x14ac:dyDescent="0.2"/>
    <row r="31" spans="21:24" ht="15.75" customHeight="1" x14ac:dyDescent="0.2"/>
    <row r="32" spans="21:2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1:L1000"/>
  <sheetViews>
    <sheetView showGridLines="0" workbookViewId="0"/>
  </sheetViews>
  <sheetFormatPr baseColWidth="10" defaultColWidth="11.1640625" defaultRowHeight="15" customHeight="1" x14ac:dyDescent="0.2"/>
  <cols>
    <col min="1" max="1" width="10.33203125" customWidth="1"/>
    <col min="2" max="2" width="34.33203125" customWidth="1"/>
    <col min="3" max="12" width="10.33203125" customWidth="1"/>
    <col min="13" max="26" width="11.1640625" customWidth="1"/>
  </cols>
  <sheetData>
    <row r="1" spans="2:12" ht="15.75" customHeight="1" x14ac:dyDescent="0.2"/>
    <row r="2" spans="2:12" ht="15.75" customHeight="1" x14ac:dyDescent="0.2"/>
    <row r="3" spans="2:12" ht="15.75" customHeight="1" x14ac:dyDescent="0.2"/>
    <row r="4" spans="2:12" ht="15.75" customHeight="1" x14ac:dyDescent="0.2">
      <c r="B4" s="24"/>
      <c r="C4" s="24">
        <v>45382</v>
      </c>
      <c r="D4" s="24">
        <v>45412</v>
      </c>
      <c r="E4" s="24">
        <v>45443</v>
      </c>
      <c r="F4" s="24">
        <v>45473</v>
      </c>
      <c r="G4" s="24">
        <v>45504</v>
      </c>
      <c r="H4" s="24">
        <v>45535</v>
      </c>
      <c r="I4" s="24">
        <v>45565</v>
      </c>
      <c r="J4" s="24">
        <v>45596</v>
      </c>
      <c r="K4" s="24">
        <v>45626</v>
      </c>
      <c r="L4" s="24">
        <v>45657</v>
      </c>
    </row>
    <row r="5" spans="2:12" ht="15.75" customHeight="1" x14ac:dyDescent="0.2">
      <c r="B5" s="63" t="s">
        <v>100</v>
      </c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2:12" ht="15.75" customHeight="1" x14ac:dyDescent="0.2">
      <c r="B6" s="30" t="s">
        <v>105</v>
      </c>
      <c r="C6" s="79">
        <v>717981.91</v>
      </c>
      <c r="D6" s="79">
        <v>929055.96</v>
      </c>
      <c r="E6" s="79">
        <v>1026821.97</v>
      </c>
      <c r="F6" s="79">
        <v>2445487.2000000002</v>
      </c>
      <c r="G6" s="79">
        <v>4364848.13</v>
      </c>
      <c r="H6" s="79">
        <v>3739607.25</v>
      </c>
      <c r="I6" s="79">
        <v>3108465.71</v>
      </c>
      <c r="J6" s="79">
        <v>6314378.7400000002</v>
      </c>
      <c r="K6" s="79">
        <v>5824777.5700000003</v>
      </c>
      <c r="L6" s="79">
        <v>6856615.3600000003</v>
      </c>
    </row>
    <row r="7" spans="2:12" ht="15.75" customHeight="1" x14ac:dyDescent="0.2">
      <c r="B7" s="30" t="s">
        <v>104</v>
      </c>
      <c r="C7" s="79">
        <v>492922.45</v>
      </c>
      <c r="D7" s="79">
        <v>595846.5</v>
      </c>
      <c r="E7" s="79">
        <v>925482.65</v>
      </c>
      <c r="F7" s="79">
        <v>1182546.92</v>
      </c>
      <c r="G7" s="79">
        <v>2850370.01</v>
      </c>
      <c r="H7" s="79">
        <v>3063229.91</v>
      </c>
      <c r="I7" s="79">
        <v>3068861.8</v>
      </c>
      <c r="J7" s="79">
        <v>5129026.38</v>
      </c>
      <c r="K7" s="79">
        <v>6014348.6500000004</v>
      </c>
      <c r="L7" s="79">
        <v>5888446.79</v>
      </c>
    </row>
    <row r="8" spans="2:12" ht="15.75" customHeight="1" x14ac:dyDescent="0.2">
      <c r="B8" s="30"/>
      <c r="C8" s="79"/>
      <c r="D8" s="79"/>
      <c r="E8" s="79"/>
      <c r="F8" s="79"/>
      <c r="G8" s="79"/>
      <c r="H8" s="79"/>
      <c r="I8" s="79"/>
      <c r="J8" s="79"/>
      <c r="K8" s="79"/>
      <c r="L8" s="79"/>
    </row>
    <row r="9" spans="2:12" ht="15.75" customHeight="1" x14ac:dyDescent="0.2">
      <c r="B9" s="63" t="s">
        <v>106</v>
      </c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2:12" ht="15.75" customHeight="1" x14ac:dyDescent="0.2">
      <c r="B10" s="84" t="s">
        <v>107</v>
      </c>
      <c r="C10" s="85">
        <f t="shared" ref="C10:L10" si="0">SUM(C15:C20)</f>
        <v>172672.7</v>
      </c>
      <c r="D10" s="85">
        <f t="shared" si="0"/>
        <v>172672.7</v>
      </c>
      <c r="E10" s="85">
        <f t="shared" si="0"/>
        <v>163207.70000000001</v>
      </c>
      <c r="F10" s="85">
        <f t="shared" si="0"/>
        <v>0</v>
      </c>
      <c r="G10" s="85">
        <f t="shared" si="0"/>
        <v>39928.129999999997</v>
      </c>
      <c r="H10" s="85">
        <f t="shared" si="0"/>
        <v>136060.84</v>
      </c>
      <c r="I10" s="85">
        <f t="shared" si="0"/>
        <v>197404.04</v>
      </c>
      <c r="J10" s="85">
        <f t="shared" si="0"/>
        <v>162153.71000000002</v>
      </c>
      <c r="K10" s="85">
        <f t="shared" si="0"/>
        <v>265025.43</v>
      </c>
      <c r="L10" s="85">
        <f t="shared" si="0"/>
        <v>254284.39</v>
      </c>
    </row>
    <row r="11" spans="2:12" ht="15.75" customHeight="1" x14ac:dyDescent="0.2">
      <c r="B11" s="30" t="s">
        <v>108</v>
      </c>
      <c r="C11" s="111">
        <f t="shared" ref="C11:L11" si="1">C10/C6</f>
        <v>0.24049728495248579</v>
      </c>
      <c r="D11" s="111">
        <f t="shared" si="1"/>
        <v>0.1858582339862499</v>
      </c>
      <c r="E11" s="111">
        <f t="shared" si="1"/>
        <v>0.15894449550977177</v>
      </c>
      <c r="F11" s="111">
        <f t="shared" si="1"/>
        <v>0</v>
      </c>
      <c r="G11" s="111">
        <f t="shared" si="1"/>
        <v>9.1476561866082606E-3</v>
      </c>
      <c r="H11" s="111">
        <f t="shared" si="1"/>
        <v>3.6383724520803622E-2</v>
      </c>
      <c r="I11" s="111">
        <f t="shared" si="1"/>
        <v>6.3505297602269514E-2</v>
      </c>
      <c r="J11" s="111">
        <f t="shared" si="1"/>
        <v>2.5680073476238775E-2</v>
      </c>
      <c r="K11" s="111">
        <f t="shared" si="1"/>
        <v>4.5499665320267328E-2</v>
      </c>
      <c r="L11" s="111">
        <f t="shared" si="1"/>
        <v>3.7085993110163321E-2</v>
      </c>
    </row>
    <row r="12" spans="2:12" ht="15.75" customHeight="1" x14ac:dyDescent="0.2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</row>
    <row r="13" spans="2:12" ht="15.75" customHeight="1" x14ac:dyDescent="0.2">
      <c r="B13" s="84" t="s">
        <v>111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spans="2:12" ht="15.75" customHeight="1" x14ac:dyDescent="0.2">
      <c r="B14" s="80" t="s">
        <v>112</v>
      </c>
      <c r="C14" s="79">
        <v>24914.2</v>
      </c>
      <c r="D14" s="79">
        <v>0</v>
      </c>
      <c r="E14" s="79">
        <v>0</v>
      </c>
      <c r="F14" s="79">
        <v>39928.129999999997</v>
      </c>
      <c r="G14" s="79">
        <v>207326.99</v>
      </c>
      <c r="H14" s="79">
        <v>191237.49</v>
      </c>
      <c r="I14" s="79">
        <v>37388.67</v>
      </c>
      <c r="J14" s="79">
        <v>106342.1</v>
      </c>
      <c r="K14" s="79">
        <v>148455.12</v>
      </c>
      <c r="L14" s="79">
        <v>126540.97</v>
      </c>
    </row>
    <row r="15" spans="2:12" ht="15.75" customHeight="1" x14ac:dyDescent="0.2">
      <c r="B15" s="80" t="s">
        <v>113</v>
      </c>
      <c r="C15" s="79">
        <v>0</v>
      </c>
      <c r="D15" s="79">
        <v>0</v>
      </c>
      <c r="E15" s="79">
        <v>0</v>
      </c>
      <c r="F15" s="79">
        <v>0</v>
      </c>
      <c r="G15" s="79">
        <v>39928.129999999997</v>
      </c>
      <c r="H15" s="79">
        <v>96132.71</v>
      </c>
      <c r="I15" s="79">
        <v>74910</v>
      </c>
      <c r="J15" s="79">
        <v>0</v>
      </c>
      <c r="K15" s="79">
        <v>107871.72</v>
      </c>
      <c r="L15" s="79">
        <v>24966.240000000002</v>
      </c>
    </row>
    <row r="16" spans="2:12" ht="15.75" customHeight="1" x14ac:dyDescent="0.2">
      <c r="B16" s="80" t="s">
        <v>115</v>
      </c>
      <c r="C16" s="79">
        <v>0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86065.91</v>
      </c>
      <c r="J16" s="79">
        <v>74910</v>
      </c>
      <c r="K16" s="79">
        <v>0</v>
      </c>
      <c r="L16" s="79">
        <v>90164.44</v>
      </c>
    </row>
    <row r="17" spans="2:12" ht="15.75" customHeight="1" x14ac:dyDescent="0.2">
      <c r="B17" s="80" t="s">
        <v>116</v>
      </c>
      <c r="C17" s="79">
        <v>0</v>
      </c>
      <c r="D17" s="79">
        <v>0</v>
      </c>
      <c r="E17" s="79">
        <v>0</v>
      </c>
      <c r="F17" s="79">
        <v>0</v>
      </c>
      <c r="G17" s="79">
        <v>0</v>
      </c>
      <c r="H17" s="79">
        <v>39928.129999999997</v>
      </c>
      <c r="I17" s="79">
        <v>36428.129999999997</v>
      </c>
      <c r="J17" s="79">
        <v>64811.14</v>
      </c>
      <c r="K17" s="79">
        <v>74910</v>
      </c>
      <c r="L17" s="79">
        <v>0</v>
      </c>
    </row>
    <row r="18" spans="2:12" ht="15.75" customHeight="1" x14ac:dyDescent="0.2">
      <c r="B18" s="80" t="s">
        <v>117</v>
      </c>
      <c r="C18" s="79">
        <v>0</v>
      </c>
      <c r="D18" s="79">
        <v>0</v>
      </c>
      <c r="E18" s="79">
        <v>0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63811.14</v>
      </c>
      <c r="L18" s="79">
        <v>74910</v>
      </c>
    </row>
    <row r="19" spans="2:12" ht="15.75" customHeight="1" x14ac:dyDescent="0.2">
      <c r="B19" s="80" t="s">
        <v>118</v>
      </c>
      <c r="C19" s="79">
        <v>172672.7</v>
      </c>
      <c r="D19" s="79">
        <v>172672.7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22432.57</v>
      </c>
      <c r="K19" s="79">
        <v>0</v>
      </c>
      <c r="L19" s="79">
        <v>55811.14</v>
      </c>
    </row>
    <row r="20" spans="2:12" ht="15.75" customHeight="1" x14ac:dyDescent="0.2">
      <c r="B20" s="80" t="s">
        <v>119</v>
      </c>
      <c r="C20" s="79">
        <v>0</v>
      </c>
      <c r="D20" s="79">
        <v>0</v>
      </c>
      <c r="E20" s="79">
        <v>163207.70000000001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18432.57</v>
      </c>
      <c r="L20" s="79">
        <v>8432.57</v>
      </c>
    </row>
    <row r="21" spans="2:12" ht="15.75" customHeight="1" x14ac:dyDescent="0.2">
      <c r="B21" s="80" t="s">
        <v>120</v>
      </c>
      <c r="C21" s="79">
        <v>0</v>
      </c>
      <c r="D21" s="79">
        <v>0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79">
        <v>0</v>
      </c>
      <c r="L21" s="79">
        <v>0</v>
      </c>
    </row>
    <row r="22" spans="2:12" ht="15.75" customHeight="1" x14ac:dyDescent="0.2"/>
    <row r="23" spans="2:12" ht="15.75" customHeight="1" x14ac:dyDescent="0.2"/>
    <row r="24" spans="2:12" ht="15.75" customHeight="1" x14ac:dyDescent="0.2"/>
    <row r="25" spans="2:12" ht="15.75" customHeight="1" x14ac:dyDescent="0.2">
      <c r="C25" s="86">
        <f t="shared" ref="C25:L25" si="2">SUM(C17:C19)</f>
        <v>172672.7</v>
      </c>
      <c r="D25" s="86">
        <f t="shared" si="2"/>
        <v>172672.7</v>
      </c>
      <c r="E25" s="86">
        <f t="shared" si="2"/>
        <v>0</v>
      </c>
      <c r="F25" s="86">
        <f t="shared" si="2"/>
        <v>0</v>
      </c>
      <c r="G25" s="86">
        <f t="shared" si="2"/>
        <v>0</v>
      </c>
      <c r="H25" s="86">
        <f t="shared" si="2"/>
        <v>39928.129999999997</v>
      </c>
      <c r="I25" s="86">
        <f t="shared" si="2"/>
        <v>36428.129999999997</v>
      </c>
      <c r="J25" s="86">
        <f t="shared" si="2"/>
        <v>87243.709999999992</v>
      </c>
      <c r="K25" s="86">
        <f t="shared" si="2"/>
        <v>138721.14000000001</v>
      </c>
      <c r="L25" s="86">
        <f t="shared" si="2"/>
        <v>130721.14</v>
      </c>
    </row>
    <row r="26" spans="2:12" ht="15.75" customHeight="1" x14ac:dyDescent="0.2"/>
    <row r="27" spans="2:12" ht="15.75" customHeight="1" x14ac:dyDescent="0.2"/>
    <row r="28" spans="2:12" ht="15.75" customHeight="1" x14ac:dyDescent="0.2"/>
    <row r="29" spans="2:12" ht="15.75" customHeight="1" x14ac:dyDescent="0.2"/>
    <row r="30" spans="2:12" ht="15.75" customHeight="1" x14ac:dyDescent="0.2"/>
    <row r="31" spans="2:12" ht="15.75" customHeight="1" x14ac:dyDescent="0.2"/>
    <row r="32" spans="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KPIs Definition</vt:lpstr>
      <vt:lpstr>Monthly</vt:lpstr>
      <vt:lpstr>Daily</vt:lpstr>
      <vt:lpstr>Monthly Cohorts</vt:lpstr>
      <vt:lpstr>Loan Performance</vt:lpstr>
      <vt:lpstr>2024 Delinquency</vt:lpstr>
      <vt:lpstr>ForEx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Abraham</cp:lastModifiedBy>
  <dcterms:created xsi:type="dcterms:W3CDTF">2026-03-23T00:43:10Z</dcterms:created>
  <dcterms:modified xsi:type="dcterms:W3CDTF">2026-10-27T03:12:22Z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{621F4597-3538-4076-B13E-F4509045FCB5}</vt:lpwstr>
  </property>
</Properties>
</file>