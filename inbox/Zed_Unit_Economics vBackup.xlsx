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avannah/Documents/Zed/Lender Diligence/"/>
    </mc:Choice>
  </mc:AlternateContent>
  <xr:revisionPtr revIDLastSave="0" documentId="13_ncr:1_{EE14E5E3-3DF4-1948-9199-DCBA421C7400}" xr6:coauthVersionLast="47" xr6:coauthVersionMax="47" xr10:uidLastSave="{00000000-0000-0000-0000-000000000000}"/>
  <bookViews>
    <workbookView xWindow="18240" yWindow="620" windowWidth="28160" windowHeight="15680" xr2:uid="{00000000-000D-0000-FFFF-FFFF00000000}"/>
  </bookViews>
  <sheets>
    <sheet name="Unit Economics" sheetId="2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2" l="1"/>
  <c r="D9" i="2"/>
  <c r="C29" i="2"/>
  <c r="D14" i="2"/>
  <c r="C14" i="2"/>
  <c r="C9" i="2"/>
  <c r="C24" i="2"/>
  <c r="D17" i="2" l="1"/>
  <c r="C17" i="2"/>
  <c r="C11" i="2"/>
  <c r="C30" i="2"/>
  <c r="D15" i="2"/>
  <c r="C15" i="2"/>
  <c r="C10" i="2"/>
  <c r="D10" i="2" s="1"/>
  <c r="D11" i="2" s="1"/>
  <c r="D13" i="2" s="1"/>
  <c r="C13" i="2"/>
  <c r="D18" i="2" l="1"/>
  <c r="C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Savannah Willis</author>
  </authors>
  <commentList>
    <comment ref="C29" authorId="0" shapeId="0" xr:uid="{1F25FBD7-530F-624B-9968-F51A57A41D4E}">
      <text>
        <r>
          <rPr>
            <b/>
            <sz val="10"/>
            <color rgb="FF000000"/>
            <rFont val="Tahoma"/>
            <family val="2"/>
          </rPr>
          <t>Savannah Willis: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account on file + PIN &amp; ATM + signature transactions</t>
        </r>
      </text>
    </comment>
  </commentList>
</comments>
</file>

<file path=xl/sharedStrings.xml><?xml version="1.0" encoding="utf-8"?>
<sst xmlns="http://schemas.openxmlformats.org/spreadsheetml/2006/main" count="43" uniqueCount="43">
  <si>
    <t>Contribution Margin per Active Account (monthly, USD)</t>
  </si>
  <si>
    <t>Line</t>
  </si>
  <si>
    <t>Today (June)</t>
  </si>
  <si>
    <t>Pro forma</t>
  </si>
  <si>
    <t>Note</t>
  </si>
  <si>
    <t>June monthly revenue</t>
  </si>
  <si>
    <t>June active accounts</t>
  </si>
  <si>
    <t>ARPAC (June)</t>
  </si>
  <si>
    <t>Accounts able to accrue (June)</t>
  </si>
  <si>
    <t>Pro-forma (revolving ramp)</t>
  </si>
  <si>
    <t>Target accounts revolving</t>
  </si>
  <si>
    <t>MC Discount</t>
  </si>
  <si>
    <t>Accounts able to accrue</t>
  </si>
  <si>
    <t>Gross Revenue (ARPAC)</t>
  </si>
  <si>
    <t>Net Revenue</t>
  </si>
  <si>
    <t>Gross Margin</t>
  </si>
  <si>
    <t>% Margin</t>
  </si>
  <si>
    <t>Revolving Interest Revenue</t>
  </si>
  <si>
    <t>Pro forma scales with revolving share × accrual coverage.</t>
  </si>
  <si>
    <t>Loan Loss Provision</t>
  </si>
  <si>
    <t>(-) Interest Expense</t>
  </si>
  <si>
    <t>Revolving interest income</t>
  </si>
  <si>
    <t>Interchange + installment interest + fee income</t>
  </si>
  <si>
    <t>(-) Loan Loss Provision</t>
  </si>
  <si>
    <t>No debt today</t>
  </si>
  <si>
    <t>Total i2c Cost</t>
  </si>
  <si>
    <t>Variable i2c</t>
  </si>
  <si>
    <t>Fixed i2c</t>
  </si>
  <si>
    <t>MC Variable Network Fees (Gross)</t>
  </si>
  <si>
    <t>MC Variable Transaction Fees (Gross)</t>
  </si>
  <si>
    <t>MC Fixed Network Fees (Gross)</t>
  </si>
  <si>
    <t>(-) MC + Processor Fee</t>
  </si>
  <si>
    <t>Revolvers (% of active accounts, June)</t>
  </si>
  <si>
    <t>Residual of ARPAC (interchange, installment interest, fees) held flat per account in pro forma.</t>
  </si>
  <si>
    <t>(-) Cash Back Reward</t>
  </si>
  <si>
    <t>Cash Back Inputs</t>
  </si>
  <si>
    <t>% Cash Back</t>
  </si>
  <si>
    <t>Total Settlement Volume</t>
  </si>
  <si>
    <t>PHP Settlement Volume</t>
  </si>
  <si>
    <t>USD Settlement Volume</t>
  </si>
  <si>
    <t>PHP vs. Total Purchases</t>
  </si>
  <si>
    <t>PHP</t>
  </si>
  <si>
    <t>June 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</si>
</sst>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3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70C0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top" wrapText="1"/>
    </xf>
    <xf numFmtId="0" fontId="5" fillId="4" borderId="1" xfId="0" applyFont="1" applyFill="1" applyBorder="1"/>
    <xf numFmtId="164" fontId="5" fillId="4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0" fontId="0" fillId="2" borderId="1" xfId="0" applyFill="1" applyBorder="1"/>
    <xf numFmtId="164" fontId="5" fillId="3" borderId="1" xfId="0" applyNumberFormat="1" applyFont="1" applyFill="1" applyBorder="1" applyAlignment="1">
      <alignment horizontal="right"/>
    </xf>
    <xf numFmtId="9" fontId="5" fillId="3" borderId="1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right"/>
    </xf>
    <xf numFmtId="165" fontId="7" fillId="3" borderId="1" xfId="0" applyNumberFormat="1" applyFont="1" applyFill="1" applyBorder="1" applyAlignment="1">
      <alignment horizontal="right"/>
    </xf>
    <xf numFmtId="9" fontId="7" fillId="3" borderId="1" xfId="0" applyNumberFormat="1" applyFont="1" applyFill="1" applyBorder="1" applyAlignment="1">
      <alignment horizontal="right"/>
    </xf>
    <xf numFmtId="0" fontId="8" fillId="0" borderId="2" xfId="0" applyFont="1" applyBorder="1"/>
    <xf numFmtId="9" fontId="8" fillId="0" borderId="2" xfId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165" fontId="5" fillId="3" borderId="1" xfId="0" applyNumberFormat="1" applyFont="1" applyFill="1" applyBorder="1" applyAlignment="1">
      <alignment horizontal="right"/>
    </xf>
    <xf numFmtId="0" fontId="4" fillId="0" borderId="2" xfId="0" applyFont="1" applyBorder="1"/>
    <xf numFmtId="0" fontId="12" fillId="0" borderId="0" xfId="0" applyFont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FC321DE-2636-A443-B587-3F485ED679A3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2f8332b9-f65d-484c-9120-ba1b0036a4a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DE5975E-2D96-1F48-AFF0-6A332B4C4CC7}">
  <we:reference id="wa200001456" version="3.1.1.0" store="en-US" storeType="OMEX"/>
  <we:alternateReferences>
    <we:reference id="WA200001456" version="3.1.1.0" store="WA200001456" storeType="OMEX"/>
  </we:alternateReferences>
  <we:properties>
    <we:property name="Office.DisableTrustUX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FDS</we:customFunctionIds>
        <we:customFunctionIds>FDSN</we:customFunctionIds>
        <we:customFunctionIds>FDSZ</we:customFunctionIds>
        <we:customFunctionIds>FDSB</we:customFunctionIds>
        <we:customFunctionIds>FDSC</we:customFunctionIds>
        <we:customFunctionIds>FDSR</we:customFunctionIds>
        <we:customFunctionIds>FDSRN</we:customFunctionIds>
        <we:customFunctionIds>FDSRZ</we:customFunctionIds>
        <we:customFunctionIds>FDSRB</we:customFunctionIds>
        <we:customFunctionIds>FDSRC</we:customFunctionIds>
        <we:customFunctionIds>FDSLIVE</we:customFunctionIds>
        <we:customFunctionIds>FactSetLive.RTDFunction.1.FDSLIVE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9FC53D68-01A9-BC4F-B695-FD22C6504937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39bdf899-cba3-4b99-8665-ba00d5b471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2"/>
  <sheetViews>
    <sheetView showGridLines="0" tabSelected="1" zoomScale="120" zoomScaleNormal="120" workbookViewId="0">
      <selection activeCell="B8" sqref="B8"/>
    </sheetView>
  </sheetViews>
  <sheetFormatPr baseColWidth="10" defaultColWidth="8.83203125" defaultRowHeight="15" x14ac:dyDescent="0.2"/>
  <cols>
    <col min="2" max="2" width="33.5" customWidth="1"/>
    <col min="3" max="4" width="14" customWidth="1"/>
    <col min="5" max="5" width="52" customWidth="1"/>
  </cols>
  <sheetData>
    <row r="2" spans="2:5" ht="18" x14ac:dyDescent="0.2">
      <c r="B2" s="1" t="s">
        <v>0</v>
      </c>
    </row>
    <row r="4" spans="2:5" x14ac:dyDescent="0.2">
      <c r="B4" s="23" t="s">
        <v>35</v>
      </c>
      <c r="C4" s="24"/>
      <c r="D4" s="22"/>
    </row>
    <row r="5" spans="2:5" x14ac:dyDescent="0.2">
      <c r="B5" s="3" t="s">
        <v>36</v>
      </c>
      <c r="C5" s="15">
        <v>0.02</v>
      </c>
      <c r="D5" s="22"/>
    </row>
    <row r="6" spans="2:5" x14ac:dyDescent="0.2">
      <c r="B6" s="3" t="s">
        <v>40</v>
      </c>
      <c r="C6" s="14" t="s">
        <v>41</v>
      </c>
      <c r="D6" s="22"/>
    </row>
    <row r="7" spans="2:5" x14ac:dyDescent="0.2">
      <c r="C7" s="22"/>
      <c r="D7" s="22"/>
    </row>
    <row r="8" spans="2:5" x14ac:dyDescent="0.2">
      <c r="B8" s="2" t="s">
        <v>1</v>
      </c>
      <c r="C8" s="2" t="s">
        <v>2</v>
      </c>
      <c r="D8" s="2" t="s">
        <v>3</v>
      </c>
      <c r="E8" s="2" t="s">
        <v>4</v>
      </c>
    </row>
    <row r="9" spans="2:5" x14ac:dyDescent="0.2">
      <c r="B9" s="3" t="s">
        <v>21</v>
      </c>
      <c r="C9" s="4">
        <f>$C$23/$C$22</f>
        <v>1.6110535284094247</v>
      </c>
      <c r="D9" s="4">
        <f>($C$23/$C$22)*($C$39/$C$25)*($C$40/$C$26)</f>
        <v>6.7596651541654174</v>
      </c>
      <c r="E9" s="5" t="s">
        <v>18</v>
      </c>
    </row>
    <row r="10" spans="2:5" ht="29" x14ac:dyDescent="0.2">
      <c r="B10" s="19" t="s">
        <v>22</v>
      </c>
      <c r="C10" s="4">
        <f>C11-C9</f>
        <v>6.4085269404782892</v>
      </c>
      <c r="D10" s="4">
        <f>C10</f>
        <v>6.4085269404782892</v>
      </c>
      <c r="E10" s="5" t="s">
        <v>33</v>
      </c>
    </row>
    <row r="11" spans="2:5" x14ac:dyDescent="0.2">
      <c r="B11" s="6" t="s">
        <v>13</v>
      </c>
      <c r="C11" s="7">
        <f>$C$24</f>
        <v>8.0195804688877139</v>
      </c>
      <c r="D11" s="7">
        <f>D9+D10</f>
        <v>13.168192094643707</v>
      </c>
      <c r="E11" s="5"/>
    </row>
    <row r="12" spans="2:5" x14ac:dyDescent="0.2">
      <c r="B12" s="3" t="s">
        <v>20</v>
      </c>
      <c r="C12" s="18">
        <v>0</v>
      </c>
      <c r="D12" s="18">
        <v>0</v>
      </c>
      <c r="E12" s="5" t="s">
        <v>24</v>
      </c>
    </row>
    <row r="13" spans="2:5" x14ac:dyDescent="0.2">
      <c r="B13" s="6" t="s">
        <v>14</v>
      </c>
      <c r="C13" s="7">
        <f>C11+C12</f>
        <v>8.0195804688877139</v>
      </c>
      <c r="D13" s="7">
        <f>D11+D12</f>
        <v>13.168192094643707</v>
      </c>
      <c r="E13" s="5"/>
    </row>
    <row r="14" spans="2:5" x14ac:dyDescent="0.2">
      <c r="B14" s="3" t="s">
        <v>23</v>
      </c>
      <c r="C14" s="4">
        <f>$C$27/$C$22*-1</f>
        <v>-3.9235959809624541</v>
      </c>
      <c r="D14" s="4">
        <f>$C$27/$C$22*-1</f>
        <v>-3.9235959809624541</v>
      </c>
      <c r="E14" s="5"/>
    </row>
    <row r="15" spans="2:5" x14ac:dyDescent="0.2">
      <c r="B15" s="3" t="s">
        <v>31</v>
      </c>
      <c r="C15" s="4">
        <f>$C$29/$C$22*-1</f>
        <v>-2.1203081967213113</v>
      </c>
      <c r="D15" s="4">
        <f>$C$29/$C$22*-1</f>
        <v>-2.1203081967213113</v>
      </c>
      <c r="E15" s="5"/>
    </row>
    <row r="16" spans="2:5" x14ac:dyDescent="0.2">
      <c r="B16" s="3" t="s">
        <v>34</v>
      </c>
      <c r="C16" s="4"/>
      <c r="D16" s="4"/>
      <c r="E16" s="5"/>
    </row>
    <row r="17" spans="2:5" x14ac:dyDescent="0.2">
      <c r="B17" s="6" t="s">
        <v>15</v>
      </c>
      <c r="C17" s="7">
        <f>C13+C14+C15+C16</f>
        <v>1.9756762912039485</v>
      </c>
      <c r="D17" s="7">
        <f>D13+D14+D15+D16</f>
        <v>7.1242879169599433</v>
      </c>
      <c r="E17" s="5"/>
    </row>
    <row r="18" spans="2:5" x14ac:dyDescent="0.2">
      <c r="B18" s="16" t="s">
        <v>16</v>
      </c>
      <c r="C18" s="17">
        <f>C17/C13</f>
        <v>0.24635656427024635</v>
      </c>
      <c r="D18" s="17">
        <f>D17/D13</f>
        <v>0.54102247793437175</v>
      </c>
      <c r="E18" s="12"/>
    </row>
    <row r="20" spans="2:5" x14ac:dyDescent="0.2">
      <c r="B20" s="8" t="s">
        <v>42</v>
      </c>
      <c r="C20" s="9"/>
    </row>
    <row r="21" spans="2:5" x14ac:dyDescent="0.2">
      <c r="B21" s="3" t="s">
        <v>5</v>
      </c>
      <c r="C21" s="14">
        <v>61149.301075268813</v>
      </c>
    </row>
    <row r="22" spans="2:5" x14ac:dyDescent="0.2">
      <c r="B22" s="3" t="s">
        <v>6</v>
      </c>
      <c r="C22" s="13">
        <v>7625</v>
      </c>
    </row>
    <row r="23" spans="2:5" x14ac:dyDescent="0.2">
      <c r="B23" s="3" t="s">
        <v>17</v>
      </c>
      <c r="C23" s="14">
        <v>12284.283154121864</v>
      </c>
    </row>
    <row r="24" spans="2:5" x14ac:dyDescent="0.2">
      <c r="B24" s="3" t="s">
        <v>7</v>
      </c>
      <c r="C24" s="10">
        <f>C21/C22</f>
        <v>8.0195804688877139</v>
      </c>
    </row>
    <row r="25" spans="2:5" x14ac:dyDescent="0.2">
      <c r="B25" s="3" t="s">
        <v>32</v>
      </c>
      <c r="C25" s="15">
        <v>0.13</v>
      </c>
    </row>
    <row r="26" spans="2:5" x14ac:dyDescent="0.2">
      <c r="B26" s="3" t="s">
        <v>8</v>
      </c>
      <c r="C26" s="15">
        <v>0.55000000000000004</v>
      </c>
    </row>
    <row r="27" spans="2:5" x14ac:dyDescent="0.2">
      <c r="B27" s="3" t="s">
        <v>19</v>
      </c>
      <c r="C27" s="14">
        <v>29917.419354838712</v>
      </c>
    </row>
    <row r="28" spans="2:5" x14ac:dyDescent="0.2">
      <c r="B28" s="3" t="s">
        <v>25</v>
      </c>
      <c r="C28" s="14">
        <v>43157.39</v>
      </c>
    </row>
    <row r="29" spans="2:5" x14ac:dyDescent="0.2">
      <c r="B29" s="3" t="s">
        <v>26</v>
      </c>
      <c r="C29" s="14">
        <f>9969.16+0.42+6197.77</f>
        <v>16167.35</v>
      </c>
    </row>
    <row r="30" spans="2:5" x14ac:dyDescent="0.2">
      <c r="B30" s="3" t="s">
        <v>27</v>
      </c>
      <c r="C30" s="20">
        <f>C28-C29</f>
        <v>26990.04</v>
      </c>
    </row>
    <row r="31" spans="2:5" x14ac:dyDescent="0.2">
      <c r="B31" s="3" t="s">
        <v>29</v>
      </c>
      <c r="C31" s="14">
        <v>12875.194982078854</v>
      </c>
    </row>
    <row r="32" spans="2:5" x14ac:dyDescent="0.2">
      <c r="B32" s="3" t="s">
        <v>28</v>
      </c>
      <c r="C32" s="14">
        <v>22464.168116145083</v>
      </c>
    </row>
    <row r="33" spans="2:3" x14ac:dyDescent="0.2">
      <c r="B33" s="3" t="s">
        <v>30</v>
      </c>
      <c r="C33" s="14">
        <v>48848.142278120155</v>
      </c>
    </row>
    <row r="34" spans="2:3" x14ac:dyDescent="0.2">
      <c r="B34" s="3" t="s">
        <v>11</v>
      </c>
      <c r="C34" s="14">
        <v>43290.623835125458</v>
      </c>
    </row>
    <row r="35" spans="2:3" x14ac:dyDescent="0.2">
      <c r="B35" s="3" t="s">
        <v>38</v>
      </c>
      <c r="C35" s="14">
        <v>1520355.9818996417</v>
      </c>
    </row>
    <row r="36" spans="2:3" x14ac:dyDescent="0.2">
      <c r="B36" s="3" t="s">
        <v>39</v>
      </c>
      <c r="C36" s="14">
        <v>937457.43</v>
      </c>
    </row>
    <row r="37" spans="2:3" x14ac:dyDescent="0.2">
      <c r="B37" s="3" t="s">
        <v>37</v>
      </c>
      <c r="C37" s="20">
        <f>SUM(C35:C36)</f>
        <v>2457813.4118996416</v>
      </c>
    </row>
    <row r="38" spans="2:3" x14ac:dyDescent="0.2">
      <c r="B38" s="8" t="s">
        <v>9</v>
      </c>
      <c r="C38" s="9"/>
    </row>
    <row r="39" spans="2:3" x14ac:dyDescent="0.2">
      <c r="B39" s="3" t="s">
        <v>10</v>
      </c>
      <c r="C39" s="15">
        <v>0.3</v>
      </c>
    </row>
    <row r="40" spans="2:3" x14ac:dyDescent="0.2">
      <c r="B40" s="3" t="s">
        <v>12</v>
      </c>
      <c r="C40" s="11">
        <v>1</v>
      </c>
    </row>
    <row r="42" spans="2:3" x14ac:dyDescent="0.2">
      <c r="B42" s="21"/>
    </row>
  </sheetData>
  <mergeCells count="1">
    <mergeCell ref="B4:C4"/>
  </mergeCells>
  <dataValidations count="1">
    <dataValidation type="list" allowBlank="1" showInputMessage="1" showErrorMessage="1" sqref="C6" xr:uid="{C49FFFCE-50C6-D84C-90AA-EFB9D1A810F4}">
      <formula1>"PHP,Total"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Willis, Savannah</cp:lastModifiedBy>
  <dcterms:created xsi:type="dcterms:W3CDTF">2026-07-31T21:02:59Z</dcterms:created>
  <dcterms:modified xsi:type="dcterms:W3CDTF">2026-08-13T23:17:27Z</dcterms:modified>
</cp:coreProperties>
</file>