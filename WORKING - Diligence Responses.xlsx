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stevenabraham/apps/zed/debt_dd/"/>
    </mc:Choice>
  </mc:AlternateContent>
  <xr:revisionPtr revIDLastSave="0" documentId="13_ncr:1_{6069CA25-25FC-FE4B-94EF-3A3CFE2B00B0}" xr6:coauthVersionLast="47" xr6:coauthVersionMax="47" xr10:uidLastSave="{00000000-0000-0000-0000-000000000000}"/>
  <bookViews>
    <workbookView xWindow="-50780" yWindow="-9160" windowWidth="36020" windowHeight="18880" xr2:uid="{00000000-000D-0000-FFFF-FFFF00000000}"/>
  </bookViews>
  <sheets>
    <sheet name="Working" sheetId="1" r:id="rId1"/>
    <sheet name="Closed (referenc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<sst xmlns="http://schemas.openxmlformats.org/spreadsheetml/2006/main" count="167" uniqueCount="145">
  <si>
    <t>ID</t>
  </si>
  <si>
    <t>Topic</t>
  </si>
  <si>
    <t>Status</t>
  </si>
  <si>
    <t>Question</t>
  </si>
  <si>
    <t>Response (edit me — your text wins)</t>
  </si>
  <si>
    <t>Verdict</t>
  </si>
  <si>
    <t>Notes to Claude</t>
  </si>
  <si>
    <t>Claude's internal context (won't be sent)</t>
  </si>
  <si>
    <t>6.1</t>
  </si>
  <si>
    <t>Installment purchase — economics walkthrough</t>
  </si>
  <si>
    <t>Drafted</t>
  </si>
  <si>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</si>
  <si>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</si>
  <si>
    <t>6.2</t>
  </si>
  <si>
    <t>Installment purchase — flow of funds</t>
  </si>
  <si>
    <t>1 (cont.): Plus the flow of funds: who pays whom, when, and which entity each flow lands in.</t>
  </si>
  <si>
    <t>See the Installment Funds Flow diagram in Data Room / Product.</t>
  </si>
  <si>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</si>
  <si>
    <t>7</t>
  </si>
  <si>
    <t>Revolver and pay-in-full — economics walkthrough</t>
  </si>
  <si>
    <t>2. Do the same walkthrough for a revolving balance and for a pay-in-full statement, so we can see how the three products differ economically.</t>
  </si>
  <si>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</si>
  <si>
    <t>8</t>
  </si>
  <si>
    <t>"Installment fees" field definition</t>
  </si>
  <si>
    <t>Open</t>
  </si>
  <si>
    <t>3. Define what the "installment fees" field in the tape contains: the upfront origination fee, the monthly add-on interest, or both combined.</t>
  </si>
  <si>
    <t>To be provided.</t>
  </si>
  <si>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</si>
  <si>
    <t>9.1</t>
  </si>
  <si>
    <t>Fee schedule — rates and formula</t>
  </si>
  <si>
    <t>4. Confirm the fee schedule: add-on rate by tenor, and the origination fee formula. We have been told 0.5% × number of months (3% on a 6-month term). Confirm or correct.</t>
  </si>
  <si>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</si>
  <si>
    <t>9.2</t>
  </si>
  <si>
    <t>Fee schedule — netted vs financed</t>
  </si>
  <si>
    <t>4 (cont.): Is the fee netted from the disbursement or financed into the balance?</t>
  </si>
  <si>
    <t>Fund email 2026-08-26, bullet 4. See 9.1's verification note.</t>
  </si>
  <si>
    <t>9.3</t>
  </si>
  <si>
    <t>Fee schedule — prepayment refund and interest rebate</t>
  </si>
  <si>
    <t>4 (cont.): Is it refundable on prepayment, and is unearned add-on interest rebated?</t>
  </si>
  <si>
    <t>Fund email 2026-08-26, bullet 4. Cancellation mechanics per Steve's 6.1 walkthrough; consistent with the funds-flow diagram footnote.</t>
  </si>
  <si>
    <t>10</t>
  </si>
  <si>
    <t>Revenue fields absent from the tape</t>
  </si>
  <si>
    <t>5. The tape shows late fees and installment fees but no interchange, no annual fee, no upfront fee, no cash advance fee, etc. Is that because those revenues do not attach to the receivable, or because they were excluded from the extract?</t>
  </si>
  <si>
    <t>Fund email 2026-08-26, bullet 5. Ties to 8 — answer both together once the extract's contents are confirmed.</t>
  </si>
  <si>
    <t>11</t>
  </si>
  <si>
    <t>Net interchange as % of GMV</t>
  </si>
  <si>
    <t>6. What is your net interchange as a percentage of GMV for the last six months (if possible, split domestic vs international)?</t>
  </si>
  <si>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</si>
  <si>
    <t>12.1</t>
  </si>
  <si>
    <t>BSP ceilings — headroom confirmation</t>
  </si>
  <si>
    <t>7. Both your revolving rate (3%/month) and installment add-on (1%/month) sit exactly at the BSP ceilings. Confirm there is no pricing headroom.</t>
  </si>
  <si>
    <t>Fund email 2026-08-26, bullet 7 (confirmation half). Rates verified (1.2 as sent; installment tape per METHODS.md); on the 8/12 call we already told them "all at regulatory maximums" (3%/mo ≈ 36.5% APR), so "confirmed" is consistent.</t>
  </si>
  <si>
    <t>12.2</t>
  </si>
  <si>
    <t>BSP ceilings — cut sensitivity</t>
  </si>
  <si>
    <t>7 (cont.): …and tell us what happens to program economics if BSP cuts the ceiling at a semiannual review.</t>
  </si>
  <si>
    <t>[Steve: the sensitivity answer — impact on program economics of a ceiling cut, and any mitigants (fee mix, funding cost, underwriting).]</t>
  </si>
  <si>
    <t>Fund email 2026-08-26, bullet 7 (sensitivity half). The headroom/sensitivity narrative is strategy — Steve's voice required. Consider whether the unit econ pro forma should be the quantitative backbone of the answer.</t>
  </si>
  <si>
    <t>13.1</t>
  </si>
  <si>
    <t>Loss figure — basis and denominator</t>
  </si>
  <si>
    <t>8. What's the basis for the ~2% loss figure provided (30+/90+ DPD, annualized NCL, cumulative) and its denominator?</t>
  </si>
  <si>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</si>
  <si>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</si>
  <si>
    <t>13.2</t>
  </si>
  <si>
    <t>Charge-off policy and changes since launch</t>
  </si>
  <si>
    <t>8 (cont.): We'd also appreciate your charge-off policy in DPD, and any change to it since launch.</t>
  </si>
  <si>
    <t>Per our ECL policy we provision 100% at 180+ DPD; we have not yet formally written off balances while we stand up the collections-substantiation and BIR documentation required, and the policy is unchanged since launch.</t>
  </si>
  <si>
    <t>Fund email 2026-08-26, bullet 8 (policy half). Drafted 2026-09-01 from the 8/12 call context; review wording with Steve before approving.</t>
  </si>
  <si>
    <t>13.3</t>
  </si>
  <si>
    <t>Restructures and re-aging</t>
  </si>
  <si>
    <t>8 (cont.): …and your approach to restructures/re-aging.</t>
  </si>
  <si>
    <t>Re-aging to Current requires all arrears cleared. [Steve: whether any restructure program exists.]</t>
  </si>
  <si>
    <t>Fund email 2026-08-26, bullet 8 (restructures half). Restructure-program existence is unconfirmed — do not answer without Steve.</t>
  </si>
  <si>
    <t>Response as sent</t>
  </si>
  <si>
    <t>Delivered</t>
  </si>
  <si>
    <t>1.1</t>
  </si>
  <si>
    <t>Launch date</t>
  </si>
  <si>
    <t>Launch date for revolving credit?</t>
  </si>
  <si>
    <t>May 25th; first statement end dates with minimum balances due were June 1 and June 15.</t>
  </si>
  <si>
    <t>response sheet 2026-08-05</t>
  </si>
  <si>
    <t>1.2</t>
  </si>
  <si>
    <t>APR, minimum payment and eligibility</t>
  </si>
  <si>
    <t>Target APR, minimum payment formula, and eligibility criteria at launch. Does the full book qualify on day one, or selected cohorts/score bands only?</t>
  </si>
  <si>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</si>
  <si>
    <t>1.3</t>
  </si>
  <si>
    <t>Adoption / balance mix</t>
  </si>
  <si>
    <t>Expected share of balances revolving at month 6 and month 12 post-launch?</t>
  </si>
  <si>
    <t>~23% of the base is revolving as of July. We expect the share of revolvers will rise over the next year and we are tracking it closely</t>
  </si>
  <si>
    <t>1.4</t>
  </si>
  <si>
    <t>Provisioning and delinquency treatment</t>
  </si>
  <si>
    <t>Provisioning approach for revolving balances, and how the credit policy treats a revolver that subsequently goes delinquent (limit freeze, re-age rules, minimum-payment escalation).</t>
  </si>
  <si>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</si>
  <si>
    <t>2.1</t>
  </si>
  <si>
    <t>Installment fee economics and cancellations</t>
  </si>
  <si>
    <t>Installments are 18.2% of the June 30 book at a ~7.2% blended fee on volume, with ~11% of originated volume cancelled. Term distribution behind the blended fee, and fee treatment on cancellation (refunded or retained)?</t>
  </si>
  <si>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</si>
  <si>
    <t>response sheet 2026-08-05, with `Statement Tape_20260630_vF.xlsx` attached via email</t>
  </si>
  <si>
    <t>2.2</t>
  </si>
  <si>
    <t>Plan mechanics and performance</t>
  </si>
  <si>
    <t>The June 30 tape shows every account with a live installment balance as Current — we assume plans are cancelled or accelerated into the statement balance on delinquency. Confirm the mechanics, and provide delinquency and loss performance on a plan-level basis.</t>
  </si>
  <si>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</si>
  <si>
    <t>response sheet 2026-08-05; the promised plan-level detail delivered as the installment tape, email 2026-08-21 (see 5.2)</t>
  </si>
  <si>
    <t>2.3</t>
  </si>
  <si>
    <t>Unit economics</t>
  </si>
  <si>
    <t>Unit economics per active account today (interchange, installment fees, late fees, less credit cost and processing cost), and the same view pro forma with revolving at your base-case adoption.</t>
  </si>
  <si>
    <t>See attached for current and PF unit economics.</t>
  </si>
  <si>
    <t>response sheet 2026-08-05, with `Zed Unit Economics_vF.xlsx` attached via email (non-standard request → email, not data room)</t>
  </si>
  <si>
    <t>3.1</t>
  </si>
  <si>
    <t>Cohort delinquency drivers and target losses</t>
  </si>
  <si>
    <t>2024Q3–2025Q2 cohorts show 10–25% of accounts ever reaching 90+ DPD — high for a prime positioning. What drove this, what changed, and what is the target loss rate for 2026 vintages at the re-leveled limits?</t>
  </si>
  <si>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</si>
  <si>
    <t>3.2</t>
  </si>
  <si>
    <t>Limit re-leveling guardrails</t>
  </si>
  <si>
    <t>Credit limit re-leveling raised the median limit from PHP 35K to PHP 50K in March 2026. What guardrails cap exposure growth for accounts with limited payment history, and how will limits interact with revolving eligibility?</t>
  </si>
  <si>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</si>
  <si>
    <t>4.1</t>
  </si>
  <si>
    <t>Charge-off policy</t>
  </si>
  <si>
    <t>The June 30 tape carries PHP 11.1M of 180+ DPD with no write-off. What is the charge-off policy (we would expect write-off at 180 DPD), and when will a written policy be adopted?</t>
  </si>
  <si>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</si>
  <si>
    <t>4.2</t>
  </si>
  <si>
    <t>Recoveries</t>
  </si>
  <si>
    <t>Recoveries achieved on 90+ DPD balances to date?</t>
  </si>
  <si>
    <t>Provided — see the "90+ Recovery Summary" tab added to the statement tape, with trace-back columns on the original tape so the derivation is auditable.</t>
  </si>
  <si>
    <t>email 2026-08-11 (Katz acknowledged receipt same day)</t>
  </si>
  <si>
    <t>5.1</t>
  </si>
  <si>
    <t>Payment-level tape</t>
  </si>
  <si>
    <t>Per transaction/payment: full payment-level tape (charge date, payment date, amount) for all accounts since inception — transactions and payments, not statement summaries.</t>
  </si>
  <si>
    <t>To discuss.</t>
  </si>
  <si>
    <t>"To discuss" sent in the 8/5 response sheet; resolved on the 2026-08-12 call</t>
  </si>
  <si>
    <t>5.2</t>
  </si>
  <si>
    <t>Installment plan tape</t>
  </si>
  <si>
    <t>Per installment plan: plan ID, origination date, term, fee, status, cancellation/acceleration date and reason.</t>
  </si>
  <si>
    <t>Provided — plan-level installment tape (plan ID, opt-in date, tenure, upfront fee, monthly interest, status by month, termination date/source), also in Data Room / Loan Tape.</t>
  </si>
  <si>
    <t>email 2026-08-21 ("close out the last open item on our side (5.2)"); `Installment Tape_20260814.xlsx` in Data Room / Loan Tape</t>
  </si>
  <si>
    <t>5.3</t>
  </si>
  <si>
    <t>Cohort performance file</t>
  </si>
  <si>
    <t>Per cohort: monthly origination, outstanding, and cumulative gross/net loss by MOB, split purchase vs. installment.</t>
  </si>
  <si>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</si>
  <si>
    <t>At the swipe, Zed earns interchange on these purchases like any other pruchase (net interchange economics covered in 11). In fact, because purchases are enrolled in installments post purchase, there is no way to distinguish purchases that will ultimately be enrolled in installments and those that won't at the time of the swipe. Our installment feature works much like AmEx's "Pay Over Time": after a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respectively.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</si>
  <si>
    <r>
      <t xml:space="preserve">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but it's no longer required. So the walkthrough below covers our sole card product, a revolving credit card with an installment feature.
Interchange: as in 6.1, every purchase earns Zed interchange at the swipe — payment behavior plays out afterwards and never changes the transaction-level economics.
</t>
    </r>
    <r>
      <rPr>
        <b/>
        <u/>
        <sz val="11"/>
        <color theme="1"/>
        <rFont val="Calibri (Body)"/>
      </rPr>
      <t>How revolving works</t>
    </r>
    <r>
      <rPr>
        <sz val="11"/>
        <color theme="1"/>
        <rFont val="Calibri"/>
        <family val="2"/>
        <scheme val="minor"/>
      </rPr>
      <t xml:space="preserve">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loses the grace period.
What interest is charged on: only balances that have been billed on a statement. Purchases made during the current cycle have not been billed yet, so they accrue no interest while the cycle is running — they become interest-bearing only once they appear on a statement that then isn't paid in full.
When interest starts: on the statement day, not the due date. For a cardholder who has already lost their grace period, each statement's unpaid balance starts accruing daily interest from the day the statement is generated. Just as important: in the very cycle where the grace period is lost, interest is applied back to the last statement day — a cardholder who pays less than the full balance at the due date is charged daily interest counted from the day that statement was generated, not from the day they underpaid.
How the daily math works: 3% per month is applied as 0.1% per day (30-day banking standard, so a 31-day month accrues 3.1% and a 28-day month 2.8%) on each day's outstanding billed balance, and payments reduce that balance the day they post. Example: a cardholder who has lost their grace period carries a ₱1,000 statement balance and pays ₱250 on day 11;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r>
  </si>
  <si>
    <t>Installment fees in the tape include upfront fees and the "termination fee". Just to reiterate, to the user, "termination fees" are actually just an accelerated billing of the final (i.e. cancellation cycle's) interest. They don't see it as a "termination fee", but rather final period interest. Unfortunately, per our ledger/system of record, we have to classify these as fees rather than interest. You should find even more detail about the installment charges in the installment tape that we provided, where we break out every installment plan and associated fees.</t>
  </si>
  <si>
    <t xml:space="preserve">Confirmed. The upfront fee is 0.5% × term months (1.5% for 3-month, 3% for 6-month, 6% for 12-month terms). The add-on rate is 1% of original principal per month, so by the end of the term, customers will pay 3% for a 3-month, 6% for 6-month, 12% for 12-month terms. The difference is that the upfront fee is billed entirely in the enrollment/first cycle and the add-on rate is billed each cycle of the term at the 1% times original principal amount. </t>
  </si>
  <si>
    <t>There is no cash disbursement — an installment plan converts an existing card purchase — so nothing is netted: the upfront fee is charged to the account and billed on the first statement.</t>
  </si>
  <si>
    <t>If a plan is terminated in the first month, the upfront fee is reversed and no termination fee applies; after the first month, the upfront fee is retained and a termination fee equal to the current month's interest is charged. Add-on interest is billed monthly only while the plan is active, so unearned interest for remaining months is never charged (no rebate needed). 
Prepayment cannot be done automatically. A user must explicitly end/cancel a plan, all billing of the remaining principal will be accelerated and the termination fee (final period interest) will be applied if it's any cycle other than the enrollment cycle.</t>
  </si>
  <si>
    <t>Interchange is earned on the merchant/network side of each transaction and never posts to the cardholder account, so it does not appear in a receivables tape. Zed does not charge annual fees nor do we allow cash advances. Late fees, installment enrollment upfront fees and installment termination fees (i.e. final period interest) are the only fees that Zed charges.</t>
  </si>
  <si>
    <t xml:space="preserve">Confirmed — our revolving rate is 3% per month and the installment add-on is 1% per month, at the current BSP ceilings. That being said, Zed, other issuers and the Credit Card Association of the Philippines (CCAP) are all actively involved in discussions with the BSP around the re-evaluation of the current interest rate caps.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</si>
</sst>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b/>
      <u/>
      <sz val="11"/>
      <color theme="1"/>
      <name val="Calibri (Body)"/>
    </font>
  </fonts>
  <fills count="4">
    <fill>
      <patternFill patternType="none"/>
    </fill>
    <fill>
      <patternFill patternType="gray125"/>
    </fill>
    <fill>
      <patternFill patternType="solid">
        <fgColor rgb="FF1F2937"/>
      </patternFill>
    </fill>
    <fill>
      <patternFill patternType="solid">
        <fgColor rgb="FFFFF7DE"/>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tabSelected="1" workbookViewId="0">
      <pane ySplit="1" topLeftCell="A9" activePane="bottomLeft" state="frozen"/>
      <selection pane="bottomLeft" activeCell="A11" sqref="A11"/>
    </sheetView>
  </sheetViews>
  <sheetFormatPr baseColWidth="10" defaultColWidth="8.83203125" defaultRowHeight="15" x14ac:dyDescent="0.2"/>
  <cols>
    <col min="1" max="1" width="7" customWidth="1"/>
    <col min="2" max="2" width="26" customWidth="1"/>
    <col min="3" max="3" width="10" customWidth="1"/>
    <col min="4" max="4" width="45" customWidth="1"/>
    <col min="5" max="5" width="126.6640625" customWidth="1"/>
    <col min="6" max="6" width="24" customWidth="1"/>
    <col min="7" max="7" width="40" customWidth="1"/>
    <col min="8" max="8" width="45" customWidth="1"/>
  </cols>
  <sheetData>
    <row r="1" spans="1:8" x14ac:dyDescent="0.2">
      <c r="A1" s="1" t="s">
        <v>0</v>
      </c>
      <c r="B1" s="1" t="s">
        <v>1</v>
      </c>
      <c r="C1" s="1" t="s">
        <v>2</v>
      </c>
      <c r="D1" s="1" t="s">
        <v>3</v>
      </c>
      <c r="E1" s="1" t="s">
        <v>4</v>
      </c>
      <c r="F1" s="1" t="s">
        <v>5</v>
      </c>
      <c r="G1" s="1" t="s">
        <v>6</v>
      </c>
      <c r="H1" s="1" t="s">
        <v>7</v>
      </c>
    </row>
    <row r="2" spans="1:8" ht="240" x14ac:dyDescent="0.2">
      <c r="A2" s="2" t="s">
        <v>8</v>
      </c>
      <c r="B2" s="2" t="s">
        <v>9</v>
      </c>
      <c r="C2" s="2" t="s">
        <v>10</v>
      </c>
      <c r="D2" s="2" t="s">
        <v>11</v>
      </c>
      <c r="E2" s="3" t="s">
        <v>137</v>
      </c>
      <c r="F2" s="3"/>
      <c r="G2" s="3"/>
      <c r="H2" s="2" t="s">
        <v>12</v>
      </c>
    </row>
    <row r="3" spans="1:8" ht="144" x14ac:dyDescent="0.2">
      <c r="A3" s="2" t="s">
        <v>13</v>
      </c>
      <c r="B3" s="2" t="s">
        <v>14</v>
      </c>
      <c r="C3" s="2" t="s">
        <v>10</v>
      </c>
      <c r="D3" s="2" t="s">
        <v>15</v>
      </c>
      <c r="E3" s="3" t="s">
        <v>16</v>
      </c>
      <c r="F3" s="3"/>
      <c r="G3" s="3"/>
      <c r="H3" s="2" t="s">
        <v>17</v>
      </c>
    </row>
    <row r="4" spans="1:8" ht="409.6" x14ac:dyDescent="0.2">
      <c r="A4" s="2" t="s">
        <v>18</v>
      </c>
      <c r="B4" s="2" t="s">
        <v>19</v>
      </c>
      <c r="C4" s="2" t="s">
        <v>10</v>
      </c>
      <c r="D4" s="2" t="s">
        <v>20</v>
      </c>
      <c r="E4" s="3" t="s">
        <v>138</v>
      </c>
      <c r="F4" s="3"/>
      <c r="G4" s="3"/>
      <c r="H4" s="2" t="s">
        <v>21</v>
      </c>
    </row>
    <row r="5" spans="1:8" ht="112" x14ac:dyDescent="0.2">
      <c r="A5" s="2" t="s">
        <v>22</v>
      </c>
      <c r="B5" s="2" t="s">
        <v>23</v>
      </c>
      <c r="C5" s="2" t="s">
        <v>24</v>
      </c>
      <c r="D5" s="2" t="s">
        <v>25</v>
      </c>
      <c r="E5" s="3" t="s">
        <v>139</v>
      </c>
      <c r="F5" s="3"/>
      <c r="G5" s="3"/>
      <c r="H5" s="2" t="s">
        <v>27</v>
      </c>
    </row>
    <row r="6" spans="1:8" ht="112" x14ac:dyDescent="0.2">
      <c r="A6" s="2" t="s">
        <v>28</v>
      </c>
      <c r="B6" s="2" t="s">
        <v>29</v>
      </c>
      <c r="C6" s="2" t="s">
        <v>10</v>
      </c>
      <c r="D6" s="2" t="s">
        <v>30</v>
      </c>
      <c r="E6" s="3" t="s">
        <v>140</v>
      </c>
      <c r="F6" s="3"/>
      <c r="G6" s="3"/>
      <c r="H6" s="2" t="s">
        <v>31</v>
      </c>
    </row>
    <row r="7" spans="1:8" ht="32" x14ac:dyDescent="0.2">
      <c r="A7" s="2" t="s">
        <v>32</v>
      </c>
      <c r="B7" s="2" t="s">
        <v>33</v>
      </c>
      <c r="C7" s="2" t="s">
        <v>10</v>
      </c>
      <c r="D7" s="2" t="s">
        <v>34</v>
      </c>
      <c r="E7" s="3" t="s">
        <v>141</v>
      </c>
      <c r="F7" s="3"/>
      <c r="G7" s="3"/>
      <c r="H7" s="2" t="s">
        <v>35</v>
      </c>
    </row>
    <row r="8" spans="1:8" ht="105" customHeight="1" x14ac:dyDescent="0.2">
      <c r="A8" s="2" t="s">
        <v>36</v>
      </c>
      <c r="B8" s="2" t="s">
        <v>37</v>
      </c>
      <c r="C8" s="2" t="s">
        <v>10</v>
      </c>
      <c r="D8" s="2" t="s">
        <v>38</v>
      </c>
      <c r="E8" s="3" t="s">
        <v>142</v>
      </c>
      <c r="F8" s="3"/>
      <c r="G8" s="3"/>
      <c r="H8" s="2" t="s">
        <v>39</v>
      </c>
    </row>
    <row r="9" spans="1:8" ht="80" x14ac:dyDescent="0.2">
      <c r="A9" s="2" t="s">
        <v>40</v>
      </c>
      <c r="B9" s="2" t="s">
        <v>41</v>
      </c>
      <c r="C9" s="2" t="s">
        <v>24</v>
      </c>
      <c r="D9" s="2" t="s">
        <v>42</v>
      </c>
      <c r="E9" s="3" t="s">
        <v>143</v>
      </c>
      <c r="F9" s="3"/>
      <c r="G9" s="3"/>
      <c r="H9" s="2" t="s">
        <v>43</v>
      </c>
    </row>
    <row r="10" spans="1:8" ht="112" x14ac:dyDescent="0.2">
      <c r="A10" s="2" t="s">
        <v>44</v>
      </c>
      <c r="B10" s="2" t="s">
        <v>45</v>
      </c>
      <c r="C10" s="2" t="s">
        <v>24</v>
      </c>
      <c r="D10" s="2" t="s">
        <v>46</v>
      </c>
      <c r="E10" s="3" t="s">
        <v>26</v>
      </c>
      <c r="F10" s="3"/>
      <c r="G10" s="3"/>
      <c r="H10" s="2" t="s">
        <v>47</v>
      </c>
    </row>
    <row r="11" spans="1:8" ht="80" x14ac:dyDescent="0.2">
      <c r="A11" s="2" t="s">
        <v>48</v>
      </c>
      <c r="B11" s="2" t="s">
        <v>49</v>
      </c>
      <c r="C11" s="2" t="s">
        <v>10</v>
      </c>
      <c r="D11" s="2" t="s">
        <v>50</v>
      </c>
      <c r="E11" s="3" t="s">
        <v>144</v>
      </c>
      <c r="F11" s="3"/>
      <c r="G11" s="3"/>
      <c r="H11" s="2" t="s">
        <v>51</v>
      </c>
    </row>
    <row r="12" spans="1:8" ht="64" x14ac:dyDescent="0.2">
      <c r="A12" s="2" t="s">
        <v>52</v>
      </c>
      <c r="B12" s="2" t="s">
        <v>53</v>
      </c>
      <c r="C12" s="2" t="s">
        <v>24</v>
      </c>
      <c r="D12" s="2" t="s">
        <v>54</v>
      </c>
      <c r="E12" s="3" t="s">
        <v>55</v>
      </c>
      <c r="F12" s="3"/>
      <c r="G12" s="3"/>
      <c r="H12" s="2" t="s">
        <v>56</v>
      </c>
    </row>
    <row r="13" spans="1:8" ht="192" x14ac:dyDescent="0.2">
      <c r="A13" s="2" t="s">
        <v>57</v>
      </c>
      <c r="B13" s="2" t="s">
        <v>58</v>
      </c>
      <c r="C13" s="2" t="s">
        <v>24</v>
      </c>
      <c r="D13" s="2" t="s">
        <v>59</v>
      </c>
      <c r="E13" s="3" t="s">
        <v>60</v>
      </c>
      <c r="F13" s="3"/>
      <c r="G13" s="3"/>
      <c r="H13" s="2" t="s">
        <v>61</v>
      </c>
    </row>
    <row r="14" spans="1:8" ht="48" x14ac:dyDescent="0.2">
      <c r="A14" s="2" t="s">
        <v>62</v>
      </c>
      <c r="B14" s="2" t="s">
        <v>63</v>
      </c>
      <c r="C14" s="2" t="s">
        <v>10</v>
      </c>
      <c r="D14" s="2" t="s">
        <v>64</v>
      </c>
      <c r="E14" s="3" t="s">
        <v>65</v>
      </c>
      <c r="F14" s="3"/>
      <c r="G14" s="3"/>
      <c r="H14" s="2" t="s">
        <v>66</v>
      </c>
    </row>
    <row r="15" spans="1:8" ht="48" x14ac:dyDescent="0.2">
      <c r="A15" s="2" t="s">
        <v>67</v>
      </c>
      <c r="B15" s="2" t="s">
        <v>68</v>
      </c>
      <c r="C15" s="2" t="s">
        <v>24</v>
      </c>
      <c r="D15" s="2" t="s">
        <v>69</v>
      </c>
      <c r="E15" s="3" t="s">
        <v>70</v>
      </c>
      <c r="F15" s="3"/>
      <c r="G15" s="3"/>
      <c r="H15" s="2" t="s">
        <v>71</v>
      </c>
    </row>
  </sheetData>
  <dataValidations count="1">
    <dataValidation type="list" allowBlank="1" sqref="F2:F15" xr:uid="{00000000-0002-0000-0000-000000000000}">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26" customWidth="1"/>
    <col min="3" max="3" width="45" customWidth="1"/>
    <col min="4" max="4" width="70" customWidth="1"/>
    <col min="5" max="5" width="30" customWidth="1"/>
  </cols>
  <sheetData>
    <row r="1" spans="1:5" x14ac:dyDescent="0.2">
      <c r="A1" s="1" t="s">
        <v>0</v>
      </c>
      <c r="B1" s="1" t="s">
        <v>1</v>
      </c>
      <c r="C1" s="1" t="s">
        <v>3</v>
      </c>
      <c r="D1" s="1" t="s">
        <v>72</v>
      </c>
      <c r="E1" s="1" t="s">
        <v>73</v>
      </c>
    </row>
    <row r="2" spans="1:5" ht="32" x14ac:dyDescent="0.2">
      <c r="A2" s="2" t="s">
        <v>74</v>
      </c>
      <c r="B2" s="2" t="s">
        <v>75</v>
      </c>
      <c r="C2" s="2" t="s">
        <v>76</v>
      </c>
      <c r="D2" s="2" t="s">
        <v>77</v>
      </c>
      <c r="E2" s="2" t="s">
        <v>78</v>
      </c>
    </row>
    <row r="3" spans="1:5" ht="128" x14ac:dyDescent="0.2">
      <c r="A3" s="2" t="s">
        <v>79</v>
      </c>
      <c r="B3" s="2" t="s">
        <v>80</v>
      </c>
      <c r="C3" s="2" t="s">
        <v>81</v>
      </c>
      <c r="D3" s="2" t="s">
        <v>82</v>
      </c>
      <c r="E3" s="2" t="s">
        <v>78</v>
      </c>
    </row>
    <row r="4" spans="1:5" ht="32" x14ac:dyDescent="0.2">
      <c r="A4" s="2" t="s">
        <v>83</v>
      </c>
      <c r="B4" s="2" t="s">
        <v>84</v>
      </c>
      <c r="C4" s="2" t="s">
        <v>85</v>
      </c>
      <c r="D4" s="2" t="s">
        <v>86</v>
      </c>
      <c r="E4" s="2" t="s">
        <v>78</v>
      </c>
    </row>
    <row r="5" spans="1:5" ht="96" x14ac:dyDescent="0.2">
      <c r="A5" s="2" t="s">
        <v>87</v>
      </c>
      <c r="B5" s="2" t="s">
        <v>88</v>
      </c>
      <c r="C5" s="2" t="s">
        <v>89</v>
      </c>
      <c r="D5" s="2" t="s">
        <v>90</v>
      </c>
      <c r="E5" s="2" t="s">
        <v>78</v>
      </c>
    </row>
    <row r="6" spans="1:5" ht="176" x14ac:dyDescent="0.2">
      <c r="A6" s="2" t="s">
        <v>91</v>
      </c>
      <c r="B6" s="2" t="s">
        <v>92</v>
      </c>
      <c r="C6" s="2" t="s">
        <v>93</v>
      </c>
      <c r="D6" s="2" t="s">
        <v>94</v>
      </c>
      <c r="E6" s="2" t="s">
        <v>95</v>
      </c>
    </row>
    <row r="7" spans="1:5" ht="144" x14ac:dyDescent="0.2">
      <c r="A7" s="2" t="s">
        <v>96</v>
      </c>
      <c r="B7" s="2" t="s">
        <v>97</v>
      </c>
      <c r="C7" s="2" t="s">
        <v>98</v>
      </c>
      <c r="D7" s="2" t="s">
        <v>99</v>
      </c>
      <c r="E7" s="2" t="s">
        <v>100</v>
      </c>
    </row>
    <row r="8" spans="1:5" ht="64" x14ac:dyDescent="0.2">
      <c r="A8" s="2" t="s">
        <v>101</v>
      </c>
      <c r="B8" s="2" t="s">
        <v>102</v>
      </c>
      <c r="C8" s="2" t="s">
        <v>103</v>
      </c>
      <c r="D8" s="2" t="s">
        <v>104</v>
      </c>
      <c r="E8" s="2" t="s">
        <v>105</v>
      </c>
    </row>
    <row r="9" spans="1:5" ht="96" x14ac:dyDescent="0.2">
      <c r="A9" s="2" t="s">
        <v>106</v>
      </c>
      <c r="B9" s="2" t="s">
        <v>107</v>
      </c>
      <c r="C9" s="2" t="s">
        <v>108</v>
      </c>
      <c r="D9" s="2" t="s">
        <v>109</v>
      </c>
      <c r="E9" s="2" t="s">
        <v>78</v>
      </c>
    </row>
    <row r="10" spans="1:5" ht="96" x14ac:dyDescent="0.2">
      <c r="A10" s="2" t="s">
        <v>110</v>
      </c>
      <c r="B10" s="2" t="s">
        <v>111</v>
      </c>
      <c r="C10" s="2" t="s">
        <v>112</v>
      </c>
      <c r="D10" s="2" t="s">
        <v>113</v>
      </c>
      <c r="E10" s="2" t="s">
        <v>78</v>
      </c>
    </row>
    <row r="11" spans="1:5" ht="96" x14ac:dyDescent="0.2">
      <c r="A11" s="2" t="s">
        <v>114</v>
      </c>
      <c r="B11" s="2" t="s">
        <v>115</v>
      </c>
      <c r="C11" s="2" t="s">
        <v>116</v>
      </c>
      <c r="D11" s="2" t="s">
        <v>117</v>
      </c>
      <c r="E11" s="2" t="s">
        <v>78</v>
      </c>
    </row>
    <row r="12" spans="1:5" ht="32" x14ac:dyDescent="0.2">
      <c r="A12" s="2" t="s">
        <v>118</v>
      </c>
      <c r="B12" s="2" t="s">
        <v>119</v>
      </c>
      <c r="C12" s="2" t="s">
        <v>120</v>
      </c>
      <c r="D12" s="2" t="s">
        <v>121</v>
      </c>
      <c r="E12" s="2" t="s">
        <v>122</v>
      </c>
    </row>
    <row r="13" spans="1:5" ht="64" x14ac:dyDescent="0.2">
      <c r="A13" s="2" t="s">
        <v>123</v>
      </c>
      <c r="B13" s="2" t="s">
        <v>124</v>
      </c>
      <c r="C13" s="2" t="s">
        <v>125</v>
      </c>
      <c r="D13" s="2" t="s">
        <v>126</v>
      </c>
      <c r="E13" s="2" t="s">
        <v>127</v>
      </c>
    </row>
    <row r="14" spans="1:5" ht="64" x14ac:dyDescent="0.2">
      <c r="A14" s="2" t="s">
        <v>128</v>
      </c>
      <c r="B14" s="2" t="s">
        <v>129</v>
      </c>
      <c r="C14" s="2" t="s">
        <v>130</v>
      </c>
      <c r="D14" s="2" t="s">
        <v>131</v>
      </c>
      <c r="E14" s="2" t="s">
        <v>132</v>
      </c>
    </row>
    <row r="15" spans="1:5" ht="96" x14ac:dyDescent="0.2">
      <c r="A15" s="2" t="s">
        <v>133</v>
      </c>
      <c r="B15" s="2" t="s">
        <v>134</v>
      </c>
      <c r="C15" s="2" t="s">
        <v>135</v>
      </c>
      <c r="D15" s="2" t="s">
        <v>136</v>
      </c>
      <c r="E15" s="2" t="s">
        <v>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Working</vt:lpstr>
      <vt:lpstr>Closed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Abraham</cp:lastModifiedBy>
  <dcterms:created xsi:type="dcterms:W3CDTF">2026-09-03T17:43:08Z</dcterms:created>
  <dcterms:modified xsi:type="dcterms:W3CDTF">2026-09-03T22:53:05Z</dcterms:modified>
</cp:coreProperties>
</file>