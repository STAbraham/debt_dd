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if\Documents\Consolidated Financials\"/>
    </mc:Choice>
  </mc:AlternateContent>
  <xr:revisionPtr revIDLastSave="0" documentId="13_ncr:1_{3DB45F66-DF74-49DC-8CA9-FFF97E25CD5D}" xr6:coauthVersionLast="47" xr6:coauthVersionMax="47" xr10:uidLastSave="{00000000-0000-0000-0000-000000000000}"/>
  <bookViews>
    <workbookView xWindow="-110" yWindow="-110" windowWidth="38620" windowHeight="21100" xr2:uid="{F8BA5284-547E-44D2-8B3D-8A19EDB9B7F5}"/>
  </bookViews>
  <sheets>
    <sheet name="Balance Sheet" sheetId="1" r:id="rId1"/>
    <sheet name="Income Statement" sheetId="2" r:id="rId2"/>
    <sheet name="Cash Flow Statement" sheetId="3" r:id="rId3"/>
  </sheets>
  <externalReferences>
    <externalReference r:id="rId4"/>
  </externalReferences>
  <definedNames>
    <definedName name="FX">'[1]P&amp;L'!$AD$6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" i="2" l="1"/>
  <c r="L13" i="2" s="1"/>
  <c r="K6" i="2"/>
  <c r="J6" i="2"/>
  <c r="I6" i="2"/>
  <c r="H6" i="2"/>
  <c r="G6" i="2"/>
  <c r="L35" i="2"/>
  <c r="K35" i="2"/>
  <c r="J35" i="2"/>
  <c r="I35" i="2"/>
  <c r="H35" i="2"/>
  <c r="G35" i="2"/>
  <c r="F35" i="2"/>
  <c r="L11" i="2"/>
  <c r="K11" i="2"/>
  <c r="J11" i="2"/>
  <c r="I11" i="2"/>
  <c r="H11" i="2"/>
  <c r="G11" i="2"/>
  <c r="F11" i="2"/>
  <c r="K13" i="2"/>
  <c r="J13" i="2"/>
  <c r="I13" i="2"/>
  <c r="H13" i="2"/>
  <c r="G13" i="2"/>
  <c r="F6" i="2"/>
  <c r="F13" i="2" s="1"/>
  <c r="F29" i="2" l="1"/>
  <c r="F39" i="2" s="1"/>
  <c r="F43" i="2" s="1"/>
  <c r="L29" i="2"/>
  <c r="L39" i="2" s="1"/>
  <c r="L43" i="2" s="1"/>
  <c r="K29" i="2"/>
  <c r="K39" i="2" s="1"/>
  <c r="K43" i="2" s="1"/>
  <c r="H29" i="2"/>
  <c r="H39" i="2" s="1"/>
  <c r="H43" i="2" s="1"/>
  <c r="I29" i="2"/>
  <c r="I39" i="2" s="1"/>
  <c r="I43" i="2" s="1"/>
  <c r="G29" i="2"/>
  <c r="G39" i="2" s="1"/>
  <c r="G43" i="2" s="1"/>
  <c r="J29" i="2"/>
  <c r="J39" i="2" s="1"/>
  <c r="J43" i="2" s="1"/>
</calcChain>
</file>

<file path=xl/sharedStrings.xml><?xml version="1.0" encoding="utf-8"?>
<sst xmlns="http://schemas.openxmlformats.org/spreadsheetml/2006/main" count="89" uniqueCount="86">
  <si>
    <t>Assets</t>
  </si>
  <si>
    <t xml:space="preserve">Credit card receivables </t>
  </si>
  <si>
    <t>Other receivables</t>
  </si>
  <si>
    <t>Due from related party</t>
  </si>
  <si>
    <t>Investment in subsidiary</t>
  </si>
  <si>
    <t>Prepayments and other current assets</t>
  </si>
  <si>
    <t>PPE, net</t>
  </si>
  <si>
    <t>Total Assets</t>
  </si>
  <si>
    <t>Liabilities &amp; Equity</t>
  </si>
  <si>
    <t>Trade and other payables</t>
  </si>
  <si>
    <t>Other current liabilities</t>
  </si>
  <si>
    <t>Other borrowings and debt</t>
  </si>
  <si>
    <t>Due to related party</t>
  </si>
  <si>
    <t>Other non-current liabilities</t>
  </si>
  <si>
    <t>Total Liabilities</t>
  </si>
  <si>
    <t>Preferred Equity</t>
  </si>
  <si>
    <t>Retained Earnings</t>
  </si>
  <si>
    <t>Current year profit (loss)</t>
  </si>
  <si>
    <t>Total Equity</t>
  </si>
  <si>
    <t>Total Liabilities &amp; Equity</t>
  </si>
  <si>
    <t>YE 2025</t>
  </si>
  <si>
    <t xml:space="preserve">Balance Sheet </t>
  </si>
  <si>
    <t>Gross revenue</t>
  </si>
  <si>
    <t>Less: Interest expense</t>
  </si>
  <si>
    <t>Net revenue</t>
  </si>
  <si>
    <t>Cost of revenue</t>
  </si>
  <si>
    <t>Loan loss provision</t>
  </si>
  <si>
    <t>Network transaction fees</t>
  </si>
  <si>
    <t>Total cost of revenue</t>
  </si>
  <si>
    <t>Gross profit</t>
  </si>
  <si>
    <t>Non-interest expense</t>
  </si>
  <si>
    <t>Fixed network fees</t>
  </si>
  <si>
    <t>Software &amp; cloud services</t>
  </si>
  <si>
    <t>Marketing &amp; acquisition</t>
  </si>
  <si>
    <t>Instapay fees</t>
  </si>
  <si>
    <t>Card issuance costs</t>
  </si>
  <si>
    <t>Credit analysis and collections costs</t>
  </si>
  <si>
    <t>Salaries &amp; employee benefits</t>
  </si>
  <si>
    <t>Professional fees</t>
  </si>
  <si>
    <t>Taxes and licenses</t>
  </si>
  <si>
    <t>Other G&amp;A</t>
  </si>
  <si>
    <t>Total non-interest expense</t>
  </si>
  <si>
    <t>Other expenses</t>
  </si>
  <si>
    <t>Depreciation and amortization</t>
  </si>
  <si>
    <t>Unrealized forex loss</t>
  </si>
  <si>
    <t>Realized forex loss</t>
  </si>
  <si>
    <t>Total other expenses</t>
  </si>
  <si>
    <t>Other income</t>
  </si>
  <si>
    <t>Pre-tax income (loss)</t>
  </si>
  <si>
    <t>Income Tax</t>
  </si>
  <si>
    <t>Net income</t>
  </si>
  <si>
    <t>Income Statement</t>
  </si>
  <si>
    <t>Cash flows from operating activities</t>
  </si>
  <si>
    <t>Income (loss) before income tax</t>
  </si>
  <si>
    <t>Adjustments for:</t>
  </si>
  <si>
    <t>Interest income</t>
  </si>
  <si>
    <t>Unrealized forex losses (gains)</t>
  </si>
  <si>
    <t>Other non-cash adjustments</t>
  </si>
  <si>
    <t>Changes in current assets and liabilities:</t>
  </si>
  <si>
    <t>Decrease (Increase) in the amount of:</t>
  </si>
  <si>
    <t>Trade and other receivables</t>
  </si>
  <si>
    <t>Increase (Decrease) in the amounts of:</t>
  </si>
  <si>
    <t>Trade and accrued payables</t>
  </si>
  <si>
    <t>Net cash generated from (used in) operations</t>
  </si>
  <si>
    <t>Income tax paid</t>
  </si>
  <si>
    <t>Interest received</t>
  </si>
  <si>
    <t>Net cash provided by (used in) operating activities</t>
  </si>
  <si>
    <t>Cash flows from investing activities</t>
  </si>
  <si>
    <t>Acquisition of PPE</t>
  </si>
  <si>
    <t>Net cash used in investing activity</t>
  </si>
  <si>
    <t>Cash flows from financing activities</t>
  </si>
  <si>
    <t>Other debts &amp; borrowings</t>
  </si>
  <si>
    <t>Preferred equity</t>
  </si>
  <si>
    <t>Net cash used in financing activity</t>
  </si>
  <si>
    <t>Net increase in cash in bank</t>
  </si>
  <si>
    <t>Cash in bank at beginning</t>
  </si>
  <si>
    <t>Effects of exchange rate changes</t>
  </si>
  <si>
    <t>Cash in bank at end</t>
  </si>
  <si>
    <t>Cash Flow Statement</t>
  </si>
  <si>
    <t>Cash and other cash items</t>
  </si>
  <si>
    <t xml:space="preserve"> Allowance for credit losses</t>
  </si>
  <si>
    <t>Other non-current assets</t>
  </si>
  <si>
    <t>Capital stock and additional paid-in capital</t>
  </si>
  <si>
    <t>Design</t>
  </si>
  <si>
    <t>Facilities</t>
  </si>
  <si>
    <t>Travel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</si>
</sst>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[$$-409]* #,##0_);_([$$-409]* \(#,##0\);_([$$-409]* &quot;-&quot;??_);_(@_)"/>
    <numFmt numFmtId="165" formatCode="_(* #,##0_);_(* \(#,##0\);_(* &quot;-&quot;??_);_(@_)"/>
    <numFmt numFmtId="166" formatCode="[$-409]mmm\-yy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rgb="FFFFFFFF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0A3041"/>
        <bgColor rgb="FF0A3041"/>
      </patternFill>
    </fill>
    <fill>
      <patternFill patternType="solid">
        <fgColor rgb="FFDBE9F7"/>
        <bgColor rgb="FFDBE9F7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164" fontId="3" fillId="0" borderId="0" xfId="0" applyNumberFormat="1" applyFont="1"/>
    <xf numFmtId="164" fontId="2" fillId="0" borderId="2" xfId="0" applyNumberFormat="1" applyFont="1" applyBorder="1"/>
    <xf numFmtId="164" fontId="2" fillId="0" borderId="3" xfId="0" applyNumberFormat="1" applyFont="1" applyBorder="1"/>
    <xf numFmtId="0" fontId="4" fillId="2" borderId="0" xfId="0" applyFont="1" applyFill="1" applyAlignment="1">
      <alignment horizontal="center"/>
    </xf>
    <xf numFmtId="166" fontId="4" fillId="2" borderId="0" xfId="0" applyNumberFormat="1" applyFont="1" applyFill="1" applyAlignment="1">
      <alignment horizontal="center"/>
    </xf>
    <xf numFmtId="0" fontId="4" fillId="0" borderId="0" xfId="0" applyFont="1" applyAlignment="1">
      <alignment horizontal="center"/>
    </xf>
    <xf numFmtId="164" fontId="2" fillId="0" borderId="0" xfId="0" applyNumberFormat="1" applyFont="1"/>
    <xf numFmtId="0" fontId="4" fillId="2" borderId="0" xfId="0" applyFont="1" applyFill="1" applyAlignment="1">
      <alignment horizontal="left"/>
    </xf>
    <xf numFmtId="165" fontId="3" fillId="0" borderId="0" xfId="1" applyNumberFormat="1" applyFont="1"/>
    <xf numFmtId="165" fontId="3" fillId="0" borderId="0" xfId="1" applyNumberFormat="1" applyFont="1" applyFill="1" applyBorder="1"/>
    <xf numFmtId="164" fontId="3" fillId="3" borderId="0" xfId="0" applyNumberFormat="1" applyFont="1" applyFill="1"/>
    <xf numFmtId="164" fontId="2" fillId="3" borderId="3" xfId="0" applyNumberFormat="1" applyFont="1" applyFill="1" applyBorder="1"/>
    <xf numFmtId="164" fontId="2" fillId="3" borderId="0" xfId="0" applyNumberFormat="1" applyFont="1" applyFill="1"/>
    <xf numFmtId="164" fontId="2" fillId="3" borderId="4" xfId="0" applyNumberFormat="1" applyFont="1" applyFill="1" applyBorder="1"/>
    <xf numFmtId="164" fontId="2" fillId="0" borderId="4" xfId="0" applyNumberFormat="1" applyFont="1" applyBorder="1"/>
    <xf numFmtId="165" fontId="3" fillId="3" borderId="0" xfId="1" applyNumberFormat="1" applyFont="1" applyFill="1"/>
    <xf numFmtId="165" fontId="0" fillId="0" borderId="0" xfId="1" applyNumberFormat="1" applyFont="1"/>
    <xf numFmtId="165" fontId="3" fillId="3" borderId="1" xfId="1" applyNumberFormat="1" applyFont="1" applyFill="1" applyBorder="1"/>
    <xf numFmtId="165" fontId="3" fillId="0" borderId="1" xfId="1" applyNumberFormat="1" applyFont="1" applyBorder="1"/>
    <xf numFmtId="164" fontId="2" fillId="3" borderId="2" xfId="0" applyNumberFormat="1" applyFont="1" applyFill="1" applyBorder="1"/>
    <xf numFmtId="164" fontId="3" fillId="3" borderId="3" xfId="0" applyNumberFormat="1" applyFont="1" applyFill="1" applyBorder="1"/>
    <xf numFmtId="164" fontId="2" fillId="3" borderId="5" xfId="0" applyNumberFormat="1" applyFont="1" applyFill="1" applyBorder="1"/>
    <xf numFmtId="0" fontId="4" fillId="0" borderId="0" xfId="0" applyFont="1" applyAlignment="1">
      <alignment horizontal="left"/>
    </xf>
    <xf numFmtId="166" fontId="4" fillId="0" borderId="0" xfId="0" applyNumberFormat="1" applyFont="1" applyAlignment="1">
      <alignment horizontal="center"/>
    </xf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2" fillId="0" borderId="7" xfId="0" applyFont="1" applyBorder="1"/>
    <xf numFmtId="0" fontId="3" fillId="4" borderId="0" xfId="0" applyFont="1" applyFill="1"/>
    <xf numFmtId="164" fontId="3" fillId="4" borderId="0" xfId="0" applyNumberFormat="1" applyFont="1" applyFill="1"/>
    <xf numFmtId="165" fontId="3" fillId="4" borderId="0" xfId="1" applyNumberFormat="1" applyFont="1" applyFill="1"/>
    <xf numFmtId="164" fontId="2" fillId="4" borderId="2" xfId="0" applyNumberFormat="1" applyFont="1" applyFill="1" applyBorder="1"/>
    <xf numFmtId="164" fontId="2" fillId="4" borderId="3" xfId="0" applyNumberFormat="1" applyFont="1" applyFill="1" applyBorder="1"/>
    <xf numFmtId="0" fontId="2" fillId="0" borderId="6" xfId="0" applyFont="1" applyBorder="1"/>
    <xf numFmtId="164" fontId="2" fillId="0" borderId="5" xfId="0" applyNumberFormat="1" applyFont="1" applyBorder="1"/>
    <xf numFmtId="0" fontId="3" fillId="0" borderId="0" xfId="0" applyFont="1" applyAlignment="1">
      <alignment horizontal="left" indent="1"/>
    </xf>
    <xf numFmtId="0" fontId="3" fillId="0" borderId="6" xfId="0" applyFont="1" applyBorder="1" applyAlignment="1">
      <alignment horizontal="left" indent="1"/>
    </xf>
    <xf numFmtId="164" fontId="2" fillId="0" borderId="6" xfId="0" applyNumberFormat="1" applyFont="1" applyBorder="1"/>
    <xf numFmtId="164" fontId="3" fillId="0" borderId="0" xfId="0" applyNumberFormat="1" applyFont="1" applyFill="1"/>
    <xf numFmtId="165" fontId="3" fillId="0" borderId="0" xfId="1" applyNumberFormat="1" applyFont="1" applyFill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wnloads/Zed%20Consolidated%20Financials%202025%20thru%20May%202026_20260710.xlsx" TargetMode="External"/><Relationship Id="rId2" Type="http://schemas.openxmlformats.org/officeDocument/2006/relationships/externalLinkPath" Target="file:///C:\Users\Josif\Downloads\Zed%20Consolidated%20Financials%202025%20thru%20May%202026_20260710.xlsx" TargetMode="External"/><Relationship Id="rId1" Type="http://schemas.openxmlformats.org/officeDocument/2006/relationships/externalLinkPath" Target="/Users/Josif/Downloads/Zed%20Consolidated%20Financials%202025%20thru%20May%202026_202607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onsolidated &gt;&gt;&gt;"/>
      <sheetName val="Balance Sheet"/>
      <sheetName val="P&amp;L"/>
      <sheetName val="Cash Flow"/>
      <sheetName val="From Financial Model &gt;&gt;&gt;"/>
      <sheetName val="US IS"/>
      <sheetName val="US BS"/>
      <sheetName val="PH IS"/>
      <sheetName val="PH BS"/>
    </sheetNames>
    <sheetDataSet>
      <sheetData sheetId="0" refreshError="1"/>
      <sheetData sheetId="1"/>
      <sheetData sheetId="2">
        <row r="6">
          <cell r="AD6">
            <v>55.8</v>
          </cell>
        </row>
      </sheetData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A294D-3FA6-4EA7-9D54-A99FBDAA16A5}">
  <dimension ref="B2:L30"/>
  <sheetViews>
    <sheetView showGridLines="0" tabSelected="1" zoomScale="85" zoomScaleNormal="85" workbookViewId="0"/>
  </sheetViews>
  <sheetFormatPr defaultColWidth="8.83984375" defaultRowHeight="14.4" x14ac:dyDescent="0.55000000000000004"/>
  <cols>
    <col min="1" max="1" width="2.47265625" customWidth="1"/>
    <col min="2" max="2" width="35.68359375" bestFit="1" customWidth="1"/>
    <col min="3" max="3" width="1.47265625" customWidth="1"/>
    <col min="4" max="4" width="13.47265625" bestFit="1" customWidth="1"/>
    <col min="5" max="5" width="1.47265625" customWidth="1"/>
    <col min="6" max="10" width="13.47265625" bestFit="1" customWidth="1"/>
    <col min="11" max="12" width="13.47265625" customWidth="1"/>
  </cols>
  <sheetData>
    <row r="2" spans="2:12" ht="15.6" x14ac:dyDescent="0.6">
      <c r="B2" s="11" t="s">
        <v>21</v>
      </c>
      <c r="C2" s="7"/>
      <c r="D2" s="7" t="s">
        <v>20</v>
      </c>
      <c r="E2" s="7"/>
      <c r="F2" s="8">
        <v>46053</v>
      </c>
      <c r="G2" s="8">
        <v>46081</v>
      </c>
      <c r="H2" s="8">
        <v>46112</v>
      </c>
      <c r="I2" s="8">
        <v>46142</v>
      </c>
      <c r="J2" s="8">
        <v>46173</v>
      </c>
      <c r="K2" s="8">
        <v>46203</v>
      </c>
      <c r="L2" s="8">
        <v>46234</v>
      </c>
    </row>
    <row r="3" spans="2:12" ht="5.05" customHeight="1" x14ac:dyDescent="0.55000000000000004"/>
    <row r="4" spans="2:12" x14ac:dyDescent="0.55000000000000004">
      <c r="B4" s="1" t="s">
        <v>0</v>
      </c>
      <c r="D4" s="31"/>
      <c r="E4" s="3"/>
      <c r="F4" s="3"/>
      <c r="G4" s="3"/>
      <c r="H4" s="3"/>
      <c r="I4" s="3"/>
      <c r="J4" s="3"/>
      <c r="K4" s="3"/>
      <c r="L4" s="3"/>
    </row>
    <row r="5" spans="2:12" x14ac:dyDescent="0.55000000000000004">
      <c r="B5" s="2" t="s">
        <v>79</v>
      </c>
      <c r="D5" s="32">
        <v>14320272.981505375</v>
      </c>
      <c r="E5" s="4"/>
      <c r="F5" s="4">
        <v>14001186</v>
      </c>
      <c r="G5" s="4">
        <v>13527660</v>
      </c>
      <c r="H5" s="4">
        <v>12896702</v>
      </c>
      <c r="I5" s="4">
        <v>12009581</v>
      </c>
      <c r="J5" s="4">
        <v>11422692</v>
      </c>
      <c r="K5" s="4">
        <v>10229254</v>
      </c>
      <c r="L5" s="4">
        <v>9454767</v>
      </c>
    </row>
    <row r="6" spans="2:12" x14ac:dyDescent="0.55000000000000004">
      <c r="B6" s="2" t="s">
        <v>1</v>
      </c>
      <c r="D6" s="33">
        <v>1125155.2688172043</v>
      </c>
      <c r="E6" s="13"/>
      <c r="F6" s="12">
        <v>1033331</v>
      </c>
      <c r="G6" s="12">
        <v>1140953</v>
      </c>
      <c r="H6" s="12">
        <v>1614035</v>
      </c>
      <c r="I6" s="12">
        <v>2004254</v>
      </c>
      <c r="J6" s="12">
        <v>2079147</v>
      </c>
      <c r="K6" s="12">
        <v>2769858</v>
      </c>
      <c r="L6" s="12">
        <v>2959539</v>
      </c>
    </row>
    <row r="7" spans="2:12" x14ac:dyDescent="0.55000000000000004">
      <c r="B7" s="2" t="s">
        <v>80</v>
      </c>
      <c r="D7" s="33">
        <v>-106008.4229390681</v>
      </c>
      <c r="E7" s="13"/>
      <c r="F7" s="12">
        <v>-130766</v>
      </c>
      <c r="G7" s="12">
        <v>-160045</v>
      </c>
      <c r="H7" s="12">
        <v>-187329</v>
      </c>
      <c r="I7" s="12">
        <v>-225770</v>
      </c>
      <c r="J7" s="12">
        <v>-261500</v>
      </c>
      <c r="K7" s="12">
        <v>-291417</v>
      </c>
      <c r="L7" s="12">
        <v>-332653</v>
      </c>
    </row>
    <row r="8" spans="2:12" x14ac:dyDescent="0.55000000000000004">
      <c r="B8" s="2" t="s">
        <v>2</v>
      </c>
      <c r="D8" s="33">
        <v>165397.25806451615</v>
      </c>
      <c r="E8" s="13"/>
      <c r="F8" s="12">
        <v>196196</v>
      </c>
      <c r="G8" s="12">
        <v>224509</v>
      </c>
      <c r="H8" s="12">
        <v>259171</v>
      </c>
      <c r="I8" s="12">
        <v>301714</v>
      </c>
      <c r="J8" s="12">
        <v>346325</v>
      </c>
      <c r="K8" s="12">
        <v>389608</v>
      </c>
      <c r="L8" s="12">
        <v>440953</v>
      </c>
    </row>
    <row r="9" spans="2:12" x14ac:dyDescent="0.55000000000000004">
      <c r="B9" s="2" t="s">
        <v>3</v>
      </c>
      <c r="D9" s="33">
        <v>0</v>
      </c>
      <c r="E9" s="13"/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</row>
    <row r="10" spans="2:12" x14ac:dyDescent="0.55000000000000004">
      <c r="B10" s="2" t="s">
        <v>4</v>
      </c>
      <c r="D10" s="33">
        <v>0</v>
      </c>
      <c r="E10" s="13"/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</row>
    <row r="11" spans="2:12" x14ac:dyDescent="0.55000000000000004">
      <c r="B11" s="2" t="s">
        <v>6</v>
      </c>
      <c r="D11" s="33">
        <v>137622.70806451613</v>
      </c>
      <c r="E11" s="13"/>
      <c r="F11" s="12">
        <v>112799</v>
      </c>
      <c r="G11" s="12">
        <v>112140</v>
      </c>
      <c r="H11" s="12">
        <v>111621</v>
      </c>
      <c r="I11" s="12">
        <v>111008</v>
      </c>
      <c r="J11" s="12">
        <v>111704</v>
      </c>
      <c r="K11" s="12">
        <v>111825</v>
      </c>
      <c r="L11" s="12">
        <v>111145</v>
      </c>
    </row>
    <row r="12" spans="2:12" x14ac:dyDescent="0.55000000000000004">
      <c r="B12" s="2" t="s">
        <v>5</v>
      </c>
      <c r="D12" s="33">
        <v>113457.30544802867</v>
      </c>
      <c r="E12" s="13"/>
      <c r="F12" s="12">
        <v>113494</v>
      </c>
      <c r="G12" s="12">
        <v>103422</v>
      </c>
      <c r="H12" s="12">
        <v>137249</v>
      </c>
      <c r="I12" s="12">
        <v>105110</v>
      </c>
      <c r="J12" s="12">
        <v>97954</v>
      </c>
      <c r="K12" s="12">
        <v>99737</v>
      </c>
      <c r="L12" s="12">
        <v>92119</v>
      </c>
    </row>
    <row r="13" spans="2:12" x14ac:dyDescent="0.55000000000000004">
      <c r="B13" s="29" t="s">
        <v>81</v>
      </c>
      <c r="D13" s="33">
        <v>18581.272401433693</v>
      </c>
      <c r="E13" s="13"/>
      <c r="F13" s="12">
        <v>19481</v>
      </c>
      <c r="G13" s="12">
        <v>19481</v>
      </c>
      <c r="H13" s="12">
        <v>19481</v>
      </c>
      <c r="I13" s="12">
        <v>19481</v>
      </c>
      <c r="J13" s="12">
        <v>19481</v>
      </c>
      <c r="K13" s="12">
        <v>19481</v>
      </c>
      <c r="L13" s="12">
        <v>19481</v>
      </c>
    </row>
    <row r="14" spans="2:12" x14ac:dyDescent="0.55000000000000004">
      <c r="B14" s="30" t="s">
        <v>7</v>
      </c>
      <c r="D14" s="34">
        <v>15774478.371362008</v>
      </c>
      <c r="E14" s="10"/>
      <c r="F14" s="5">
        <v>15345721</v>
      </c>
      <c r="G14" s="5">
        <v>14968120</v>
      </c>
      <c r="H14" s="5">
        <v>14850930</v>
      </c>
      <c r="I14" s="5">
        <v>14325378</v>
      </c>
      <c r="J14" s="5">
        <v>13815803</v>
      </c>
      <c r="K14" s="5">
        <v>13328346</v>
      </c>
      <c r="L14" s="5">
        <v>12745351</v>
      </c>
    </row>
    <row r="15" spans="2:12" x14ac:dyDescent="0.55000000000000004">
      <c r="B15" s="3"/>
      <c r="D15" s="32"/>
      <c r="E15" s="4"/>
      <c r="F15" s="4"/>
      <c r="G15" s="4"/>
      <c r="H15" s="4"/>
      <c r="I15" s="4"/>
      <c r="J15" s="4"/>
      <c r="K15" s="4"/>
      <c r="L15" s="4"/>
    </row>
    <row r="16" spans="2:12" x14ac:dyDescent="0.55000000000000004">
      <c r="B16" s="1" t="s">
        <v>8</v>
      </c>
      <c r="D16" s="32"/>
      <c r="E16" s="4"/>
      <c r="F16" s="4"/>
      <c r="G16" s="4"/>
      <c r="H16" s="4"/>
      <c r="I16" s="4"/>
      <c r="J16" s="4"/>
      <c r="K16" s="4"/>
      <c r="L16" s="4"/>
    </row>
    <row r="17" spans="2:12" x14ac:dyDescent="0.55000000000000004">
      <c r="B17" s="2" t="s">
        <v>9</v>
      </c>
      <c r="D17" s="32">
        <v>168499.0042293907</v>
      </c>
      <c r="E17" s="4"/>
      <c r="F17" s="4">
        <v>105018</v>
      </c>
      <c r="G17" s="4">
        <v>77497</v>
      </c>
      <c r="H17" s="4">
        <v>218460</v>
      </c>
      <c r="I17" s="4">
        <v>242789</v>
      </c>
      <c r="J17" s="4">
        <v>184738</v>
      </c>
      <c r="K17" s="4">
        <v>230122</v>
      </c>
      <c r="L17" s="4">
        <v>161379</v>
      </c>
    </row>
    <row r="18" spans="2:12" x14ac:dyDescent="0.55000000000000004">
      <c r="B18" s="2" t="s">
        <v>10</v>
      </c>
      <c r="D18" s="33">
        <v>45519.345663082437</v>
      </c>
      <c r="E18" s="13"/>
      <c r="F18" s="12">
        <v>64233</v>
      </c>
      <c r="G18" s="12">
        <v>130385</v>
      </c>
      <c r="H18" s="12">
        <v>243559</v>
      </c>
      <c r="I18" s="12">
        <v>225595</v>
      </c>
      <c r="J18" s="12">
        <v>149852</v>
      </c>
      <c r="K18" s="12">
        <v>173075</v>
      </c>
      <c r="L18" s="12">
        <v>170511</v>
      </c>
    </row>
    <row r="19" spans="2:12" x14ac:dyDescent="0.55000000000000004">
      <c r="B19" s="2" t="s">
        <v>11</v>
      </c>
      <c r="D19" s="33">
        <v>0</v>
      </c>
      <c r="E19" s="13"/>
      <c r="F19" s="12">
        <v>-6005</v>
      </c>
      <c r="G19" s="12">
        <v>-6005</v>
      </c>
      <c r="H19" s="12">
        <v>-6005</v>
      </c>
      <c r="I19" s="12">
        <v>-6005</v>
      </c>
      <c r="J19" s="12">
        <v>-6005</v>
      </c>
      <c r="K19" s="12">
        <v>-6005</v>
      </c>
      <c r="L19" s="12">
        <v>-6005</v>
      </c>
    </row>
    <row r="20" spans="2:12" x14ac:dyDescent="0.55000000000000004">
      <c r="B20" s="2" t="s">
        <v>12</v>
      </c>
      <c r="D20" s="33">
        <v>0</v>
      </c>
      <c r="E20" s="13"/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</row>
    <row r="21" spans="2:12" x14ac:dyDescent="0.55000000000000004">
      <c r="B21" s="29" t="s">
        <v>13</v>
      </c>
      <c r="D21" s="33">
        <v>92122.813620071684</v>
      </c>
      <c r="E21" s="13"/>
      <c r="F21" s="12">
        <v>92123</v>
      </c>
      <c r="G21" s="12">
        <v>92123</v>
      </c>
      <c r="H21" s="12">
        <v>92123</v>
      </c>
      <c r="I21" s="12">
        <v>92123</v>
      </c>
      <c r="J21" s="12">
        <v>92123</v>
      </c>
      <c r="K21" s="12">
        <v>92123</v>
      </c>
      <c r="L21" s="12">
        <v>92123</v>
      </c>
    </row>
    <row r="22" spans="2:12" x14ac:dyDescent="0.55000000000000004">
      <c r="B22" s="30" t="s">
        <v>14</v>
      </c>
      <c r="D22" s="34">
        <v>306141.16351254482</v>
      </c>
      <c r="E22" s="10"/>
      <c r="F22" s="5">
        <v>255369</v>
      </c>
      <c r="G22" s="5">
        <v>294000</v>
      </c>
      <c r="H22" s="5">
        <v>548137</v>
      </c>
      <c r="I22" s="5">
        <v>554502</v>
      </c>
      <c r="J22" s="5">
        <v>420708</v>
      </c>
      <c r="K22" s="5">
        <v>489315</v>
      </c>
      <c r="L22" s="5">
        <v>418008</v>
      </c>
    </row>
    <row r="23" spans="2:12" x14ac:dyDescent="0.55000000000000004">
      <c r="B23" s="3"/>
      <c r="D23" s="32"/>
      <c r="E23" s="4"/>
      <c r="F23" s="4"/>
      <c r="G23" s="4"/>
      <c r="H23" s="4"/>
      <c r="I23" s="4"/>
      <c r="J23" s="4"/>
      <c r="K23" s="4"/>
      <c r="L23" s="4"/>
    </row>
    <row r="24" spans="2:12" x14ac:dyDescent="0.55000000000000004">
      <c r="B24" s="2" t="s">
        <v>82</v>
      </c>
      <c r="D24" s="32">
        <v>22199.270000000019</v>
      </c>
      <c r="E24" s="4"/>
      <c r="F24" s="4">
        <v>22199</v>
      </c>
      <c r="G24" s="4">
        <v>22199</v>
      </c>
      <c r="H24" s="4">
        <v>22199</v>
      </c>
      <c r="I24" s="4">
        <v>22199</v>
      </c>
      <c r="J24" s="4">
        <v>22199</v>
      </c>
      <c r="K24" s="4">
        <v>22199</v>
      </c>
      <c r="L24" s="4">
        <v>22199</v>
      </c>
    </row>
    <row r="25" spans="2:12" x14ac:dyDescent="0.55000000000000004">
      <c r="B25" s="2" t="s">
        <v>15</v>
      </c>
      <c r="D25" s="33">
        <v>22276632.780000001</v>
      </c>
      <c r="E25" s="13"/>
      <c r="F25" s="12">
        <v>22282638</v>
      </c>
      <c r="G25" s="12">
        <v>22282638</v>
      </c>
      <c r="H25" s="12">
        <v>22282638</v>
      </c>
      <c r="I25" s="12">
        <v>22282638</v>
      </c>
      <c r="J25" s="12">
        <v>22282638</v>
      </c>
      <c r="K25" s="12">
        <v>22282638</v>
      </c>
      <c r="L25" s="12">
        <v>22282638</v>
      </c>
    </row>
    <row r="26" spans="2:12" x14ac:dyDescent="0.55000000000000004">
      <c r="B26" s="2" t="s">
        <v>16</v>
      </c>
      <c r="D26" s="33">
        <v>-3943424.1939068101</v>
      </c>
      <c r="E26" s="13"/>
      <c r="F26" s="12">
        <v>-6830495</v>
      </c>
      <c r="G26" s="12">
        <v>-6830495</v>
      </c>
      <c r="H26" s="12">
        <v>-6830495</v>
      </c>
      <c r="I26" s="12">
        <v>-6830495</v>
      </c>
      <c r="J26" s="12">
        <v>-6830495</v>
      </c>
      <c r="K26" s="12">
        <v>-6830495</v>
      </c>
      <c r="L26" s="12">
        <v>-6830495</v>
      </c>
    </row>
    <row r="27" spans="2:12" x14ac:dyDescent="0.55000000000000004">
      <c r="B27" s="29" t="s">
        <v>17</v>
      </c>
      <c r="D27" s="33">
        <v>-2887070.6482437272</v>
      </c>
      <c r="E27" s="13"/>
      <c r="F27" s="12">
        <v>-383991</v>
      </c>
      <c r="G27" s="12">
        <v>-800219</v>
      </c>
      <c r="H27" s="12">
        <v>-1171551</v>
      </c>
      <c r="I27" s="12">
        <v>-1703466</v>
      </c>
      <c r="J27" s="12">
        <v>-2079246</v>
      </c>
      <c r="K27" s="12">
        <v>-2635309</v>
      </c>
      <c r="L27" s="12">
        <v>-3147000</v>
      </c>
    </row>
    <row r="28" spans="2:12" x14ac:dyDescent="0.55000000000000004">
      <c r="B28" s="1" t="s">
        <v>18</v>
      </c>
      <c r="D28" s="35">
        <v>15468337.207849463</v>
      </c>
      <c r="E28" s="10"/>
      <c r="F28" s="6">
        <v>15090351</v>
      </c>
      <c r="G28" s="6">
        <v>14674123</v>
      </c>
      <c r="H28" s="6">
        <v>14302791</v>
      </c>
      <c r="I28" s="6">
        <v>13770876</v>
      </c>
      <c r="J28" s="6">
        <v>13395096</v>
      </c>
      <c r="K28" s="6">
        <v>12839033</v>
      </c>
      <c r="L28" s="6">
        <v>12327342</v>
      </c>
    </row>
    <row r="29" spans="2:12" x14ac:dyDescent="0.55000000000000004">
      <c r="B29" s="28"/>
      <c r="D29" s="32"/>
      <c r="E29" s="4"/>
      <c r="F29" s="4"/>
      <c r="G29" s="4"/>
      <c r="H29" s="4"/>
      <c r="I29" s="4"/>
      <c r="J29" s="4"/>
      <c r="K29" s="4"/>
      <c r="L29" s="4"/>
    </row>
    <row r="30" spans="2:12" x14ac:dyDescent="0.55000000000000004">
      <c r="B30" s="30" t="s">
        <v>19</v>
      </c>
      <c r="D30" s="34">
        <v>15774478.371362008</v>
      </c>
      <c r="E30" s="10"/>
      <c r="F30" s="5">
        <v>15345720</v>
      </c>
      <c r="G30" s="5">
        <v>14968123</v>
      </c>
      <c r="H30" s="5">
        <v>14850928</v>
      </c>
      <c r="I30" s="5">
        <v>14325378</v>
      </c>
      <c r="J30" s="5">
        <v>13815804</v>
      </c>
      <c r="K30" s="5">
        <v>13328348</v>
      </c>
      <c r="L30" s="5">
        <v>12745350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84EC5-D3A2-45E2-ACD5-18576DE5D3D4}">
  <dimension ref="B2:L44"/>
  <sheetViews>
    <sheetView showGridLines="0" zoomScale="85" zoomScaleNormal="85" workbookViewId="0"/>
  </sheetViews>
  <sheetFormatPr defaultColWidth="8.83984375" defaultRowHeight="14.4" x14ac:dyDescent="0.55000000000000004"/>
  <cols>
    <col min="1" max="1" width="2.47265625" customWidth="1"/>
    <col min="2" max="2" width="29.15625" bestFit="1" customWidth="1"/>
    <col min="3" max="3" width="1.47265625" customWidth="1"/>
    <col min="4" max="4" width="12.47265625" bestFit="1" customWidth="1"/>
    <col min="5" max="5" width="1.47265625" customWidth="1"/>
    <col min="6" max="7" width="11" bestFit="1" customWidth="1"/>
    <col min="8" max="8" width="11.47265625" bestFit="1" customWidth="1"/>
    <col min="9" max="9" width="11" bestFit="1" customWidth="1"/>
    <col min="10" max="10" width="11.47265625" bestFit="1" customWidth="1"/>
    <col min="11" max="12" width="11.47265625" customWidth="1"/>
  </cols>
  <sheetData>
    <row r="2" spans="2:12" ht="15.6" x14ac:dyDescent="0.6">
      <c r="B2" s="11" t="s">
        <v>51</v>
      </c>
      <c r="C2" s="7"/>
      <c r="D2" s="7">
        <v>2025</v>
      </c>
      <c r="E2" s="7"/>
      <c r="F2" s="8">
        <v>46053</v>
      </c>
      <c r="G2" s="8">
        <v>46081</v>
      </c>
      <c r="H2" s="8">
        <v>46112</v>
      </c>
      <c r="I2" s="8">
        <v>46142</v>
      </c>
      <c r="J2" s="8">
        <v>46173</v>
      </c>
      <c r="K2" s="8">
        <v>46203</v>
      </c>
      <c r="L2" s="8">
        <v>46234</v>
      </c>
    </row>
    <row r="3" spans="2:12" ht="5.05" customHeight="1" x14ac:dyDescent="0.6">
      <c r="B3" s="26"/>
      <c r="C3" s="9"/>
      <c r="D3" s="9"/>
      <c r="E3" s="9"/>
      <c r="F3" s="27"/>
      <c r="G3" s="27"/>
      <c r="H3" s="27">
        <v>5</v>
      </c>
      <c r="I3" s="27"/>
      <c r="J3" s="27"/>
      <c r="K3" s="27"/>
      <c r="L3" s="27"/>
    </row>
    <row r="4" spans="2:12" x14ac:dyDescent="0.55000000000000004">
      <c r="B4" s="3" t="s">
        <v>22</v>
      </c>
      <c r="D4" s="14">
        <v>125056.33709677421</v>
      </c>
      <c r="F4" s="4">
        <v>15568</v>
      </c>
      <c r="G4" s="4">
        <v>20247</v>
      </c>
      <c r="H4" s="4">
        <v>33957</v>
      </c>
      <c r="I4" s="4">
        <v>39204</v>
      </c>
      <c r="J4" s="4">
        <v>40549</v>
      </c>
      <c r="K4" s="4">
        <v>61149</v>
      </c>
      <c r="L4" s="4">
        <v>73409</v>
      </c>
    </row>
    <row r="5" spans="2:12" x14ac:dyDescent="0.55000000000000004">
      <c r="B5" s="28" t="s">
        <v>23</v>
      </c>
      <c r="D5" s="19">
        <v>0</v>
      </c>
      <c r="E5" s="20"/>
      <c r="F5" s="12">
        <v>0</v>
      </c>
      <c r="G5" s="12">
        <v>0</v>
      </c>
      <c r="H5" s="12">
        <v>0</v>
      </c>
      <c r="I5" s="12">
        <v>0</v>
      </c>
      <c r="J5" s="12">
        <v>0</v>
      </c>
      <c r="K5" s="12">
        <v>0</v>
      </c>
      <c r="L5" s="12">
        <v>0</v>
      </c>
    </row>
    <row r="6" spans="2:12" x14ac:dyDescent="0.55000000000000004">
      <c r="B6" s="1" t="s">
        <v>24</v>
      </c>
      <c r="D6" s="15">
        <v>125056.33709677421</v>
      </c>
      <c r="F6" s="6">
        <f>SUM(F4:F5)</f>
        <v>15568</v>
      </c>
      <c r="G6" s="6">
        <f t="shared" ref="G6:L6" si="0">SUM(G4:G5)</f>
        <v>20247</v>
      </c>
      <c r="H6" s="6">
        <f t="shared" si="0"/>
        <v>33957</v>
      </c>
      <c r="I6" s="6">
        <f t="shared" si="0"/>
        <v>39204</v>
      </c>
      <c r="J6" s="6">
        <f t="shared" si="0"/>
        <v>40549</v>
      </c>
      <c r="K6" s="6">
        <f t="shared" si="0"/>
        <v>61149</v>
      </c>
      <c r="L6" s="6">
        <f t="shared" si="0"/>
        <v>73409</v>
      </c>
    </row>
    <row r="7" spans="2:12" x14ac:dyDescent="0.55000000000000004">
      <c r="B7" s="3"/>
      <c r="D7" s="14"/>
      <c r="F7" s="4"/>
      <c r="G7" s="4"/>
      <c r="H7" s="4"/>
      <c r="I7" s="4"/>
      <c r="J7" s="4"/>
      <c r="K7" s="4"/>
      <c r="L7" s="4"/>
    </row>
    <row r="8" spans="2:12" x14ac:dyDescent="0.55000000000000004">
      <c r="B8" s="1" t="s">
        <v>25</v>
      </c>
      <c r="D8" s="16"/>
      <c r="F8" s="10"/>
      <c r="G8" s="10"/>
      <c r="H8" s="10"/>
      <c r="I8" s="10"/>
      <c r="J8" s="10"/>
      <c r="K8" s="10"/>
      <c r="L8" s="10"/>
    </row>
    <row r="9" spans="2:12" x14ac:dyDescent="0.55000000000000004">
      <c r="B9" s="2" t="s">
        <v>26</v>
      </c>
      <c r="D9" s="14">
        <v>106008.420609319</v>
      </c>
      <c r="F9" s="4">
        <v>24758</v>
      </c>
      <c r="G9" s="4">
        <v>29279</v>
      </c>
      <c r="H9" s="4">
        <v>27284</v>
      </c>
      <c r="I9" s="4">
        <v>38440</v>
      </c>
      <c r="J9" s="4">
        <v>35730</v>
      </c>
      <c r="K9" s="4">
        <v>29917</v>
      </c>
      <c r="L9" s="4">
        <v>41236</v>
      </c>
    </row>
    <row r="10" spans="2:12" x14ac:dyDescent="0.55000000000000004">
      <c r="B10" s="29" t="s">
        <v>27</v>
      </c>
      <c r="D10" s="19">
        <v>-1.6308243727400369E-2</v>
      </c>
      <c r="E10" s="20"/>
      <c r="F10" s="12">
        <v>301</v>
      </c>
      <c r="G10" s="12">
        <v>312</v>
      </c>
      <c r="H10" s="12">
        <v>5575</v>
      </c>
      <c r="I10" s="12">
        <v>297</v>
      </c>
      <c r="J10" s="12">
        <v>482</v>
      </c>
      <c r="K10" s="12">
        <v>555</v>
      </c>
      <c r="L10" s="12">
        <v>852</v>
      </c>
    </row>
    <row r="11" spans="2:12" x14ac:dyDescent="0.55000000000000004">
      <c r="B11" s="1" t="s">
        <v>28</v>
      </c>
      <c r="D11" s="15">
        <v>106008.40430107528</v>
      </c>
      <c r="F11" s="6">
        <f>SUM(F9:F10)</f>
        <v>25059</v>
      </c>
      <c r="G11" s="6">
        <f t="shared" ref="G11:L11" si="1">SUM(G9:G10)</f>
        <v>29591</v>
      </c>
      <c r="H11" s="6">
        <f t="shared" si="1"/>
        <v>32859</v>
      </c>
      <c r="I11" s="6">
        <f t="shared" si="1"/>
        <v>38737</v>
      </c>
      <c r="J11" s="6">
        <f t="shared" si="1"/>
        <v>36212</v>
      </c>
      <c r="K11" s="6">
        <f t="shared" si="1"/>
        <v>30472</v>
      </c>
      <c r="L11" s="6">
        <f t="shared" si="1"/>
        <v>42088</v>
      </c>
    </row>
    <row r="12" spans="2:12" x14ac:dyDescent="0.55000000000000004">
      <c r="B12" s="3"/>
      <c r="D12" s="14"/>
      <c r="F12" s="4"/>
      <c r="G12" s="4"/>
      <c r="H12" s="4"/>
      <c r="I12" s="4"/>
      <c r="J12" s="4"/>
      <c r="K12" s="4"/>
      <c r="L12" s="4"/>
    </row>
    <row r="13" spans="2:12" x14ac:dyDescent="0.55000000000000004">
      <c r="B13" s="1" t="s">
        <v>29</v>
      </c>
      <c r="D13" s="16">
        <v>19047.932795698929</v>
      </c>
      <c r="F13" s="10">
        <f>F6-F11</f>
        <v>-9491</v>
      </c>
      <c r="G13" s="10">
        <f t="shared" ref="G13:L13" si="2">G6-G11</f>
        <v>-9344</v>
      </c>
      <c r="H13" s="10">
        <f t="shared" si="2"/>
        <v>1098</v>
      </c>
      <c r="I13" s="10">
        <f t="shared" si="2"/>
        <v>467</v>
      </c>
      <c r="J13" s="10">
        <f t="shared" si="2"/>
        <v>4337</v>
      </c>
      <c r="K13" s="10">
        <f t="shared" si="2"/>
        <v>30677</v>
      </c>
      <c r="L13" s="10">
        <f t="shared" si="2"/>
        <v>31321</v>
      </c>
    </row>
    <row r="14" spans="2:12" x14ac:dyDescent="0.55000000000000004">
      <c r="B14" s="3"/>
      <c r="D14" s="14"/>
      <c r="F14" s="4"/>
      <c r="G14" s="4"/>
      <c r="H14" s="4"/>
      <c r="I14" s="4"/>
      <c r="J14" s="4"/>
      <c r="K14" s="4"/>
      <c r="L14" s="4"/>
    </row>
    <row r="15" spans="2:12" x14ac:dyDescent="0.55000000000000004">
      <c r="B15" s="1" t="s">
        <v>30</v>
      </c>
      <c r="D15" s="16"/>
      <c r="F15" s="10"/>
      <c r="G15" s="10"/>
      <c r="H15" s="10"/>
      <c r="I15" s="10"/>
      <c r="J15" s="10"/>
      <c r="K15" s="10"/>
      <c r="L15" s="10"/>
    </row>
    <row r="16" spans="2:12" x14ac:dyDescent="0.55000000000000004">
      <c r="B16" s="2" t="s">
        <v>31</v>
      </c>
      <c r="D16" s="14">
        <v>138544.81827956991</v>
      </c>
      <c r="F16" s="41">
        <v>17087</v>
      </c>
      <c r="G16" s="41">
        <v>9565</v>
      </c>
      <c r="H16" s="41">
        <v>11839</v>
      </c>
      <c r="I16" s="41">
        <v>21119</v>
      </c>
      <c r="J16" s="41">
        <v>19687</v>
      </c>
      <c r="K16" s="41">
        <v>40343</v>
      </c>
      <c r="L16" s="41">
        <v>30357</v>
      </c>
    </row>
    <row r="17" spans="2:12" x14ac:dyDescent="0.55000000000000004">
      <c r="B17" s="2" t="s">
        <v>32</v>
      </c>
      <c r="D17" s="19">
        <v>622918.98</v>
      </c>
      <c r="E17" s="20"/>
      <c r="F17" s="42">
        <v>57957</v>
      </c>
      <c r="G17" s="42">
        <v>104844</v>
      </c>
      <c r="H17" s="42">
        <v>138774</v>
      </c>
      <c r="I17" s="42">
        <v>114191</v>
      </c>
      <c r="J17" s="42">
        <v>115287</v>
      </c>
      <c r="K17" s="42">
        <v>102699</v>
      </c>
      <c r="L17" s="42">
        <v>110656</v>
      </c>
    </row>
    <row r="18" spans="2:12" x14ac:dyDescent="0.55000000000000004">
      <c r="B18" s="2" t="s">
        <v>33</v>
      </c>
      <c r="D18" s="19">
        <v>0</v>
      </c>
      <c r="E18" s="20"/>
      <c r="F18" s="42">
        <v>0</v>
      </c>
      <c r="G18" s="42">
        <v>2584</v>
      </c>
      <c r="H18" s="42">
        <v>2281</v>
      </c>
      <c r="I18" s="42">
        <v>0</v>
      </c>
      <c r="J18" s="42">
        <v>0</v>
      </c>
      <c r="K18" s="42">
        <v>0</v>
      </c>
      <c r="L18" s="42">
        <v>0</v>
      </c>
    </row>
    <row r="19" spans="2:12" x14ac:dyDescent="0.55000000000000004">
      <c r="B19" s="2" t="s">
        <v>34</v>
      </c>
      <c r="D19" s="19">
        <v>8217.2580645161288</v>
      </c>
      <c r="E19" s="20"/>
      <c r="F19" s="42">
        <v>1290</v>
      </c>
      <c r="G19" s="42">
        <v>1000</v>
      </c>
      <c r="H19" s="42">
        <v>1423</v>
      </c>
      <c r="I19" s="42">
        <v>1719</v>
      </c>
      <c r="J19" s="42">
        <v>2170</v>
      </c>
      <c r="K19" s="42">
        <v>2085</v>
      </c>
      <c r="L19" s="42">
        <v>2427</v>
      </c>
    </row>
    <row r="20" spans="2:12" x14ac:dyDescent="0.55000000000000004">
      <c r="B20" s="2" t="s">
        <v>35</v>
      </c>
      <c r="D20" s="19">
        <v>28681.77508960573</v>
      </c>
      <c r="E20" s="20"/>
      <c r="F20" s="42">
        <v>1237</v>
      </c>
      <c r="G20" s="42">
        <v>5878</v>
      </c>
      <c r="H20" s="42">
        <v>7732</v>
      </c>
      <c r="I20" s="42">
        <v>9407</v>
      </c>
      <c r="J20" s="42">
        <v>8357</v>
      </c>
      <c r="K20" s="42">
        <v>11821</v>
      </c>
      <c r="L20" s="42">
        <v>7387</v>
      </c>
    </row>
    <row r="21" spans="2:12" x14ac:dyDescent="0.55000000000000004">
      <c r="B21" s="2" t="s">
        <v>36</v>
      </c>
      <c r="D21" s="19">
        <v>0</v>
      </c>
      <c r="E21" s="20"/>
      <c r="F21" s="42">
        <v>0</v>
      </c>
      <c r="G21" s="42">
        <v>0</v>
      </c>
      <c r="H21" s="42">
        <v>81464</v>
      </c>
      <c r="I21" s="42">
        <v>15143</v>
      </c>
      <c r="J21" s="42">
        <v>22419</v>
      </c>
      <c r="K21" s="42">
        <v>17585</v>
      </c>
      <c r="L21" s="42">
        <v>5978</v>
      </c>
    </row>
    <row r="22" spans="2:12" x14ac:dyDescent="0.55000000000000004">
      <c r="B22" s="2" t="s">
        <v>37</v>
      </c>
      <c r="D22" s="19">
        <v>1395948.0946953406</v>
      </c>
      <c r="E22" s="20"/>
      <c r="F22" s="12">
        <v>223597</v>
      </c>
      <c r="G22" s="12">
        <v>240090</v>
      </c>
      <c r="H22" s="12">
        <v>266702</v>
      </c>
      <c r="I22" s="12">
        <v>306582</v>
      </c>
      <c r="J22" s="12">
        <v>284212</v>
      </c>
      <c r="K22" s="12">
        <v>311337</v>
      </c>
      <c r="L22" s="12">
        <v>270407</v>
      </c>
    </row>
    <row r="23" spans="2:12" x14ac:dyDescent="0.55000000000000004">
      <c r="B23" s="2" t="s">
        <v>83</v>
      </c>
      <c r="D23" s="19"/>
      <c r="E23" s="20"/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</row>
    <row r="24" spans="2:12" x14ac:dyDescent="0.55000000000000004">
      <c r="B24" s="2" t="s">
        <v>38</v>
      </c>
      <c r="D24" s="19">
        <v>197173.39390681006</v>
      </c>
      <c r="E24" s="20"/>
      <c r="F24" s="12">
        <v>28274</v>
      </c>
      <c r="G24" s="12">
        <v>28311</v>
      </c>
      <c r="H24" s="12">
        <v>60973</v>
      </c>
      <c r="I24" s="12">
        <v>18897</v>
      </c>
      <c r="J24" s="12">
        <v>26632</v>
      </c>
      <c r="K24" s="12">
        <v>36415</v>
      </c>
      <c r="L24" s="12">
        <v>84900</v>
      </c>
    </row>
    <row r="25" spans="2:12" x14ac:dyDescent="0.55000000000000004">
      <c r="B25" s="2" t="s">
        <v>39</v>
      </c>
      <c r="D25" s="19">
        <v>0</v>
      </c>
      <c r="E25" s="20"/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</row>
    <row r="26" spans="2:12" x14ac:dyDescent="0.55000000000000004">
      <c r="B26" s="2" t="s">
        <v>84</v>
      </c>
      <c r="D26" s="19"/>
      <c r="E26" s="20"/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</row>
    <row r="27" spans="2:12" x14ac:dyDescent="0.55000000000000004">
      <c r="B27" s="2" t="s">
        <v>85</v>
      </c>
      <c r="D27" s="19"/>
      <c r="E27" s="20"/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</row>
    <row r="28" spans="2:12" x14ac:dyDescent="0.55000000000000004">
      <c r="B28" s="29" t="s">
        <v>40</v>
      </c>
      <c r="D28" s="19">
        <v>316756.43802867387</v>
      </c>
      <c r="E28" s="20"/>
      <c r="F28" s="12">
        <v>46079</v>
      </c>
      <c r="G28" s="12">
        <v>12367</v>
      </c>
      <c r="H28" s="12">
        <v>18938</v>
      </c>
      <c r="I28" s="12">
        <v>50644</v>
      </c>
      <c r="J28" s="12">
        <v>18832</v>
      </c>
      <c r="K28" s="12">
        <v>33937</v>
      </c>
      <c r="L28" s="12">
        <v>23896</v>
      </c>
    </row>
    <row r="29" spans="2:12" x14ac:dyDescent="0.55000000000000004">
      <c r="B29" s="1" t="s">
        <v>41</v>
      </c>
      <c r="D29" s="15">
        <v>2708240.7580645159</v>
      </c>
      <c r="F29" s="6">
        <f>SUM(F16:F28)</f>
        <v>375521</v>
      </c>
      <c r="G29" s="6">
        <f t="shared" ref="G29:L29" si="3">SUM(G16:G28)</f>
        <v>404639</v>
      </c>
      <c r="H29" s="6">
        <f t="shared" si="3"/>
        <v>590126</v>
      </c>
      <c r="I29" s="6">
        <f t="shared" si="3"/>
        <v>537702</v>
      </c>
      <c r="J29" s="6">
        <f t="shared" si="3"/>
        <v>497596</v>
      </c>
      <c r="K29" s="6">
        <f t="shared" si="3"/>
        <v>556222</v>
      </c>
      <c r="L29" s="6">
        <f t="shared" si="3"/>
        <v>536008</v>
      </c>
    </row>
    <row r="30" spans="2:12" x14ac:dyDescent="0.55000000000000004">
      <c r="B30" s="3"/>
      <c r="D30" s="14"/>
      <c r="F30" s="4"/>
      <c r="G30" s="4"/>
      <c r="H30" s="4"/>
      <c r="I30" s="4"/>
      <c r="J30" s="4"/>
      <c r="K30" s="4"/>
      <c r="L30" s="4"/>
    </row>
    <row r="31" spans="2:12" x14ac:dyDescent="0.55000000000000004">
      <c r="B31" s="1" t="s">
        <v>42</v>
      </c>
      <c r="D31" s="14"/>
      <c r="F31" s="4"/>
      <c r="G31" s="4"/>
      <c r="H31" s="4"/>
      <c r="I31" s="4"/>
      <c r="J31" s="4"/>
      <c r="K31" s="4"/>
      <c r="L31" s="4"/>
    </row>
    <row r="32" spans="2:12" x14ac:dyDescent="0.55000000000000004">
      <c r="B32" s="2" t="s">
        <v>43</v>
      </c>
      <c r="D32" s="14">
        <v>21241.642759856633</v>
      </c>
      <c r="F32" s="4">
        <v>658</v>
      </c>
      <c r="G32" s="4">
        <v>658</v>
      </c>
      <c r="H32" s="4">
        <v>520</v>
      </c>
      <c r="I32" s="4">
        <v>612</v>
      </c>
      <c r="J32" s="4">
        <v>612</v>
      </c>
      <c r="K32" s="4">
        <v>648</v>
      </c>
      <c r="L32" s="4">
        <v>680</v>
      </c>
    </row>
    <row r="33" spans="2:12" x14ac:dyDescent="0.55000000000000004">
      <c r="B33" s="2" t="s">
        <v>44</v>
      </c>
      <c r="D33" s="19">
        <v>163829.55928315394</v>
      </c>
      <c r="E33" s="20"/>
      <c r="F33" s="12">
        <v>-1171.0965949818492</v>
      </c>
      <c r="G33" s="12">
        <v>7835</v>
      </c>
      <c r="H33" s="12">
        <v>-217886</v>
      </c>
      <c r="I33" s="12">
        <v>-5903</v>
      </c>
      <c r="J33" s="12">
        <v>-117736</v>
      </c>
      <c r="K33" s="12">
        <v>30630</v>
      </c>
      <c r="L33" s="12">
        <v>6952</v>
      </c>
    </row>
    <row r="34" spans="2:12" x14ac:dyDescent="0.55000000000000004">
      <c r="B34" s="29" t="s">
        <v>45</v>
      </c>
      <c r="D34" s="21">
        <v>-5465.8304659498208</v>
      </c>
      <c r="E34" s="20"/>
      <c r="F34" s="22">
        <v>-129</v>
      </c>
      <c r="G34" s="22">
        <v>-5907</v>
      </c>
      <c r="H34" s="22">
        <v>48</v>
      </c>
      <c r="I34" s="22">
        <v>384</v>
      </c>
      <c r="J34" s="22">
        <v>70</v>
      </c>
      <c r="K34" s="22">
        <v>-322</v>
      </c>
      <c r="L34" s="22">
        <v>-202</v>
      </c>
    </row>
    <row r="35" spans="2:12" x14ac:dyDescent="0.55000000000000004">
      <c r="B35" s="1" t="s">
        <v>46</v>
      </c>
      <c r="D35" s="16">
        <v>179605.37157706075</v>
      </c>
      <c r="F35" s="10">
        <f>SUM(F32:F34)</f>
        <v>-642.09659498184919</v>
      </c>
      <c r="G35" s="10">
        <f t="shared" ref="G35:L35" si="4">SUM(G32:G34)</f>
        <v>2586</v>
      </c>
      <c r="H35" s="10">
        <f t="shared" si="4"/>
        <v>-217318</v>
      </c>
      <c r="I35" s="10">
        <f t="shared" si="4"/>
        <v>-4907</v>
      </c>
      <c r="J35" s="10">
        <f t="shared" si="4"/>
        <v>-117054</v>
      </c>
      <c r="K35" s="10">
        <f t="shared" si="4"/>
        <v>30956</v>
      </c>
      <c r="L35" s="10">
        <f t="shared" si="4"/>
        <v>7430</v>
      </c>
    </row>
    <row r="36" spans="2:12" x14ac:dyDescent="0.55000000000000004">
      <c r="B36" s="2"/>
      <c r="D36" s="14"/>
      <c r="F36" s="4"/>
      <c r="G36" s="4"/>
      <c r="H36" s="4"/>
      <c r="I36" s="4"/>
      <c r="J36" s="4"/>
      <c r="K36" s="4"/>
      <c r="L36" s="4"/>
    </row>
    <row r="37" spans="2:12" x14ac:dyDescent="0.55000000000000004">
      <c r="B37" s="1" t="s">
        <v>47</v>
      </c>
      <c r="D37" s="14">
        <v>21328.971146953409</v>
      </c>
      <c r="F37" s="4">
        <v>385</v>
      </c>
      <c r="G37" s="4">
        <v>353</v>
      </c>
      <c r="H37" s="4">
        <v>388</v>
      </c>
      <c r="I37" s="4">
        <v>425</v>
      </c>
      <c r="J37" s="4">
        <v>441</v>
      </c>
      <c r="K37" s="4">
        <v>462</v>
      </c>
      <c r="L37" s="4">
        <v>445</v>
      </c>
    </row>
    <row r="38" spans="2:12" x14ac:dyDescent="0.55000000000000004">
      <c r="B38" s="28"/>
      <c r="D38" s="14"/>
      <c r="F38" s="4"/>
      <c r="G38" s="4"/>
      <c r="H38" s="4"/>
      <c r="I38" s="4"/>
      <c r="J38" s="4"/>
      <c r="K38" s="4"/>
      <c r="L38" s="4"/>
    </row>
    <row r="39" spans="2:12" x14ac:dyDescent="0.55000000000000004">
      <c r="B39" s="1" t="s">
        <v>48</v>
      </c>
      <c r="D39" s="15">
        <v>-2847469.2256989246</v>
      </c>
      <c r="F39" s="6">
        <f>F13-F29-F35+F37</f>
        <v>-383984.90340501815</v>
      </c>
      <c r="G39" s="6">
        <f t="shared" ref="G39:L39" si="5">G13-G29-G35+G37</f>
        <v>-416216</v>
      </c>
      <c r="H39" s="6">
        <f t="shared" si="5"/>
        <v>-371322</v>
      </c>
      <c r="I39" s="6">
        <f t="shared" si="5"/>
        <v>-531903</v>
      </c>
      <c r="J39" s="6">
        <f t="shared" si="5"/>
        <v>-375764</v>
      </c>
      <c r="K39" s="6">
        <f t="shared" si="5"/>
        <v>-556039</v>
      </c>
      <c r="L39" s="6">
        <f t="shared" si="5"/>
        <v>-511672</v>
      </c>
    </row>
    <row r="40" spans="2:12" x14ac:dyDescent="0.55000000000000004">
      <c r="B40" s="3"/>
      <c r="D40" s="14"/>
      <c r="F40" s="4"/>
      <c r="G40" s="4"/>
      <c r="H40" s="4"/>
      <c r="I40" s="4"/>
      <c r="J40" s="4"/>
      <c r="K40" s="4"/>
      <c r="L40" s="4"/>
    </row>
    <row r="41" spans="2:12" x14ac:dyDescent="0.55000000000000004">
      <c r="B41" s="2" t="s">
        <v>49</v>
      </c>
      <c r="D41" s="14">
        <v>39601.423082437286</v>
      </c>
      <c r="F41" s="4">
        <v>6</v>
      </c>
      <c r="G41" s="4">
        <v>11</v>
      </c>
      <c r="H41" s="4">
        <v>7</v>
      </c>
      <c r="I41" s="4">
        <v>16</v>
      </c>
      <c r="J41" s="4">
        <v>17</v>
      </c>
      <c r="K41" s="4">
        <v>23</v>
      </c>
      <c r="L41" s="4">
        <v>18</v>
      </c>
    </row>
    <row r="42" spans="2:12" x14ac:dyDescent="0.55000000000000004">
      <c r="B42" s="28"/>
      <c r="D42" s="14"/>
      <c r="F42" s="4"/>
      <c r="G42" s="4"/>
      <c r="H42" s="4"/>
      <c r="I42" s="4"/>
      <c r="J42" s="4"/>
      <c r="K42" s="4"/>
      <c r="L42" s="4"/>
    </row>
    <row r="43" spans="2:12" ht="14.7" thickBot="1" x14ac:dyDescent="0.6">
      <c r="B43" s="30" t="s">
        <v>50</v>
      </c>
      <c r="D43" s="17">
        <v>-2887070.648781362</v>
      </c>
      <c r="F43" s="18">
        <f>F39-F41</f>
        <v>-383990.90340501815</v>
      </c>
      <c r="G43" s="18">
        <f t="shared" ref="G43:L43" si="6">G39-G41</f>
        <v>-416227</v>
      </c>
      <c r="H43" s="18">
        <f t="shared" si="6"/>
        <v>-371329</v>
      </c>
      <c r="I43" s="18">
        <f t="shared" si="6"/>
        <v>-531919</v>
      </c>
      <c r="J43" s="18">
        <f t="shared" si="6"/>
        <v>-375781</v>
      </c>
      <c r="K43" s="18">
        <f t="shared" si="6"/>
        <v>-556062</v>
      </c>
      <c r="L43" s="18">
        <f t="shared" si="6"/>
        <v>-511690</v>
      </c>
    </row>
    <row r="44" spans="2:12" ht="14.7" thickTop="1" x14ac:dyDescent="0.55000000000000004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7E281-1CA3-4188-99AC-0E71F4820EB6}">
  <dimension ref="B2:L40"/>
  <sheetViews>
    <sheetView showGridLines="0" zoomScale="85" zoomScaleNormal="85" workbookViewId="0"/>
  </sheetViews>
  <sheetFormatPr defaultColWidth="8.83984375" defaultRowHeight="14.4" x14ac:dyDescent="0.55000000000000004"/>
  <cols>
    <col min="1" max="1" width="2.47265625" customWidth="1"/>
    <col min="2" max="2" width="40.83984375" bestFit="1" customWidth="1"/>
    <col min="3" max="3" width="1.47265625" customWidth="1"/>
    <col min="4" max="4" width="13.47265625" bestFit="1" customWidth="1"/>
    <col min="5" max="5" width="1.47265625" customWidth="1"/>
    <col min="6" max="6" width="14.15625" bestFit="1" customWidth="1"/>
    <col min="7" max="10" width="12" bestFit="1" customWidth="1"/>
    <col min="11" max="12" width="12" customWidth="1"/>
  </cols>
  <sheetData>
    <row r="2" spans="2:12" ht="15.6" x14ac:dyDescent="0.6">
      <c r="B2" s="11" t="s">
        <v>78</v>
      </c>
      <c r="C2" s="7"/>
      <c r="D2" s="7">
        <v>2025</v>
      </c>
      <c r="E2" s="8"/>
      <c r="F2" s="8">
        <v>46053</v>
      </c>
      <c r="G2" s="8">
        <v>46081</v>
      </c>
      <c r="H2" s="8">
        <v>46112</v>
      </c>
      <c r="I2" s="8">
        <v>46142</v>
      </c>
      <c r="J2" s="8">
        <v>46173</v>
      </c>
      <c r="K2" s="8">
        <v>46203</v>
      </c>
      <c r="L2" s="8">
        <v>46234</v>
      </c>
    </row>
    <row r="3" spans="2:12" ht="5.05" customHeight="1" x14ac:dyDescent="0.55000000000000004">
      <c r="D3" s="3"/>
      <c r="E3" s="3"/>
    </row>
    <row r="4" spans="2:12" x14ac:dyDescent="0.55000000000000004">
      <c r="B4" s="1" t="s">
        <v>52</v>
      </c>
      <c r="D4" s="14"/>
      <c r="E4" s="4"/>
    </row>
    <row r="5" spans="2:12" x14ac:dyDescent="0.55000000000000004">
      <c r="B5" s="3" t="s">
        <v>53</v>
      </c>
      <c r="D5" s="14">
        <v>-2847469.2256989246</v>
      </c>
      <c r="E5" s="4"/>
      <c r="F5" s="4">
        <v>-383985</v>
      </c>
      <c r="G5" s="4">
        <v>-416216</v>
      </c>
      <c r="H5" s="4">
        <v>-371322</v>
      </c>
      <c r="I5" s="4">
        <v>-531903</v>
      </c>
      <c r="J5" s="4">
        <v>-375764</v>
      </c>
      <c r="K5" s="4">
        <v>-556039</v>
      </c>
      <c r="L5" s="4">
        <v>-511672</v>
      </c>
    </row>
    <row r="6" spans="2:12" x14ac:dyDescent="0.55000000000000004">
      <c r="B6" s="3" t="s">
        <v>54</v>
      </c>
      <c r="D6" s="14"/>
      <c r="E6" s="4"/>
      <c r="F6" s="4"/>
      <c r="G6" s="4"/>
      <c r="H6" s="4"/>
      <c r="I6" s="4"/>
      <c r="J6" s="4"/>
      <c r="K6" s="4"/>
      <c r="L6" s="4"/>
    </row>
    <row r="7" spans="2:12" x14ac:dyDescent="0.55000000000000004">
      <c r="B7" s="38" t="s">
        <v>26</v>
      </c>
      <c r="D7" s="19">
        <v>106008.420609319</v>
      </c>
      <c r="E7" s="13"/>
      <c r="F7" s="12">
        <v>24758</v>
      </c>
      <c r="G7" s="12">
        <v>29279</v>
      </c>
      <c r="H7" s="12">
        <v>27284</v>
      </c>
      <c r="I7" s="12">
        <v>38440</v>
      </c>
      <c r="J7" s="12">
        <v>35730</v>
      </c>
      <c r="K7" s="12">
        <v>29917</v>
      </c>
      <c r="L7" s="12">
        <v>41236</v>
      </c>
    </row>
    <row r="8" spans="2:12" x14ac:dyDescent="0.55000000000000004">
      <c r="B8" s="38" t="s">
        <v>43</v>
      </c>
      <c r="D8" s="19">
        <v>21241.642759856633</v>
      </c>
      <c r="E8" s="13"/>
      <c r="F8" s="12">
        <v>658</v>
      </c>
      <c r="G8" s="12">
        <v>658</v>
      </c>
      <c r="H8" s="12">
        <v>520</v>
      </c>
      <c r="I8" s="12">
        <v>612</v>
      </c>
      <c r="J8" s="12">
        <v>612</v>
      </c>
      <c r="K8" s="12">
        <v>648</v>
      </c>
      <c r="L8" s="12">
        <v>680</v>
      </c>
    </row>
    <row r="9" spans="2:12" x14ac:dyDescent="0.55000000000000004">
      <c r="B9" s="38" t="s">
        <v>55</v>
      </c>
      <c r="D9" s="19">
        <v>-5053.2804659498215</v>
      </c>
      <c r="E9" s="13"/>
      <c r="F9" s="12">
        <v>-369</v>
      </c>
      <c r="G9" s="12">
        <v>-353</v>
      </c>
      <c r="H9" s="12">
        <v>-384</v>
      </c>
      <c r="I9" s="12">
        <v>-423</v>
      </c>
      <c r="J9" s="12">
        <v>-441</v>
      </c>
      <c r="K9" s="12">
        <v>-462</v>
      </c>
      <c r="L9" s="12">
        <v>-445</v>
      </c>
    </row>
    <row r="10" spans="2:12" x14ac:dyDescent="0.55000000000000004">
      <c r="B10" s="38" t="s">
        <v>56</v>
      </c>
      <c r="D10" s="19">
        <v>163829.55928315394</v>
      </c>
      <c r="E10" s="13"/>
      <c r="F10" s="12">
        <v>-1171</v>
      </c>
      <c r="G10" s="12">
        <v>7835</v>
      </c>
      <c r="H10" s="12">
        <v>-217886</v>
      </c>
      <c r="I10" s="12">
        <v>-5903</v>
      </c>
      <c r="J10" s="12">
        <v>-117736</v>
      </c>
      <c r="K10" s="12">
        <v>30630</v>
      </c>
      <c r="L10" s="12">
        <v>6952</v>
      </c>
    </row>
    <row r="11" spans="2:12" x14ac:dyDescent="0.55000000000000004">
      <c r="B11" s="38" t="s">
        <v>57</v>
      </c>
      <c r="D11" s="19">
        <v>192093.80609318987</v>
      </c>
      <c r="E11" s="13"/>
      <c r="F11" s="12"/>
      <c r="G11" s="12"/>
      <c r="H11" s="12"/>
      <c r="I11" s="12"/>
      <c r="J11" s="12"/>
      <c r="K11" s="12"/>
      <c r="L11" s="12"/>
    </row>
    <row r="12" spans="2:12" x14ac:dyDescent="0.55000000000000004">
      <c r="B12" s="3" t="s">
        <v>58</v>
      </c>
      <c r="D12" s="19"/>
      <c r="E12" s="13"/>
      <c r="F12" s="12"/>
      <c r="G12" s="12"/>
      <c r="H12" s="12"/>
      <c r="I12" s="12"/>
      <c r="J12" s="12"/>
      <c r="K12" s="12"/>
      <c r="L12" s="12"/>
    </row>
    <row r="13" spans="2:12" x14ac:dyDescent="0.55000000000000004">
      <c r="B13" s="2" t="s">
        <v>59</v>
      </c>
      <c r="D13" s="19"/>
      <c r="E13" s="13"/>
      <c r="F13" s="12"/>
      <c r="G13" s="12"/>
      <c r="H13" s="12"/>
      <c r="I13" s="12"/>
      <c r="J13" s="12"/>
      <c r="K13" s="12"/>
      <c r="L13" s="12"/>
    </row>
    <row r="14" spans="2:12" x14ac:dyDescent="0.55000000000000004">
      <c r="B14" s="38" t="s">
        <v>60</v>
      </c>
      <c r="D14" s="19">
        <v>-785676.52688172041</v>
      </c>
      <c r="E14" s="13"/>
      <c r="F14" s="12">
        <v>61026</v>
      </c>
      <c r="G14" s="12">
        <v>-135935</v>
      </c>
      <c r="H14" s="12">
        <v>-507744</v>
      </c>
      <c r="I14" s="12">
        <v>-432762</v>
      </c>
      <c r="J14" s="12">
        <v>-119504</v>
      </c>
      <c r="K14" s="12">
        <v>-733994</v>
      </c>
      <c r="L14" s="12">
        <v>-241026</v>
      </c>
    </row>
    <row r="15" spans="2:12" x14ac:dyDescent="0.55000000000000004">
      <c r="B15" s="38" t="s">
        <v>5</v>
      </c>
      <c r="D15" s="19">
        <v>-95457.980465949833</v>
      </c>
      <c r="E15" s="13"/>
      <c r="F15" s="12">
        <v>-936</v>
      </c>
      <c r="G15" s="12">
        <v>10072</v>
      </c>
      <c r="H15" s="12">
        <v>-33827</v>
      </c>
      <c r="I15" s="12">
        <v>32139</v>
      </c>
      <c r="J15" s="12">
        <v>7156</v>
      </c>
      <c r="K15" s="12">
        <v>-1783</v>
      </c>
      <c r="L15" s="12">
        <v>7618</v>
      </c>
    </row>
    <row r="16" spans="2:12" x14ac:dyDescent="0.55000000000000004">
      <c r="B16" s="38" t="s">
        <v>61</v>
      </c>
      <c r="D16" s="19"/>
      <c r="E16" s="13"/>
      <c r="F16" s="12"/>
      <c r="G16" s="12"/>
      <c r="H16" s="12"/>
      <c r="I16" s="12"/>
      <c r="J16" s="12"/>
      <c r="K16" s="12"/>
      <c r="L16" s="12"/>
    </row>
    <row r="17" spans="2:12" x14ac:dyDescent="0.55000000000000004">
      <c r="B17" s="39" t="s">
        <v>62</v>
      </c>
      <c r="D17" s="19">
        <v>220296.16351254482</v>
      </c>
      <c r="E17" s="13"/>
      <c r="F17" s="12">
        <v>-44767</v>
      </c>
      <c r="G17" s="12">
        <v>38631</v>
      </c>
      <c r="H17" s="12">
        <v>254137</v>
      </c>
      <c r="I17" s="12">
        <v>6365</v>
      </c>
      <c r="J17" s="12">
        <v>-133794</v>
      </c>
      <c r="K17" s="12">
        <v>68607</v>
      </c>
      <c r="L17" s="12">
        <v>-71307</v>
      </c>
    </row>
    <row r="18" spans="2:12" x14ac:dyDescent="0.55000000000000004">
      <c r="B18" s="30" t="s">
        <v>63</v>
      </c>
      <c r="D18" s="23">
        <v>-3030187.4212544803</v>
      </c>
      <c r="E18" s="10"/>
      <c r="F18" s="5">
        <v>-344786</v>
      </c>
      <c r="G18" s="5">
        <v>-466029</v>
      </c>
      <c r="H18" s="5">
        <v>-849222</v>
      </c>
      <c r="I18" s="5">
        <v>-893435</v>
      </c>
      <c r="J18" s="5">
        <v>-703741</v>
      </c>
      <c r="K18" s="5">
        <v>-1162476</v>
      </c>
      <c r="L18" s="5">
        <v>-767964</v>
      </c>
    </row>
    <row r="19" spans="2:12" x14ac:dyDescent="0.55000000000000004">
      <c r="B19" s="3" t="s">
        <v>64</v>
      </c>
      <c r="D19" s="19">
        <v>-39601.423082437286</v>
      </c>
      <c r="E19" s="13"/>
      <c r="F19" s="12">
        <v>-6</v>
      </c>
      <c r="G19" s="12">
        <v>-11</v>
      </c>
      <c r="H19" s="12">
        <v>-7</v>
      </c>
      <c r="I19" s="12">
        <v>-16</v>
      </c>
      <c r="J19" s="12">
        <v>-17</v>
      </c>
      <c r="K19" s="12">
        <v>-23</v>
      </c>
      <c r="L19" s="12">
        <v>-18</v>
      </c>
    </row>
    <row r="20" spans="2:12" x14ac:dyDescent="0.55000000000000004">
      <c r="B20" s="28" t="s">
        <v>65</v>
      </c>
      <c r="D20" s="19">
        <v>5053.2804659498215</v>
      </c>
      <c r="E20" s="13"/>
      <c r="F20" s="12">
        <v>369</v>
      </c>
      <c r="G20" s="12">
        <v>353</v>
      </c>
      <c r="H20" s="12">
        <v>384</v>
      </c>
      <c r="I20" s="12">
        <v>423</v>
      </c>
      <c r="J20" s="12">
        <v>441</v>
      </c>
      <c r="K20" s="12">
        <v>462</v>
      </c>
      <c r="L20" s="12">
        <v>445</v>
      </c>
    </row>
    <row r="21" spans="2:12" x14ac:dyDescent="0.55000000000000004">
      <c r="B21" s="36" t="s">
        <v>66</v>
      </c>
      <c r="D21" s="23">
        <v>-3064735.5638709678</v>
      </c>
      <c r="E21" s="10"/>
      <c r="F21" s="5">
        <v>-344423</v>
      </c>
      <c r="G21" s="5">
        <v>-465687</v>
      </c>
      <c r="H21" s="5">
        <v>-848845</v>
      </c>
      <c r="I21" s="5">
        <v>-893028</v>
      </c>
      <c r="J21" s="5">
        <v>-703317</v>
      </c>
      <c r="K21" s="5">
        <v>-1162037</v>
      </c>
      <c r="L21" s="5">
        <v>-767537</v>
      </c>
    </row>
    <row r="22" spans="2:12" x14ac:dyDescent="0.55000000000000004">
      <c r="B22" s="3"/>
      <c r="D22" s="14"/>
      <c r="E22" s="4"/>
      <c r="F22" s="3"/>
      <c r="G22" s="3"/>
      <c r="H22" s="3"/>
      <c r="I22" s="3"/>
      <c r="J22" s="3"/>
      <c r="K22" s="3"/>
      <c r="L22" s="3"/>
    </row>
    <row r="23" spans="2:12" x14ac:dyDescent="0.55000000000000004">
      <c r="B23" s="1" t="s">
        <v>67</v>
      </c>
      <c r="D23" s="14"/>
      <c r="E23" s="4"/>
      <c r="F23" s="3"/>
      <c r="G23" s="3"/>
      <c r="H23" s="3"/>
      <c r="I23" s="3"/>
      <c r="J23" s="3"/>
      <c r="K23" s="3"/>
      <c r="L23" s="3"/>
    </row>
    <row r="24" spans="2:12" x14ac:dyDescent="0.55000000000000004">
      <c r="B24" s="28" t="s">
        <v>68</v>
      </c>
      <c r="D24" s="19">
        <v>-121512.9482078853</v>
      </c>
      <c r="E24" s="13"/>
      <c r="F24" s="12">
        <v>24166</v>
      </c>
      <c r="G24" s="12">
        <v>1</v>
      </c>
      <c r="H24" s="12">
        <v>-1</v>
      </c>
      <c r="I24" s="12">
        <v>1</v>
      </c>
      <c r="J24" s="12">
        <v>-1308</v>
      </c>
      <c r="K24" s="12">
        <v>-769</v>
      </c>
      <c r="L24" s="12">
        <v>0</v>
      </c>
    </row>
    <row r="25" spans="2:12" x14ac:dyDescent="0.55000000000000004">
      <c r="B25" s="30" t="s">
        <v>69</v>
      </c>
      <c r="D25" s="23">
        <v>-121512.9482078853</v>
      </c>
      <c r="E25" s="10"/>
      <c r="F25" s="5">
        <v>24166</v>
      </c>
      <c r="G25" s="5">
        <v>1</v>
      </c>
      <c r="H25" s="5">
        <v>-1</v>
      </c>
      <c r="I25" s="5">
        <v>1</v>
      </c>
      <c r="J25" s="5">
        <v>-1308</v>
      </c>
      <c r="K25" s="5">
        <v>-769</v>
      </c>
      <c r="L25" s="5">
        <v>0</v>
      </c>
    </row>
    <row r="26" spans="2:12" x14ac:dyDescent="0.55000000000000004">
      <c r="B26" s="3"/>
      <c r="D26" s="14"/>
      <c r="E26" s="4"/>
      <c r="F26" s="3"/>
      <c r="G26" s="3"/>
      <c r="H26" s="3"/>
      <c r="I26" s="3"/>
      <c r="J26" s="3"/>
      <c r="K26" s="3"/>
      <c r="L26" s="3"/>
    </row>
    <row r="27" spans="2:12" x14ac:dyDescent="0.55000000000000004">
      <c r="B27" s="1" t="s">
        <v>70</v>
      </c>
      <c r="D27" s="14"/>
      <c r="E27" s="4"/>
      <c r="F27" s="3"/>
      <c r="G27" s="3"/>
      <c r="H27" s="3"/>
      <c r="I27" s="3"/>
      <c r="J27" s="3"/>
      <c r="K27" s="3"/>
      <c r="L27" s="3"/>
    </row>
    <row r="28" spans="2:12" x14ac:dyDescent="0.55000000000000004">
      <c r="B28" s="3" t="s">
        <v>71</v>
      </c>
      <c r="D28" s="19">
        <v>-2493995</v>
      </c>
      <c r="E28" s="13"/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</row>
    <row r="29" spans="2:12" x14ac:dyDescent="0.55000000000000004">
      <c r="B29" s="28" t="s">
        <v>72</v>
      </c>
      <c r="D29" s="19">
        <v>16329258.780000001</v>
      </c>
      <c r="E29" s="13"/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</row>
    <row r="30" spans="2:12" x14ac:dyDescent="0.55000000000000004">
      <c r="B30" s="30" t="s">
        <v>73</v>
      </c>
      <c r="D30" s="23">
        <v>13835263.780000001</v>
      </c>
      <c r="E30" s="10"/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</row>
    <row r="31" spans="2:12" x14ac:dyDescent="0.55000000000000004">
      <c r="B31" s="3"/>
      <c r="D31" s="14"/>
      <c r="E31" s="4"/>
      <c r="F31" s="3"/>
      <c r="G31" s="3"/>
      <c r="H31" s="3"/>
      <c r="I31" s="3"/>
      <c r="J31" s="3"/>
      <c r="K31" s="3"/>
      <c r="L31" s="3"/>
    </row>
    <row r="32" spans="2:12" x14ac:dyDescent="0.55000000000000004">
      <c r="B32" s="3" t="s">
        <v>74</v>
      </c>
      <c r="D32" s="19">
        <v>10649015.267921148</v>
      </c>
      <c r="E32" s="13"/>
      <c r="F32" s="12">
        <v>-320257</v>
      </c>
      <c r="G32" s="12">
        <v>-465686</v>
      </c>
      <c r="H32" s="12">
        <v>-848846</v>
      </c>
      <c r="I32" s="12">
        <v>-893027</v>
      </c>
      <c r="J32" s="12">
        <v>-704625</v>
      </c>
      <c r="K32" s="12">
        <v>-1162806</v>
      </c>
      <c r="L32" s="12">
        <v>-767537</v>
      </c>
    </row>
    <row r="33" spans="2:12" x14ac:dyDescent="0.55000000000000004">
      <c r="B33" s="36" t="s">
        <v>75</v>
      </c>
      <c r="D33" s="16">
        <v>3835087</v>
      </c>
      <c r="E33" s="10"/>
      <c r="F33" s="40">
        <v>14320272.981505375</v>
      </c>
      <c r="G33" s="40">
        <v>14001186.981505375</v>
      </c>
      <c r="H33" s="40">
        <v>13527665.981505375</v>
      </c>
      <c r="I33" s="40">
        <v>12896705.981505375</v>
      </c>
      <c r="J33" s="40">
        <v>12009581.981505375</v>
      </c>
      <c r="K33" s="40">
        <v>11422692.981505375</v>
      </c>
      <c r="L33" s="40">
        <v>10229256.981505375</v>
      </c>
    </row>
    <row r="34" spans="2:12" x14ac:dyDescent="0.55000000000000004">
      <c r="B34" s="3"/>
      <c r="D34" s="24"/>
      <c r="E34" s="4"/>
      <c r="F34" s="3"/>
      <c r="G34" s="3"/>
      <c r="H34" s="3"/>
      <c r="I34" s="3"/>
      <c r="J34" s="3"/>
      <c r="K34" s="3"/>
      <c r="L34" s="3"/>
    </row>
    <row r="35" spans="2:12" x14ac:dyDescent="0.55000000000000004">
      <c r="B35" s="3" t="s">
        <v>76</v>
      </c>
      <c r="D35" s="14">
        <v>-163829.55928315394</v>
      </c>
      <c r="E35" s="4"/>
      <c r="F35" s="4">
        <v>1171</v>
      </c>
      <c r="G35" s="4">
        <v>-7835</v>
      </c>
      <c r="H35" s="4">
        <v>217886</v>
      </c>
      <c r="I35" s="4">
        <v>5903</v>
      </c>
      <c r="J35" s="4">
        <v>117736</v>
      </c>
      <c r="K35" s="4">
        <v>-30630</v>
      </c>
      <c r="L35" s="4">
        <v>-6952</v>
      </c>
    </row>
    <row r="36" spans="2:12" x14ac:dyDescent="0.55000000000000004">
      <c r="B36" s="3"/>
      <c r="D36" s="14"/>
      <c r="E36" s="4"/>
      <c r="F36" s="3"/>
      <c r="G36" s="3"/>
      <c r="H36" s="3"/>
      <c r="I36" s="3"/>
      <c r="J36" s="3"/>
      <c r="K36" s="3"/>
      <c r="L36" s="3"/>
    </row>
    <row r="37" spans="2:12" ht="14.7" thickBot="1" x14ac:dyDescent="0.6">
      <c r="B37" s="36" t="s">
        <v>77</v>
      </c>
      <c r="D37" s="25">
        <v>14320272.708637994</v>
      </c>
      <c r="E37" s="10"/>
      <c r="F37" s="37">
        <v>14001186.981505375</v>
      </c>
      <c r="G37" s="37">
        <v>13527665.981505375</v>
      </c>
      <c r="H37" s="37">
        <v>12896705.981505375</v>
      </c>
      <c r="I37" s="37">
        <v>12009581.981505375</v>
      </c>
      <c r="J37" s="37">
        <v>11422692.981505375</v>
      </c>
      <c r="K37" s="37">
        <v>10229256.981505375</v>
      </c>
      <c r="L37" s="37">
        <v>9454767.9815053754</v>
      </c>
    </row>
    <row r="38" spans="2:12" ht="14.7" thickTop="1" x14ac:dyDescent="0.55000000000000004"/>
    <row r="39" spans="2:12" x14ac:dyDescent="0.55000000000000004">
      <c r="F39" s="43"/>
      <c r="G39" s="43"/>
      <c r="H39" s="43"/>
      <c r="I39" s="43"/>
      <c r="J39" s="43"/>
      <c r="K39" s="43"/>
      <c r="L39" s="43"/>
    </row>
    <row r="40" spans="2:12" x14ac:dyDescent="0.55000000000000004">
      <c r="F40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Balance Sheet</vt:lpstr>
      <vt:lpstr>Income Statement</vt:lpstr>
      <vt:lpstr>Cash 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Josif</dc:creator>
  <cp:lastModifiedBy>Josif</cp:lastModifiedBy>
  <dcterms:created xsi:type="dcterms:W3CDTF">2026-07-14T19:13:12Z</dcterms:created>
  <dcterms:modified xsi:type="dcterms:W3CDTF">2026-08-19T22:17:28Z</dcterms:modified>
</cp:coreProperties>
</file>